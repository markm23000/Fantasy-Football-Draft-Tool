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km\Desktop\"/>
    </mc:Choice>
  </mc:AlternateContent>
  <xr:revisionPtr revIDLastSave="0" documentId="8_{C1043605-9468-4673-9CBA-F9A7A326DE87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Control" sheetId="1" r:id="rId1"/>
    <sheet name="ESPN Rankings" sheetId="3" r:id="rId2"/>
    <sheet name="Fantasy Pros Standard Rankings" sheetId="7" r:id="rId3"/>
    <sheet name="DraftKings Player Summary" sheetId="13" r:id="rId4"/>
    <sheet name="Draft Log" sheetId="11" r:id="rId5"/>
    <sheet name="Rankings Master" sheetId="2" r:id="rId6"/>
    <sheet name="NFL.com Rankings" sheetId="4" state="hidden" r:id="rId7"/>
    <sheet name="Sleeper" sheetId="5" state="hidden" r:id="rId8"/>
    <sheet name="NFL.com rankings drop" sheetId="6" state="hidden" r:id="rId9"/>
    <sheet name="Sheet2" sheetId="8" state="hidden" r:id="rId10"/>
    <sheet name="Sheet1" sheetId="9" state="hidden" r:id="rId11"/>
  </sheets>
  <definedNames>
    <definedName name="_xlnm._FilterDatabase" localSheetId="5" hidden="1">'Rankings Master'!$A$3:$N$402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" i="2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D742" i="1"/>
  <c r="Q19" i="2"/>
  <c r="A204" i="2"/>
  <c r="F298" i="3"/>
  <c r="F286" i="3"/>
  <c r="F301" i="3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F201" i="4"/>
  <c r="G201" i="4" s="1"/>
  <c r="H201" i="4" s="1"/>
  <c r="I201" i="4" s="1"/>
  <c r="E201" i="4"/>
  <c r="K201" i="4" s="1"/>
  <c r="F200" i="4"/>
  <c r="G200" i="4" s="1"/>
  <c r="H200" i="4" s="1"/>
  <c r="I200" i="4" s="1"/>
  <c r="E200" i="4"/>
  <c r="K200" i="4" s="1"/>
  <c r="F199" i="4"/>
  <c r="G199" i="4" s="1"/>
  <c r="H199" i="4" s="1"/>
  <c r="I199" i="4" s="1"/>
  <c r="E199" i="4"/>
  <c r="K199" i="4" s="1"/>
  <c r="F198" i="4"/>
  <c r="G198" i="4" s="1"/>
  <c r="H198" i="4" s="1"/>
  <c r="I198" i="4" s="1"/>
  <c r="E198" i="4"/>
  <c r="K198" i="4" s="1"/>
  <c r="F197" i="4"/>
  <c r="G197" i="4" s="1"/>
  <c r="H197" i="4" s="1"/>
  <c r="I197" i="4" s="1"/>
  <c r="E197" i="4"/>
  <c r="K197" i="4" s="1"/>
  <c r="F196" i="4"/>
  <c r="G196" i="4" s="1"/>
  <c r="H196" i="4" s="1"/>
  <c r="I196" i="4" s="1"/>
  <c r="E196" i="4"/>
  <c r="K196" i="4" s="1"/>
  <c r="L196" i="4" s="1"/>
  <c r="F195" i="4"/>
  <c r="G195" i="4" s="1"/>
  <c r="H195" i="4" s="1"/>
  <c r="I195" i="4" s="1"/>
  <c r="E195" i="4"/>
  <c r="K195" i="4" s="1"/>
  <c r="L195" i="4" s="1"/>
  <c r="F194" i="4"/>
  <c r="G194" i="4" s="1"/>
  <c r="H194" i="4" s="1"/>
  <c r="I194" i="4" s="1"/>
  <c r="E194" i="4"/>
  <c r="K194" i="4" s="1"/>
  <c r="L194" i="4" s="1"/>
  <c r="F193" i="4"/>
  <c r="G193" i="4" s="1"/>
  <c r="H193" i="4" s="1"/>
  <c r="I193" i="4" s="1"/>
  <c r="E193" i="4"/>
  <c r="K193" i="4" s="1"/>
  <c r="L193" i="4" s="1"/>
  <c r="F192" i="4"/>
  <c r="G192" i="4" s="1"/>
  <c r="H192" i="4" s="1"/>
  <c r="I192" i="4" s="1"/>
  <c r="E192" i="4"/>
  <c r="K192" i="4" s="1"/>
  <c r="L192" i="4" s="1"/>
  <c r="F191" i="4"/>
  <c r="G191" i="4" s="1"/>
  <c r="H191" i="4" s="1"/>
  <c r="I191" i="4" s="1"/>
  <c r="E191" i="4"/>
  <c r="K191" i="4" s="1"/>
  <c r="L191" i="4" s="1"/>
  <c r="F190" i="4"/>
  <c r="G190" i="4" s="1"/>
  <c r="H190" i="4" s="1"/>
  <c r="I190" i="4" s="1"/>
  <c r="E190" i="4"/>
  <c r="K190" i="4" s="1"/>
  <c r="L190" i="4" s="1"/>
  <c r="F189" i="4"/>
  <c r="G189" i="4" s="1"/>
  <c r="H189" i="4" s="1"/>
  <c r="I189" i="4" s="1"/>
  <c r="E189" i="4"/>
  <c r="K189" i="4" s="1"/>
  <c r="L189" i="4" s="1"/>
  <c r="F188" i="4"/>
  <c r="G188" i="4" s="1"/>
  <c r="H188" i="4" s="1"/>
  <c r="I188" i="4" s="1"/>
  <c r="E188" i="4"/>
  <c r="K188" i="4" s="1"/>
  <c r="L188" i="4" s="1"/>
  <c r="F187" i="4"/>
  <c r="G187" i="4" s="1"/>
  <c r="H187" i="4" s="1"/>
  <c r="I187" i="4" s="1"/>
  <c r="E187" i="4"/>
  <c r="K187" i="4" s="1"/>
  <c r="L187" i="4" s="1"/>
  <c r="G186" i="4"/>
  <c r="H186" i="4" s="1"/>
  <c r="I186" i="4" s="1"/>
  <c r="E186" i="4"/>
  <c r="K186" i="4" s="1"/>
  <c r="L186" i="4" s="1"/>
  <c r="F185" i="4"/>
  <c r="G185" i="4" s="1"/>
  <c r="H185" i="4" s="1"/>
  <c r="I185" i="4" s="1"/>
  <c r="E185" i="4"/>
  <c r="K185" i="4" s="1"/>
  <c r="L185" i="4" s="1"/>
  <c r="F184" i="4"/>
  <c r="G184" i="4" s="1"/>
  <c r="H184" i="4" s="1"/>
  <c r="I184" i="4" s="1"/>
  <c r="E184" i="4"/>
  <c r="K184" i="4" s="1"/>
  <c r="L184" i="4" s="1"/>
  <c r="F183" i="4"/>
  <c r="G183" i="4" s="1"/>
  <c r="H183" i="4" s="1"/>
  <c r="I183" i="4" s="1"/>
  <c r="E183" i="4"/>
  <c r="K183" i="4" s="1"/>
  <c r="L183" i="4" s="1"/>
  <c r="F182" i="4"/>
  <c r="G182" i="4" s="1"/>
  <c r="H182" i="4" s="1"/>
  <c r="I182" i="4" s="1"/>
  <c r="E182" i="4"/>
  <c r="K182" i="4" s="1"/>
  <c r="L182" i="4" s="1"/>
  <c r="F181" i="4"/>
  <c r="G181" i="4" s="1"/>
  <c r="H181" i="4" s="1"/>
  <c r="I181" i="4" s="1"/>
  <c r="E181" i="4"/>
  <c r="K181" i="4" s="1"/>
  <c r="L181" i="4" s="1"/>
  <c r="F180" i="4"/>
  <c r="G180" i="4" s="1"/>
  <c r="H180" i="4" s="1"/>
  <c r="I180" i="4" s="1"/>
  <c r="E180" i="4"/>
  <c r="K180" i="4" s="1"/>
  <c r="L180" i="4" s="1"/>
  <c r="L179" i="4"/>
  <c r="F179" i="4"/>
  <c r="G179" i="4" s="1"/>
  <c r="H179" i="4" s="1"/>
  <c r="I179" i="4" s="1"/>
  <c r="E179" i="4"/>
  <c r="K179" i="4" s="1"/>
  <c r="L178" i="4"/>
  <c r="F178" i="4"/>
  <c r="G178" i="4" s="1"/>
  <c r="H178" i="4" s="1"/>
  <c r="I178" i="4" s="1"/>
  <c r="E178" i="4"/>
  <c r="K178" i="4" s="1"/>
  <c r="F177" i="4"/>
  <c r="G177" i="4" s="1"/>
  <c r="H177" i="4" s="1"/>
  <c r="I177" i="4" s="1"/>
  <c r="E177" i="4"/>
  <c r="K177" i="4" s="1"/>
  <c r="L177" i="4" s="1"/>
  <c r="F176" i="4"/>
  <c r="G176" i="4" s="1"/>
  <c r="H176" i="4" s="1"/>
  <c r="I176" i="4" s="1"/>
  <c r="E176" i="4"/>
  <c r="K176" i="4" s="1"/>
  <c r="L176" i="4" s="1"/>
  <c r="F175" i="4"/>
  <c r="G175" i="4" s="1"/>
  <c r="H175" i="4" s="1"/>
  <c r="I175" i="4" s="1"/>
  <c r="E175" i="4"/>
  <c r="K175" i="4" s="1"/>
  <c r="L175" i="4" s="1"/>
  <c r="F174" i="4"/>
  <c r="G174" i="4" s="1"/>
  <c r="H174" i="4" s="1"/>
  <c r="I174" i="4" s="1"/>
  <c r="E174" i="4"/>
  <c r="K174" i="4" s="1"/>
  <c r="L174" i="4" s="1"/>
  <c r="L173" i="4"/>
  <c r="F173" i="4"/>
  <c r="G173" i="4" s="1"/>
  <c r="H173" i="4" s="1"/>
  <c r="I173" i="4" s="1"/>
  <c r="E173" i="4"/>
  <c r="K173" i="4" s="1"/>
  <c r="F172" i="4"/>
  <c r="G172" i="4" s="1"/>
  <c r="H172" i="4" s="1"/>
  <c r="I172" i="4" s="1"/>
  <c r="E172" i="4"/>
  <c r="K172" i="4" s="1"/>
  <c r="L172" i="4" s="1"/>
  <c r="L171" i="4"/>
  <c r="F171" i="4"/>
  <c r="G171" i="4" s="1"/>
  <c r="H171" i="4" s="1"/>
  <c r="I171" i="4" s="1"/>
  <c r="E171" i="4"/>
  <c r="K171" i="4" s="1"/>
  <c r="F170" i="4"/>
  <c r="G170" i="4" s="1"/>
  <c r="H170" i="4" s="1"/>
  <c r="I170" i="4" s="1"/>
  <c r="E170" i="4"/>
  <c r="K170" i="4" s="1"/>
  <c r="L170" i="4" s="1"/>
  <c r="F169" i="4"/>
  <c r="G169" i="4" s="1"/>
  <c r="H169" i="4" s="1"/>
  <c r="I169" i="4" s="1"/>
  <c r="E169" i="4"/>
  <c r="K169" i="4" s="1"/>
  <c r="L169" i="4" s="1"/>
  <c r="L168" i="4"/>
  <c r="F168" i="4"/>
  <c r="G168" i="4" s="1"/>
  <c r="H168" i="4" s="1"/>
  <c r="I168" i="4" s="1"/>
  <c r="E168" i="4"/>
  <c r="K168" i="4" s="1"/>
  <c r="F167" i="4"/>
  <c r="G167" i="4" s="1"/>
  <c r="H167" i="4" s="1"/>
  <c r="I167" i="4" s="1"/>
  <c r="E167" i="4"/>
  <c r="K167" i="4" s="1"/>
  <c r="L167" i="4" s="1"/>
  <c r="L166" i="4"/>
  <c r="F166" i="4"/>
  <c r="G166" i="4" s="1"/>
  <c r="H166" i="4" s="1"/>
  <c r="I166" i="4" s="1"/>
  <c r="E166" i="4"/>
  <c r="K166" i="4" s="1"/>
  <c r="F165" i="4"/>
  <c r="G165" i="4" s="1"/>
  <c r="H165" i="4" s="1"/>
  <c r="I165" i="4" s="1"/>
  <c r="E165" i="4"/>
  <c r="K165" i="4" s="1"/>
  <c r="L165" i="4" s="1"/>
  <c r="L164" i="4"/>
  <c r="F164" i="4"/>
  <c r="G164" i="4" s="1"/>
  <c r="H164" i="4" s="1"/>
  <c r="I164" i="4" s="1"/>
  <c r="E164" i="4"/>
  <c r="K164" i="4" s="1"/>
  <c r="L163" i="4"/>
  <c r="F163" i="4"/>
  <c r="G163" i="4" s="1"/>
  <c r="H163" i="4" s="1"/>
  <c r="I163" i="4" s="1"/>
  <c r="E163" i="4"/>
  <c r="K163" i="4" s="1"/>
  <c r="F162" i="4"/>
  <c r="G162" i="4" s="1"/>
  <c r="H162" i="4" s="1"/>
  <c r="I162" i="4" s="1"/>
  <c r="E162" i="4"/>
  <c r="K162" i="4" s="1"/>
  <c r="L162" i="4" s="1"/>
  <c r="L161" i="4"/>
  <c r="F161" i="4"/>
  <c r="G161" i="4" s="1"/>
  <c r="H161" i="4" s="1"/>
  <c r="I161" i="4" s="1"/>
  <c r="E161" i="4"/>
  <c r="K161" i="4" s="1"/>
  <c r="L160" i="4"/>
  <c r="F160" i="4"/>
  <c r="G160" i="4" s="1"/>
  <c r="H160" i="4" s="1"/>
  <c r="I160" i="4" s="1"/>
  <c r="E160" i="4"/>
  <c r="K160" i="4" s="1"/>
  <c r="L159" i="4"/>
  <c r="F159" i="4"/>
  <c r="G159" i="4" s="1"/>
  <c r="H159" i="4" s="1"/>
  <c r="I159" i="4" s="1"/>
  <c r="E159" i="4"/>
  <c r="K159" i="4" s="1"/>
  <c r="L158" i="4"/>
  <c r="F158" i="4"/>
  <c r="G158" i="4" s="1"/>
  <c r="H158" i="4" s="1"/>
  <c r="I158" i="4" s="1"/>
  <c r="E158" i="4"/>
  <c r="K158" i="4" s="1"/>
  <c r="L157" i="4"/>
  <c r="F157" i="4"/>
  <c r="G157" i="4" s="1"/>
  <c r="H157" i="4" s="1"/>
  <c r="I157" i="4" s="1"/>
  <c r="E157" i="4"/>
  <c r="K157" i="4" s="1"/>
  <c r="L156" i="4"/>
  <c r="F156" i="4"/>
  <c r="G156" i="4" s="1"/>
  <c r="H156" i="4" s="1"/>
  <c r="I156" i="4" s="1"/>
  <c r="E156" i="4"/>
  <c r="K156" i="4" s="1"/>
  <c r="L155" i="4"/>
  <c r="F155" i="4"/>
  <c r="G155" i="4" s="1"/>
  <c r="H155" i="4" s="1"/>
  <c r="I155" i="4" s="1"/>
  <c r="E155" i="4"/>
  <c r="K155" i="4" s="1"/>
  <c r="L154" i="4"/>
  <c r="F154" i="4"/>
  <c r="G154" i="4" s="1"/>
  <c r="H154" i="4" s="1"/>
  <c r="I154" i="4" s="1"/>
  <c r="E154" i="4"/>
  <c r="K154" i="4" s="1"/>
  <c r="L153" i="4"/>
  <c r="F153" i="4"/>
  <c r="G153" i="4" s="1"/>
  <c r="H153" i="4" s="1"/>
  <c r="I153" i="4" s="1"/>
  <c r="E153" i="4"/>
  <c r="K153" i="4" s="1"/>
  <c r="L152" i="4"/>
  <c r="F152" i="4"/>
  <c r="G152" i="4" s="1"/>
  <c r="H152" i="4" s="1"/>
  <c r="I152" i="4" s="1"/>
  <c r="E152" i="4"/>
  <c r="K152" i="4" s="1"/>
  <c r="L151" i="4"/>
  <c r="F151" i="4"/>
  <c r="G151" i="4" s="1"/>
  <c r="H151" i="4" s="1"/>
  <c r="I151" i="4" s="1"/>
  <c r="E151" i="4"/>
  <c r="K151" i="4" s="1"/>
  <c r="L150" i="4"/>
  <c r="F150" i="4"/>
  <c r="G150" i="4" s="1"/>
  <c r="H150" i="4" s="1"/>
  <c r="I150" i="4" s="1"/>
  <c r="E150" i="4"/>
  <c r="K150" i="4" s="1"/>
  <c r="L149" i="4"/>
  <c r="F149" i="4"/>
  <c r="G149" i="4" s="1"/>
  <c r="H149" i="4" s="1"/>
  <c r="I149" i="4" s="1"/>
  <c r="E149" i="4"/>
  <c r="K149" i="4" s="1"/>
  <c r="L148" i="4"/>
  <c r="F148" i="4"/>
  <c r="G148" i="4" s="1"/>
  <c r="H148" i="4" s="1"/>
  <c r="I148" i="4" s="1"/>
  <c r="E148" i="4"/>
  <c r="K148" i="4" s="1"/>
  <c r="L147" i="4"/>
  <c r="F147" i="4"/>
  <c r="G147" i="4" s="1"/>
  <c r="H147" i="4" s="1"/>
  <c r="I147" i="4" s="1"/>
  <c r="E147" i="4"/>
  <c r="K147" i="4" s="1"/>
  <c r="L146" i="4"/>
  <c r="F146" i="4"/>
  <c r="G146" i="4" s="1"/>
  <c r="H146" i="4" s="1"/>
  <c r="I146" i="4" s="1"/>
  <c r="E146" i="4"/>
  <c r="K146" i="4" s="1"/>
  <c r="L145" i="4"/>
  <c r="F145" i="4"/>
  <c r="G145" i="4" s="1"/>
  <c r="H145" i="4" s="1"/>
  <c r="I145" i="4" s="1"/>
  <c r="E145" i="4"/>
  <c r="K145" i="4" s="1"/>
  <c r="L144" i="4"/>
  <c r="F144" i="4"/>
  <c r="G144" i="4" s="1"/>
  <c r="H144" i="4" s="1"/>
  <c r="I144" i="4" s="1"/>
  <c r="E144" i="4"/>
  <c r="K144" i="4" s="1"/>
  <c r="L143" i="4"/>
  <c r="F143" i="4"/>
  <c r="G143" i="4" s="1"/>
  <c r="H143" i="4" s="1"/>
  <c r="I143" i="4" s="1"/>
  <c r="E143" i="4"/>
  <c r="K143" i="4" s="1"/>
  <c r="L142" i="4"/>
  <c r="F142" i="4"/>
  <c r="G142" i="4" s="1"/>
  <c r="H142" i="4" s="1"/>
  <c r="I142" i="4" s="1"/>
  <c r="E142" i="4"/>
  <c r="K142" i="4" s="1"/>
  <c r="L141" i="4"/>
  <c r="F141" i="4"/>
  <c r="G141" i="4" s="1"/>
  <c r="H141" i="4" s="1"/>
  <c r="I141" i="4" s="1"/>
  <c r="E141" i="4"/>
  <c r="K141" i="4" s="1"/>
  <c r="L140" i="4"/>
  <c r="F140" i="4"/>
  <c r="G140" i="4" s="1"/>
  <c r="H140" i="4" s="1"/>
  <c r="I140" i="4" s="1"/>
  <c r="E140" i="4"/>
  <c r="K140" i="4" s="1"/>
  <c r="L139" i="4"/>
  <c r="F139" i="4"/>
  <c r="G139" i="4" s="1"/>
  <c r="H139" i="4" s="1"/>
  <c r="I139" i="4" s="1"/>
  <c r="E139" i="4"/>
  <c r="K139" i="4" s="1"/>
  <c r="L138" i="4"/>
  <c r="F138" i="4"/>
  <c r="G138" i="4" s="1"/>
  <c r="H138" i="4" s="1"/>
  <c r="I138" i="4" s="1"/>
  <c r="E138" i="4"/>
  <c r="K138" i="4" s="1"/>
  <c r="L137" i="4"/>
  <c r="F137" i="4"/>
  <c r="G137" i="4" s="1"/>
  <c r="H137" i="4" s="1"/>
  <c r="I137" i="4" s="1"/>
  <c r="E137" i="4"/>
  <c r="K137" i="4" s="1"/>
  <c r="L136" i="4"/>
  <c r="F136" i="4"/>
  <c r="G136" i="4" s="1"/>
  <c r="H136" i="4" s="1"/>
  <c r="I136" i="4" s="1"/>
  <c r="E136" i="4"/>
  <c r="K136" i="4" s="1"/>
  <c r="L135" i="4"/>
  <c r="F135" i="4"/>
  <c r="G135" i="4" s="1"/>
  <c r="H135" i="4" s="1"/>
  <c r="I135" i="4" s="1"/>
  <c r="E135" i="4"/>
  <c r="K135" i="4" s="1"/>
  <c r="L134" i="4"/>
  <c r="F134" i="4"/>
  <c r="G134" i="4" s="1"/>
  <c r="H134" i="4" s="1"/>
  <c r="I134" i="4" s="1"/>
  <c r="E134" i="4"/>
  <c r="K134" i="4" s="1"/>
  <c r="L133" i="4"/>
  <c r="F133" i="4"/>
  <c r="G133" i="4" s="1"/>
  <c r="H133" i="4" s="1"/>
  <c r="I133" i="4" s="1"/>
  <c r="E133" i="4"/>
  <c r="K133" i="4" s="1"/>
  <c r="L132" i="4"/>
  <c r="F132" i="4"/>
  <c r="G132" i="4" s="1"/>
  <c r="H132" i="4" s="1"/>
  <c r="I132" i="4" s="1"/>
  <c r="E132" i="4"/>
  <c r="K132" i="4" s="1"/>
  <c r="L131" i="4"/>
  <c r="F131" i="4"/>
  <c r="G131" i="4" s="1"/>
  <c r="H131" i="4" s="1"/>
  <c r="I131" i="4" s="1"/>
  <c r="E131" i="4"/>
  <c r="K131" i="4" s="1"/>
  <c r="L130" i="4"/>
  <c r="F130" i="4"/>
  <c r="G130" i="4" s="1"/>
  <c r="H130" i="4" s="1"/>
  <c r="I130" i="4" s="1"/>
  <c r="E130" i="4"/>
  <c r="K130" i="4" s="1"/>
  <c r="L129" i="4"/>
  <c r="F129" i="4"/>
  <c r="G129" i="4" s="1"/>
  <c r="H129" i="4" s="1"/>
  <c r="I129" i="4" s="1"/>
  <c r="E129" i="4"/>
  <c r="K129" i="4" s="1"/>
  <c r="L128" i="4"/>
  <c r="F128" i="4"/>
  <c r="G128" i="4" s="1"/>
  <c r="H128" i="4" s="1"/>
  <c r="I128" i="4" s="1"/>
  <c r="E128" i="4"/>
  <c r="K128" i="4" s="1"/>
  <c r="L127" i="4"/>
  <c r="F127" i="4"/>
  <c r="G127" i="4" s="1"/>
  <c r="H127" i="4" s="1"/>
  <c r="I127" i="4" s="1"/>
  <c r="E127" i="4"/>
  <c r="K127" i="4" s="1"/>
  <c r="L126" i="4"/>
  <c r="F126" i="4"/>
  <c r="G126" i="4" s="1"/>
  <c r="H126" i="4" s="1"/>
  <c r="I126" i="4" s="1"/>
  <c r="E126" i="4"/>
  <c r="K126" i="4" s="1"/>
  <c r="L125" i="4"/>
  <c r="F125" i="4"/>
  <c r="G125" i="4" s="1"/>
  <c r="H125" i="4" s="1"/>
  <c r="I125" i="4" s="1"/>
  <c r="E125" i="4"/>
  <c r="K125" i="4" s="1"/>
  <c r="L124" i="4"/>
  <c r="F124" i="4"/>
  <c r="G124" i="4" s="1"/>
  <c r="H124" i="4" s="1"/>
  <c r="I124" i="4" s="1"/>
  <c r="E124" i="4"/>
  <c r="K124" i="4" s="1"/>
  <c r="L123" i="4"/>
  <c r="F123" i="4"/>
  <c r="G123" i="4" s="1"/>
  <c r="H123" i="4" s="1"/>
  <c r="I123" i="4" s="1"/>
  <c r="E123" i="4"/>
  <c r="K123" i="4" s="1"/>
  <c r="L122" i="4"/>
  <c r="F122" i="4"/>
  <c r="G122" i="4" s="1"/>
  <c r="H122" i="4" s="1"/>
  <c r="I122" i="4" s="1"/>
  <c r="E122" i="4"/>
  <c r="K122" i="4" s="1"/>
  <c r="L121" i="4"/>
  <c r="F121" i="4"/>
  <c r="G121" i="4" s="1"/>
  <c r="H121" i="4" s="1"/>
  <c r="I121" i="4" s="1"/>
  <c r="E121" i="4"/>
  <c r="K121" i="4" s="1"/>
  <c r="L120" i="4"/>
  <c r="F120" i="4"/>
  <c r="G120" i="4" s="1"/>
  <c r="H120" i="4" s="1"/>
  <c r="I120" i="4" s="1"/>
  <c r="E120" i="4"/>
  <c r="K120" i="4" s="1"/>
  <c r="L119" i="4"/>
  <c r="F119" i="4"/>
  <c r="G119" i="4" s="1"/>
  <c r="H119" i="4" s="1"/>
  <c r="I119" i="4" s="1"/>
  <c r="E119" i="4"/>
  <c r="K119" i="4" s="1"/>
  <c r="L118" i="4"/>
  <c r="F118" i="4"/>
  <c r="G118" i="4" s="1"/>
  <c r="H118" i="4" s="1"/>
  <c r="I118" i="4" s="1"/>
  <c r="E118" i="4"/>
  <c r="K118" i="4" s="1"/>
  <c r="L117" i="4"/>
  <c r="F117" i="4"/>
  <c r="G117" i="4" s="1"/>
  <c r="H117" i="4" s="1"/>
  <c r="I117" i="4" s="1"/>
  <c r="E117" i="4"/>
  <c r="K117" i="4" s="1"/>
  <c r="L116" i="4"/>
  <c r="F116" i="4"/>
  <c r="G116" i="4" s="1"/>
  <c r="H116" i="4" s="1"/>
  <c r="I116" i="4" s="1"/>
  <c r="E116" i="4"/>
  <c r="K116" i="4" s="1"/>
  <c r="L115" i="4"/>
  <c r="F115" i="4"/>
  <c r="G115" i="4" s="1"/>
  <c r="H115" i="4" s="1"/>
  <c r="I115" i="4" s="1"/>
  <c r="E115" i="4"/>
  <c r="K115" i="4" s="1"/>
  <c r="L114" i="4"/>
  <c r="F114" i="4"/>
  <c r="G114" i="4" s="1"/>
  <c r="H114" i="4" s="1"/>
  <c r="I114" i="4" s="1"/>
  <c r="E114" i="4"/>
  <c r="K114" i="4" s="1"/>
  <c r="L113" i="4"/>
  <c r="F113" i="4"/>
  <c r="G113" i="4" s="1"/>
  <c r="H113" i="4" s="1"/>
  <c r="I113" i="4" s="1"/>
  <c r="E113" i="4"/>
  <c r="K113" i="4" s="1"/>
  <c r="L112" i="4"/>
  <c r="F112" i="4"/>
  <c r="G112" i="4" s="1"/>
  <c r="H112" i="4" s="1"/>
  <c r="I112" i="4" s="1"/>
  <c r="E112" i="4"/>
  <c r="K112" i="4" s="1"/>
  <c r="L111" i="4"/>
  <c r="F111" i="4"/>
  <c r="G111" i="4" s="1"/>
  <c r="H111" i="4" s="1"/>
  <c r="I111" i="4" s="1"/>
  <c r="E111" i="4"/>
  <c r="K111" i="4" s="1"/>
  <c r="L110" i="4"/>
  <c r="F110" i="4"/>
  <c r="G110" i="4" s="1"/>
  <c r="H110" i="4" s="1"/>
  <c r="I110" i="4" s="1"/>
  <c r="E110" i="4"/>
  <c r="K110" i="4" s="1"/>
  <c r="L109" i="4"/>
  <c r="F109" i="4"/>
  <c r="G109" i="4" s="1"/>
  <c r="H109" i="4" s="1"/>
  <c r="I109" i="4" s="1"/>
  <c r="E109" i="4"/>
  <c r="K109" i="4" s="1"/>
  <c r="L108" i="4"/>
  <c r="F108" i="4"/>
  <c r="G108" i="4" s="1"/>
  <c r="H108" i="4" s="1"/>
  <c r="I108" i="4" s="1"/>
  <c r="E108" i="4"/>
  <c r="K108" i="4" s="1"/>
  <c r="L107" i="4"/>
  <c r="F107" i="4"/>
  <c r="G107" i="4" s="1"/>
  <c r="H107" i="4" s="1"/>
  <c r="I107" i="4" s="1"/>
  <c r="E107" i="4"/>
  <c r="K107" i="4" s="1"/>
  <c r="L106" i="4"/>
  <c r="F106" i="4"/>
  <c r="G106" i="4" s="1"/>
  <c r="H106" i="4" s="1"/>
  <c r="I106" i="4" s="1"/>
  <c r="E106" i="4"/>
  <c r="K106" i="4" s="1"/>
  <c r="L105" i="4"/>
  <c r="F105" i="4"/>
  <c r="G105" i="4" s="1"/>
  <c r="H105" i="4" s="1"/>
  <c r="I105" i="4" s="1"/>
  <c r="E105" i="4"/>
  <c r="K105" i="4" s="1"/>
  <c r="L104" i="4"/>
  <c r="F104" i="4"/>
  <c r="G104" i="4" s="1"/>
  <c r="H104" i="4" s="1"/>
  <c r="I104" i="4" s="1"/>
  <c r="E104" i="4"/>
  <c r="K104" i="4" s="1"/>
  <c r="L103" i="4"/>
  <c r="F103" i="4"/>
  <c r="G103" i="4" s="1"/>
  <c r="H103" i="4" s="1"/>
  <c r="I103" i="4" s="1"/>
  <c r="E103" i="4"/>
  <c r="K103" i="4" s="1"/>
  <c r="L102" i="4"/>
  <c r="F102" i="4"/>
  <c r="G102" i="4" s="1"/>
  <c r="H102" i="4" s="1"/>
  <c r="I102" i="4" s="1"/>
  <c r="E102" i="4"/>
  <c r="K102" i="4" s="1"/>
  <c r="L101" i="4"/>
  <c r="F101" i="4"/>
  <c r="G101" i="4" s="1"/>
  <c r="H101" i="4" s="1"/>
  <c r="I101" i="4" s="1"/>
  <c r="E101" i="4"/>
  <c r="K101" i="4" s="1"/>
  <c r="L100" i="4"/>
  <c r="F100" i="4"/>
  <c r="G100" i="4" s="1"/>
  <c r="H100" i="4" s="1"/>
  <c r="I100" i="4" s="1"/>
  <c r="E100" i="4"/>
  <c r="K100" i="4" s="1"/>
  <c r="L99" i="4"/>
  <c r="F99" i="4"/>
  <c r="G99" i="4" s="1"/>
  <c r="H99" i="4" s="1"/>
  <c r="I99" i="4" s="1"/>
  <c r="E99" i="4"/>
  <c r="K99" i="4" s="1"/>
  <c r="L98" i="4"/>
  <c r="F98" i="4"/>
  <c r="G98" i="4" s="1"/>
  <c r="H98" i="4" s="1"/>
  <c r="I98" i="4" s="1"/>
  <c r="E98" i="4"/>
  <c r="K98" i="4" s="1"/>
  <c r="L97" i="4"/>
  <c r="F97" i="4"/>
  <c r="G97" i="4" s="1"/>
  <c r="H97" i="4" s="1"/>
  <c r="I97" i="4" s="1"/>
  <c r="E97" i="4"/>
  <c r="K97" i="4" s="1"/>
  <c r="L96" i="4"/>
  <c r="F96" i="4"/>
  <c r="G96" i="4" s="1"/>
  <c r="H96" i="4" s="1"/>
  <c r="I96" i="4" s="1"/>
  <c r="E96" i="4"/>
  <c r="K96" i="4" s="1"/>
  <c r="L95" i="4"/>
  <c r="F95" i="4"/>
  <c r="G95" i="4" s="1"/>
  <c r="H95" i="4" s="1"/>
  <c r="I95" i="4" s="1"/>
  <c r="E95" i="4"/>
  <c r="K95" i="4" s="1"/>
  <c r="L94" i="4"/>
  <c r="F94" i="4"/>
  <c r="G94" i="4" s="1"/>
  <c r="H94" i="4" s="1"/>
  <c r="I94" i="4" s="1"/>
  <c r="E94" i="4"/>
  <c r="K94" i="4" s="1"/>
  <c r="L93" i="4"/>
  <c r="F93" i="4"/>
  <c r="G93" i="4" s="1"/>
  <c r="H93" i="4" s="1"/>
  <c r="I93" i="4" s="1"/>
  <c r="E93" i="4"/>
  <c r="K93" i="4" s="1"/>
  <c r="L92" i="4"/>
  <c r="F92" i="4"/>
  <c r="G92" i="4" s="1"/>
  <c r="H92" i="4" s="1"/>
  <c r="I92" i="4" s="1"/>
  <c r="E92" i="4"/>
  <c r="K92" i="4" s="1"/>
  <c r="L91" i="4"/>
  <c r="F91" i="4"/>
  <c r="G91" i="4" s="1"/>
  <c r="H91" i="4" s="1"/>
  <c r="I91" i="4" s="1"/>
  <c r="E91" i="4"/>
  <c r="K91" i="4" s="1"/>
  <c r="L90" i="4"/>
  <c r="F90" i="4"/>
  <c r="G90" i="4" s="1"/>
  <c r="H90" i="4" s="1"/>
  <c r="I90" i="4" s="1"/>
  <c r="E90" i="4"/>
  <c r="K90" i="4" s="1"/>
  <c r="L89" i="4"/>
  <c r="F89" i="4"/>
  <c r="G89" i="4" s="1"/>
  <c r="H89" i="4" s="1"/>
  <c r="I89" i="4" s="1"/>
  <c r="E89" i="4"/>
  <c r="K89" i="4" s="1"/>
  <c r="L88" i="4"/>
  <c r="F88" i="4"/>
  <c r="G88" i="4" s="1"/>
  <c r="H88" i="4" s="1"/>
  <c r="I88" i="4" s="1"/>
  <c r="E88" i="4"/>
  <c r="K88" i="4" s="1"/>
  <c r="L87" i="4"/>
  <c r="F87" i="4"/>
  <c r="G87" i="4" s="1"/>
  <c r="H87" i="4" s="1"/>
  <c r="I87" i="4" s="1"/>
  <c r="E87" i="4"/>
  <c r="K87" i="4" s="1"/>
  <c r="L86" i="4"/>
  <c r="F86" i="4"/>
  <c r="G86" i="4" s="1"/>
  <c r="H86" i="4" s="1"/>
  <c r="I86" i="4" s="1"/>
  <c r="E86" i="4"/>
  <c r="K86" i="4" s="1"/>
  <c r="L85" i="4"/>
  <c r="F85" i="4"/>
  <c r="G85" i="4" s="1"/>
  <c r="H85" i="4" s="1"/>
  <c r="I85" i="4" s="1"/>
  <c r="E85" i="4"/>
  <c r="K85" i="4" s="1"/>
  <c r="L84" i="4"/>
  <c r="F84" i="4"/>
  <c r="G84" i="4" s="1"/>
  <c r="H84" i="4" s="1"/>
  <c r="I84" i="4" s="1"/>
  <c r="E84" i="4"/>
  <c r="K84" i="4" s="1"/>
  <c r="L83" i="4"/>
  <c r="F83" i="4"/>
  <c r="G83" i="4" s="1"/>
  <c r="H83" i="4" s="1"/>
  <c r="I83" i="4" s="1"/>
  <c r="E83" i="4"/>
  <c r="K83" i="4" s="1"/>
  <c r="L82" i="4"/>
  <c r="F82" i="4"/>
  <c r="G82" i="4" s="1"/>
  <c r="H82" i="4" s="1"/>
  <c r="I82" i="4" s="1"/>
  <c r="E82" i="4"/>
  <c r="K82" i="4" s="1"/>
  <c r="L81" i="4"/>
  <c r="F81" i="4"/>
  <c r="G81" i="4" s="1"/>
  <c r="H81" i="4" s="1"/>
  <c r="I81" i="4" s="1"/>
  <c r="E81" i="4"/>
  <c r="K81" i="4" s="1"/>
  <c r="L80" i="4"/>
  <c r="F80" i="4"/>
  <c r="G80" i="4" s="1"/>
  <c r="H80" i="4" s="1"/>
  <c r="I80" i="4" s="1"/>
  <c r="E80" i="4"/>
  <c r="K80" i="4" s="1"/>
  <c r="L79" i="4"/>
  <c r="F79" i="4"/>
  <c r="G79" i="4" s="1"/>
  <c r="H79" i="4" s="1"/>
  <c r="I79" i="4" s="1"/>
  <c r="E79" i="4"/>
  <c r="K79" i="4" s="1"/>
  <c r="L78" i="4"/>
  <c r="K78" i="4"/>
  <c r="F78" i="4"/>
  <c r="G78" i="4" s="1"/>
  <c r="H78" i="4" s="1"/>
  <c r="I78" i="4" s="1"/>
  <c r="E78" i="4"/>
  <c r="L77" i="4"/>
  <c r="F77" i="4"/>
  <c r="G77" i="4" s="1"/>
  <c r="H77" i="4" s="1"/>
  <c r="I77" i="4" s="1"/>
  <c r="E77" i="4"/>
  <c r="K77" i="4" s="1"/>
  <c r="L76" i="4"/>
  <c r="F76" i="4"/>
  <c r="G76" i="4" s="1"/>
  <c r="H76" i="4" s="1"/>
  <c r="I76" i="4" s="1"/>
  <c r="E76" i="4"/>
  <c r="K76" i="4" s="1"/>
  <c r="L75" i="4"/>
  <c r="F75" i="4"/>
  <c r="G75" i="4" s="1"/>
  <c r="H75" i="4" s="1"/>
  <c r="I75" i="4" s="1"/>
  <c r="E75" i="4"/>
  <c r="K75" i="4" s="1"/>
  <c r="L74" i="4"/>
  <c r="F74" i="4"/>
  <c r="G74" i="4" s="1"/>
  <c r="H74" i="4" s="1"/>
  <c r="I74" i="4" s="1"/>
  <c r="E74" i="4"/>
  <c r="K74" i="4" s="1"/>
  <c r="L73" i="4"/>
  <c r="F73" i="4"/>
  <c r="G73" i="4" s="1"/>
  <c r="H73" i="4" s="1"/>
  <c r="I73" i="4" s="1"/>
  <c r="E73" i="4"/>
  <c r="K73" i="4" s="1"/>
  <c r="L72" i="4"/>
  <c r="F72" i="4"/>
  <c r="G72" i="4" s="1"/>
  <c r="H72" i="4" s="1"/>
  <c r="I72" i="4" s="1"/>
  <c r="E72" i="4"/>
  <c r="K72" i="4" s="1"/>
  <c r="L71" i="4"/>
  <c r="F71" i="4"/>
  <c r="G71" i="4" s="1"/>
  <c r="H71" i="4" s="1"/>
  <c r="I71" i="4" s="1"/>
  <c r="E71" i="4"/>
  <c r="K71" i="4" s="1"/>
  <c r="L70" i="4"/>
  <c r="F70" i="4"/>
  <c r="G70" i="4" s="1"/>
  <c r="H70" i="4" s="1"/>
  <c r="I70" i="4" s="1"/>
  <c r="E70" i="4"/>
  <c r="K70" i="4" s="1"/>
  <c r="L69" i="4"/>
  <c r="F69" i="4"/>
  <c r="G69" i="4" s="1"/>
  <c r="H69" i="4" s="1"/>
  <c r="I69" i="4" s="1"/>
  <c r="E69" i="4"/>
  <c r="K69" i="4" s="1"/>
  <c r="L68" i="4"/>
  <c r="F68" i="4"/>
  <c r="G68" i="4" s="1"/>
  <c r="H68" i="4" s="1"/>
  <c r="I68" i="4" s="1"/>
  <c r="E68" i="4"/>
  <c r="K68" i="4" s="1"/>
  <c r="L67" i="4"/>
  <c r="F67" i="4"/>
  <c r="G67" i="4" s="1"/>
  <c r="H67" i="4" s="1"/>
  <c r="I67" i="4" s="1"/>
  <c r="E67" i="4"/>
  <c r="K67" i="4" s="1"/>
  <c r="L66" i="4"/>
  <c r="F66" i="4"/>
  <c r="G66" i="4" s="1"/>
  <c r="H66" i="4" s="1"/>
  <c r="I66" i="4" s="1"/>
  <c r="E66" i="4"/>
  <c r="K66" i="4" s="1"/>
  <c r="L65" i="4"/>
  <c r="F65" i="4"/>
  <c r="G65" i="4" s="1"/>
  <c r="H65" i="4" s="1"/>
  <c r="I65" i="4" s="1"/>
  <c r="E65" i="4"/>
  <c r="K65" i="4" s="1"/>
  <c r="L64" i="4"/>
  <c r="F64" i="4"/>
  <c r="G64" i="4" s="1"/>
  <c r="H64" i="4" s="1"/>
  <c r="I64" i="4" s="1"/>
  <c r="E64" i="4"/>
  <c r="K64" i="4" s="1"/>
  <c r="L63" i="4"/>
  <c r="F63" i="4"/>
  <c r="G63" i="4" s="1"/>
  <c r="H63" i="4" s="1"/>
  <c r="I63" i="4" s="1"/>
  <c r="E63" i="4"/>
  <c r="K63" i="4" s="1"/>
  <c r="L62" i="4"/>
  <c r="F62" i="4"/>
  <c r="G62" i="4" s="1"/>
  <c r="H62" i="4" s="1"/>
  <c r="I62" i="4" s="1"/>
  <c r="E62" i="4"/>
  <c r="K62" i="4" s="1"/>
  <c r="L61" i="4"/>
  <c r="F61" i="4"/>
  <c r="G61" i="4" s="1"/>
  <c r="H61" i="4" s="1"/>
  <c r="I61" i="4" s="1"/>
  <c r="E61" i="4"/>
  <c r="K61" i="4" s="1"/>
  <c r="L60" i="4"/>
  <c r="F60" i="4"/>
  <c r="G60" i="4" s="1"/>
  <c r="H60" i="4" s="1"/>
  <c r="I60" i="4" s="1"/>
  <c r="E60" i="4"/>
  <c r="K60" i="4" s="1"/>
  <c r="L59" i="4"/>
  <c r="F59" i="4"/>
  <c r="G59" i="4" s="1"/>
  <c r="H59" i="4" s="1"/>
  <c r="I59" i="4" s="1"/>
  <c r="E59" i="4"/>
  <c r="K59" i="4" s="1"/>
  <c r="L58" i="4"/>
  <c r="F58" i="4"/>
  <c r="G58" i="4" s="1"/>
  <c r="H58" i="4" s="1"/>
  <c r="I58" i="4" s="1"/>
  <c r="E58" i="4"/>
  <c r="K58" i="4" s="1"/>
  <c r="L57" i="4"/>
  <c r="F57" i="4"/>
  <c r="G57" i="4" s="1"/>
  <c r="H57" i="4" s="1"/>
  <c r="I57" i="4" s="1"/>
  <c r="E57" i="4"/>
  <c r="K57" i="4" s="1"/>
  <c r="L56" i="4"/>
  <c r="F56" i="4"/>
  <c r="G56" i="4" s="1"/>
  <c r="H56" i="4" s="1"/>
  <c r="I56" i="4" s="1"/>
  <c r="E56" i="4"/>
  <c r="K56" i="4" s="1"/>
  <c r="L55" i="4"/>
  <c r="F55" i="4"/>
  <c r="G55" i="4" s="1"/>
  <c r="H55" i="4" s="1"/>
  <c r="I55" i="4" s="1"/>
  <c r="E55" i="4"/>
  <c r="K55" i="4" s="1"/>
  <c r="L54" i="4"/>
  <c r="F54" i="4"/>
  <c r="G54" i="4" s="1"/>
  <c r="H54" i="4" s="1"/>
  <c r="I54" i="4" s="1"/>
  <c r="E54" i="4"/>
  <c r="K54" i="4" s="1"/>
  <c r="L53" i="4"/>
  <c r="F53" i="4"/>
  <c r="G53" i="4" s="1"/>
  <c r="H53" i="4" s="1"/>
  <c r="I53" i="4" s="1"/>
  <c r="E53" i="4"/>
  <c r="K53" i="4" s="1"/>
  <c r="L52" i="4"/>
  <c r="F52" i="4"/>
  <c r="G52" i="4" s="1"/>
  <c r="H52" i="4" s="1"/>
  <c r="I52" i="4" s="1"/>
  <c r="E52" i="4"/>
  <c r="K52" i="4" s="1"/>
  <c r="L51" i="4"/>
  <c r="F51" i="4"/>
  <c r="G51" i="4" s="1"/>
  <c r="H51" i="4" s="1"/>
  <c r="I51" i="4" s="1"/>
  <c r="E51" i="4"/>
  <c r="K51" i="4" s="1"/>
  <c r="L50" i="4"/>
  <c r="F50" i="4"/>
  <c r="G50" i="4" s="1"/>
  <c r="H50" i="4" s="1"/>
  <c r="I50" i="4" s="1"/>
  <c r="E50" i="4"/>
  <c r="K50" i="4" s="1"/>
  <c r="L49" i="4"/>
  <c r="F49" i="4"/>
  <c r="G49" i="4" s="1"/>
  <c r="H49" i="4" s="1"/>
  <c r="I49" i="4" s="1"/>
  <c r="E49" i="4"/>
  <c r="K49" i="4" s="1"/>
  <c r="L48" i="4"/>
  <c r="F48" i="4"/>
  <c r="G48" i="4" s="1"/>
  <c r="H48" i="4" s="1"/>
  <c r="I48" i="4" s="1"/>
  <c r="E48" i="4"/>
  <c r="K48" i="4" s="1"/>
  <c r="L47" i="4"/>
  <c r="F47" i="4"/>
  <c r="G47" i="4" s="1"/>
  <c r="H47" i="4" s="1"/>
  <c r="I47" i="4" s="1"/>
  <c r="E47" i="4"/>
  <c r="K47" i="4" s="1"/>
  <c r="L46" i="4"/>
  <c r="F46" i="4"/>
  <c r="G46" i="4" s="1"/>
  <c r="H46" i="4" s="1"/>
  <c r="I46" i="4" s="1"/>
  <c r="E46" i="4"/>
  <c r="K46" i="4" s="1"/>
  <c r="L45" i="4"/>
  <c r="F45" i="4"/>
  <c r="G45" i="4" s="1"/>
  <c r="H45" i="4" s="1"/>
  <c r="I45" i="4" s="1"/>
  <c r="E45" i="4"/>
  <c r="K45" i="4" s="1"/>
  <c r="L44" i="4"/>
  <c r="F44" i="4"/>
  <c r="G44" i="4" s="1"/>
  <c r="H44" i="4" s="1"/>
  <c r="I44" i="4" s="1"/>
  <c r="E44" i="4"/>
  <c r="K44" i="4" s="1"/>
  <c r="L43" i="4"/>
  <c r="F43" i="4"/>
  <c r="G43" i="4" s="1"/>
  <c r="H43" i="4" s="1"/>
  <c r="E43" i="4"/>
  <c r="K43" i="4" s="1"/>
  <c r="L42" i="4"/>
  <c r="F42" i="4"/>
  <c r="G42" i="4" s="1"/>
  <c r="H42" i="4" s="1"/>
  <c r="I42" i="4" s="1"/>
  <c r="E42" i="4"/>
  <c r="K42" i="4" s="1"/>
  <c r="L41" i="4"/>
  <c r="F41" i="4"/>
  <c r="G41" i="4" s="1"/>
  <c r="H41" i="4" s="1"/>
  <c r="I41" i="4" s="1"/>
  <c r="E41" i="4"/>
  <c r="K41" i="4" s="1"/>
  <c r="L40" i="4"/>
  <c r="F40" i="4"/>
  <c r="G40" i="4" s="1"/>
  <c r="H40" i="4" s="1"/>
  <c r="I40" i="4" s="1"/>
  <c r="E40" i="4"/>
  <c r="K40" i="4" s="1"/>
  <c r="L39" i="4"/>
  <c r="F39" i="4"/>
  <c r="G39" i="4" s="1"/>
  <c r="H39" i="4" s="1"/>
  <c r="I39" i="4" s="1"/>
  <c r="E39" i="4"/>
  <c r="K39" i="4" s="1"/>
  <c r="L38" i="4"/>
  <c r="F38" i="4"/>
  <c r="G38" i="4" s="1"/>
  <c r="H38" i="4" s="1"/>
  <c r="I38" i="4" s="1"/>
  <c r="E38" i="4"/>
  <c r="K38" i="4" s="1"/>
  <c r="L37" i="4"/>
  <c r="F37" i="4"/>
  <c r="G37" i="4" s="1"/>
  <c r="H37" i="4" s="1"/>
  <c r="I37" i="4" s="1"/>
  <c r="E37" i="4"/>
  <c r="K37" i="4" s="1"/>
  <c r="L36" i="4"/>
  <c r="F36" i="4"/>
  <c r="G36" i="4" s="1"/>
  <c r="H36" i="4" s="1"/>
  <c r="I36" i="4" s="1"/>
  <c r="E36" i="4"/>
  <c r="K36" i="4" s="1"/>
  <c r="L35" i="4"/>
  <c r="F35" i="4"/>
  <c r="G35" i="4" s="1"/>
  <c r="H35" i="4" s="1"/>
  <c r="I35" i="4" s="1"/>
  <c r="E35" i="4"/>
  <c r="K35" i="4" s="1"/>
  <c r="L34" i="4"/>
  <c r="F34" i="4"/>
  <c r="G34" i="4" s="1"/>
  <c r="H34" i="4" s="1"/>
  <c r="I34" i="4" s="1"/>
  <c r="E34" i="4"/>
  <c r="K34" i="4" s="1"/>
  <c r="L33" i="4"/>
  <c r="F33" i="4"/>
  <c r="G33" i="4" s="1"/>
  <c r="H33" i="4" s="1"/>
  <c r="I33" i="4" s="1"/>
  <c r="E33" i="4"/>
  <c r="K33" i="4" s="1"/>
  <c r="L32" i="4"/>
  <c r="F32" i="4"/>
  <c r="G32" i="4" s="1"/>
  <c r="H32" i="4" s="1"/>
  <c r="I32" i="4" s="1"/>
  <c r="E32" i="4"/>
  <c r="K32" i="4" s="1"/>
  <c r="L31" i="4"/>
  <c r="F31" i="4"/>
  <c r="G31" i="4" s="1"/>
  <c r="H31" i="4" s="1"/>
  <c r="I31" i="4" s="1"/>
  <c r="E31" i="4"/>
  <c r="K31" i="4" s="1"/>
  <c r="L30" i="4"/>
  <c r="F30" i="4"/>
  <c r="G30" i="4" s="1"/>
  <c r="H30" i="4" s="1"/>
  <c r="I30" i="4" s="1"/>
  <c r="E30" i="4"/>
  <c r="K30" i="4" s="1"/>
  <c r="L29" i="4"/>
  <c r="F29" i="4"/>
  <c r="G29" i="4" s="1"/>
  <c r="H29" i="4" s="1"/>
  <c r="I29" i="4" s="1"/>
  <c r="E29" i="4"/>
  <c r="K29" i="4" s="1"/>
  <c r="L28" i="4"/>
  <c r="F28" i="4"/>
  <c r="G28" i="4" s="1"/>
  <c r="H28" i="4" s="1"/>
  <c r="I28" i="4" s="1"/>
  <c r="E28" i="4"/>
  <c r="K28" i="4" s="1"/>
  <c r="L27" i="4"/>
  <c r="F27" i="4"/>
  <c r="G27" i="4" s="1"/>
  <c r="H27" i="4" s="1"/>
  <c r="I27" i="4" s="1"/>
  <c r="E27" i="4"/>
  <c r="K27" i="4" s="1"/>
  <c r="L26" i="4"/>
  <c r="F26" i="4"/>
  <c r="G26" i="4" s="1"/>
  <c r="H26" i="4" s="1"/>
  <c r="I26" i="4" s="1"/>
  <c r="E26" i="4"/>
  <c r="K26" i="4" s="1"/>
  <c r="L25" i="4"/>
  <c r="F25" i="4"/>
  <c r="G25" i="4" s="1"/>
  <c r="H25" i="4" s="1"/>
  <c r="I25" i="4" s="1"/>
  <c r="E25" i="4"/>
  <c r="K25" i="4" s="1"/>
  <c r="L24" i="4"/>
  <c r="F24" i="4"/>
  <c r="G24" i="4" s="1"/>
  <c r="H24" i="4" s="1"/>
  <c r="I24" i="4" s="1"/>
  <c r="E24" i="4"/>
  <c r="K24" i="4" s="1"/>
  <c r="L23" i="4"/>
  <c r="F23" i="4"/>
  <c r="G23" i="4" s="1"/>
  <c r="H23" i="4" s="1"/>
  <c r="I23" i="4" s="1"/>
  <c r="E23" i="4"/>
  <c r="K23" i="4" s="1"/>
  <c r="L22" i="4"/>
  <c r="F22" i="4"/>
  <c r="G22" i="4" s="1"/>
  <c r="H22" i="4" s="1"/>
  <c r="I22" i="4" s="1"/>
  <c r="E22" i="4"/>
  <c r="K22" i="4" s="1"/>
  <c r="L21" i="4"/>
  <c r="F21" i="4"/>
  <c r="G21" i="4" s="1"/>
  <c r="H21" i="4" s="1"/>
  <c r="I21" i="4" s="1"/>
  <c r="E21" i="4"/>
  <c r="K21" i="4" s="1"/>
  <c r="L20" i="4"/>
  <c r="F20" i="4"/>
  <c r="G20" i="4" s="1"/>
  <c r="H20" i="4" s="1"/>
  <c r="I20" i="4" s="1"/>
  <c r="E20" i="4"/>
  <c r="K20" i="4" s="1"/>
  <c r="L19" i="4"/>
  <c r="F19" i="4"/>
  <c r="G19" i="4" s="1"/>
  <c r="H19" i="4" s="1"/>
  <c r="I19" i="4" s="1"/>
  <c r="E19" i="4"/>
  <c r="K19" i="4" s="1"/>
  <c r="Q18" i="4"/>
  <c r="L18" i="4"/>
  <c r="F18" i="4"/>
  <c r="G18" i="4" s="1"/>
  <c r="H18" i="4" s="1"/>
  <c r="I18" i="4" s="1"/>
  <c r="E18" i="4"/>
  <c r="K18" i="4" s="1"/>
  <c r="Q17" i="4"/>
  <c r="L17" i="4"/>
  <c r="F17" i="4"/>
  <c r="G17" i="4" s="1"/>
  <c r="H17" i="4" s="1"/>
  <c r="I17" i="4" s="1"/>
  <c r="E17" i="4"/>
  <c r="K17" i="4" s="1"/>
  <c r="Q16" i="4"/>
  <c r="L16" i="4"/>
  <c r="F16" i="4"/>
  <c r="G16" i="4" s="1"/>
  <c r="H16" i="4" s="1"/>
  <c r="I16" i="4" s="1"/>
  <c r="E16" i="4"/>
  <c r="K16" i="4" s="1"/>
  <c r="Q15" i="4"/>
  <c r="L15" i="4"/>
  <c r="F15" i="4"/>
  <c r="G15" i="4" s="1"/>
  <c r="H15" i="4" s="1"/>
  <c r="I15" i="4" s="1"/>
  <c r="E15" i="4"/>
  <c r="K15" i="4" s="1"/>
  <c r="Q14" i="4"/>
  <c r="L14" i="4"/>
  <c r="F14" i="4"/>
  <c r="G14" i="4" s="1"/>
  <c r="H14" i="4" s="1"/>
  <c r="I14" i="4" s="1"/>
  <c r="E14" i="4"/>
  <c r="K14" i="4" s="1"/>
  <c r="Q13" i="4"/>
  <c r="L13" i="4"/>
  <c r="F13" i="4"/>
  <c r="G13" i="4" s="1"/>
  <c r="H13" i="4" s="1"/>
  <c r="I13" i="4" s="1"/>
  <c r="E13" i="4"/>
  <c r="K13" i="4" s="1"/>
  <c r="Q12" i="4"/>
  <c r="L12" i="4"/>
  <c r="F12" i="4"/>
  <c r="G12" i="4" s="1"/>
  <c r="H12" i="4" s="1"/>
  <c r="I12" i="4" s="1"/>
  <c r="E12" i="4"/>
  <c r="K12" i="4" s="1"/>
  <c r="Q11" i="4"/>
  <c r="L11" i="4"/>
  <c r="F11" i="4"/>
  <c r="G11" i="4" s="1"/>
  <c r="H11" i="4" s="1"/>
  <c r="I11" i="4" s="1"/>
  <c r="E11" i="4"/>
  <c r="K11" i="4" s="1"/>
  <c r="Q10" i="4"/>
  <c r="L10" i="4"/>
  <c r="F10" i="4"/>
  <c r="G10" i="4" s="1"/>
  <c r="H10" i="4" s="1"/>
  <c r="I10" i="4" s="1"/>
  <c r="E10" i="4"/>
  <c r="K10" i="4" s="1"/>
  <c r="Q9" i="4"/>
  <c r="L9" i="4"/>
  <c r="F9" i="4"/>
  <c r="G9" i="4" s="1"/>
  <c r="H9" i="4" s="1"/>
  <c r="I9" i="4" s="1"/>
  <c r="E9" i="4"/>
  <c r="K9" i="4" s="1"/>
  <c r="Q8" i="4"/>
  <c r="L8" i="4"/>
  <c r="F8" i="4"/>
  <c r="G8" i="4" s="1"/>
  <c r="H8" i="4" s="1"/>
  <c r="I8" i="4" s="1"/>
  <c r="E8" i="4"/>
  <c r="K8" i="4" s="1"/>
  <c r="Q7" i="4"/>
  <c r="L7" i="4"/>
  <c r="F7" i="4"/>
  <c r="G7" i="4" s="1"/>
  <c r="H7" i="4" s="1"/>
  <c r="I7" i="4" s="1"/>
  <c r="E7" i="4"/>
  <c r="K7" i="4" s="1"/>
  <c r="Q6" i="4"/>
  <c r="L6" i="4"/>
  <c r="F6" i="4"/>
  <c r="G6" i="4" s="1"/>
  <c r="H6" i="4" s="1"/>
  <c r="I6" i="4" s="1"/>
  <c r="E6" i="4"/>
  <c r="K6" i="4" s="1"/>
  <c r="Q5" i="4"/>
  <c r="L5" i="4"/>
  <c r="F5" i="4"/>
  <c r="G5" i="4" s="1"/>
  <c r="H5" i="4" s="1"/>
  <c r="I5" i="4" s="1"/>
  <c r="E5" i="4"/>
  <c r="K5" i="4" s="1"/>
  <c r="Q4" i="4"/>
  <c r="L4" i="4"/>
  <c r="F4" i="4"/>
  <c r="G4" i="4" s="1"/>
  <c r="H4" i="4" s="1"/>
  <c r="I4" i="4" s="1"/>
  <c r="E4" i="4"/>
  <c r="K4" i="4" s="1"/>
  <c r="Q3" i="4"/>
  <c r="L3" i="4"/>
  <c r="F3" i="4"/>
  <c r="G3" i="4" s="1"/>
  <c r="H3" i="4" s="1"/>
  <c r="I3" i="4" s="1"/>
  <c r="E3" i="4"/>
  <c r="K3" i="4" s="1"/>
  <c r="Q2" i="4"/>
  <c r="L2" i="4"/>
  <c r="F2" i="4"/>
  <c r="G2" i="4" s="1"/>
  <c r="H2" i="4" s="1"/>
  <c r="I2" i="4" s="1"/>
  <c r="E2" i="4"/>
  <c r="K2" i="4" s="1"/>
  <c r="F300" i="3"/>
  <c r="F299" i="3"/>
  <c r="F297" i="3"/>
  <c r="F296" i="3"/>
  <c r="F295" i="3"/>
  <c r="F294" i="3"/>
  <c r="F293" i="3"/>
  <c r="F292" i="3"/>
  <c r="F291" i="3"/>
  <c r="F290" i="3"/>
  <c r="F289" i="3"/>
  <c r="F288" i="3"/>
  <c r="F287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D203" i="2" s="1"/>
  <c r="F200" i="3"/>
  <c r="D202" i="2" s="1"/>
  <c r="F199" i="3"/>
  <c r="D201" i="2" s="1"/>
  <c r="F198" i="3"/>
  <c r="D200" i="2" s="1"/>
  <c r="F197" i="3"/>
  <c r="D199" i="2" s="1"/>
  <c r="F196" i="3"/>
  <c r="D198" i="2" s="1"/>
  <c r="F195" i="3"/>
  <c r="D197" i="2" s="1"/>
  <c r="F194" i="3"/>
  <c r="D196" i="2" s="1"/>
  <c r="F193" i="3"/>
  <c r="D195" i="2" s="1"/>
  <c r="F192" i="3"/>
  <c r="D194" i="2" s="1"/>
  <c r="F191" i="3"/>
  <c r="D193" i="2" s="1"/>
  <c r="F190" i="3"/>
  <c r="D192" i="2" s="1"/>
  <c r="F189" i="3"/>
  <c r="D191" i="2" s="1"/>
  <c r="F188" i="3"/>
  <c r="D190" i="2" s="1"/>
  <c r="F187" i="3"/>
  <c r="D189" i="2" s="1"/>
  <c r="F186" i="3"/>
  <c r="D188" i="2" s="1"/>
  <c r="F185" i="3"/>
  <c r="D187" i="2" s="1"/>
  <c r="F184" i="3"/>
  <c r="D186" i="2" s="1"/>
  <c r="F183" i="3"/>
  <c r="D185" i="2" s="1"/>
  <c r="F182" i="3"/>
  <c r="D184" i="2" s="1"/>
  <c r="F181" i="3"/>
  <c r="D183" i="2" s="1"/>
  <c r="F180" i="3"/>
  <c r="D182" i="2" s="1"/>
  <c r="F179" i="3"/>
  <c r="D181" i="2" s="1"/>
  <c r="F178" i="3"/>
  <c r="D180" i="2" s="1"/>
  <c r="F177" i="3"/>
  <c r="D179" i="2" s="1"/>
  <c r="F176" i="3"/>
  <c r="D178" i="2" s="1"/>
  <c r="F175" i="3"/>
  <c r="D177" i="2" s="1"/>
  <c r="F174" i="3"/>
  <c r="D176" i="2" s="1"/>
  <c r="F173" i="3"/>
  <c r="D175" i="2" s="1"/>
  <c r="F172" i="3"/>
  <c r="D174" i="2" s="1"/>
  <c r="F171" i="3"/>
  <c r="D173" i="2" s="1"/>
  <c r="F170" i="3"/>
  <c r="D172" i="2" s="1"/>
  <c r="F169" i="3"/>
  <c r="D171" i="2" s="1"/>
  <c r="F168" i="3"/>
  <c r="D170" i="2" s="1"/>
  <c r="F167" i="3"/>
  <c r="D169" i="2" s="1"/>
  <c r="F166" i="3"/>
  <c r="D168" i="2" s="1"/>
  <c r="F165" i="3"/>
  <c r="D167" i="2" s="1"/>
  <c r="F164" i="3"/>
  <c r="D166" i="2" s="1"/>
  <c r="F163" i="3"/>
  <c r="D165" i="2" s="1"/>
  <c r="F162" i="3"/>
  <c r="D164" i="2" s="1"/>
  <c r="F161" i="3"/>
  <c r="D163" i="2" s="1"/>
  <c r="F160" i="3"/>
  <c r="D162" i="2" s="1"/>
  <c r="F159" i="3"/>
  <c r="D161" i="2" s="1"/>
  <c r="F158" i="3"/>
  <c r="D160" i="2" s="1"/>
  <c r="F157" i="3"/>
  <c r="D159" i="2" s="1"/>
  <c r="F156" i="3"/>
  <c r="D158" i="2" s="1"/>
  <c r="F155" i="3"/>
  <c r="D157" i="2" s="1"/>
  <c r="F154" i="3"/>
  <c r="D156" i="2" s="1"/>
  <c r="F153" i="3"/>
  <c r="D155" i="2" s="1"/>
  <c r="F152" i="3"/>
  <c r="D154" i="2" s="1"/>
  <c r="F151" i="3"/>
  <c r="D153" i="2" s="1"/>
  <c r="F150" i="3"/>
  <c r="D152" i="2" s="1"/>
  <c r="F149" i="3"/>
  <c r="D151" i="2" s="1"/>
  <c r="F148" i="3"/>
  <c r="D150" i="2" s="1"/>
  <c r="F147" i="3"/>
  <c r="D149" i="2" s="1"/>
  <c r="F146" i="3"/>
  <c r="D148" i="2" s="1"/>
  <c r="F145" i="3"/>
  <c r="D147" i="2" s="1"/>
  <c r="F144" i="3"/>
  <c r="D146" i="2" s="1"/>
  <c r="F143" i="3"/>
  <c r="D145" i="2" s="1"/>
  <c r="F142" i="3"/>
  <c r="D144" i="2" s="1"/>
  <c r="F141" i="3"/>
  <c r="D143" i="2" s="1"/>
  <c r="F140" i="3"/>
  <c r="D142" i="2" s="1"/>
  <c r="F139" i="3"/>
  <c r="D141" i="2" s="1"/>
  <c r="F138" i="3"/>
  <c r="D140" i="2" s="1"/>
  <c r="F137" i="3"/>
  <c r="D139" i="2" s="1"/>
  <c r="F136" i="3"/>
  <c r="D138" i="2" s="1"/>
  <c r="F135" i="3"/>
  <c r="D137" i="2" s="1"/>
  <c r="F134" i="3"/>
  <c r="D136" i="2" s="1"/>
  <c r="F133" i="3"/>
  <c r="D135" i="2" s="1"/>
  <c r="F132" i="3"/>
  <c r="D134" i="2" s="1"/>
  <c r="F131" i="3"/>
  <c r="D133" i="2" s="1"/>
  <c r="F130" i="3"/>
  <c r="D132" i="2" s="1"/>
  <c r="F129" i="3"/>
  <c r="D131" i="2" s="1"/>
  <c r="F128" i="3"/>
  <c r="D130" i="2" s="1"/>
  <c r="F127" i="3"/>
  <c r="D129" i="2" s="1"/>
  <c r="F126" i="3"/>
  <c r="D128" i="2" s="1"/>
  <c r="F125" i="3"/>
  <c r="D127" i="2" s="1"/>
  <c r="F124" i="3"/>
  <c r="D126" i="2" s="1"/>
  <c r="F123" i="3"/>
  <c r="D125" i="2" s="1"/>
  <c r="F122" i="3"/>
  <c r="D124" i="2" s="1"/>
  <c r="F121" i="3"/>
  <c r="D123" i="2" s="1"/>
  <c r="F120" i="3"/>
  <c r="D122" i="2" s="1"/>
  <c r="F119" i="3"/>
  <c r="D121" i="2" s="1"/>
  <c r="F118" i="3"/>
  <c r="D120" i="2" s="1"/>
  <c r="F117" i="3"/>
  <c r="D119" i="2" s="1"/>
  <c r="F116" i="3"/>
  <c r="D118" i="2" s="1"/>
  <c r="F115" i="3"/>
  <c r="D117" i="2" s="1"/>
  <c r="F114" i="3"/>
  <c r="D116" i="2" s="1"/>
  <c r="F113" i="3"/>
  <c r="D115" i="2" s="1"/>
  <c r="F112" i="3"/>
  <c r="D114" i="2" s="1"/>
  <c r="F111" i="3"/>
  <c r="D113" i="2" s="1"/>
  <c r="F110" i="3"/>
  <c r="D112" i="2" s="1"/>
  <c r="F109" i="3"/>
  <c r="D111" i="2" s="1"/>
  <c r="F108" i="3"/>
  <c r="D110" i="2" s="1"/>
  <c r="F107" i="3"/>
  <c r="D109" i="2" s="1"/>
  <c r="F106" i="3"/>
  <c r="D108" i="2" s="1"/>
  <c r="F105" i="3"/>
  <c r="D107" i="2" s="1"/>
  <c r="F104" i="3"/>
  <c r="D106" i="2" s="1"/>
  <c r="F103" i="3"/>
  <c r="D105" i="2" s="1"/>
  <c r="F102" i="3"/>
  <c r="D104" i="2" s="1"/>
  <c r="F101" i="3"/>
  <c r="D103" i="2" s="1"/>
  <c r="F100" i="3"/>
  <c r="D102" i="2" s="1"/>
  <c r="F99" i="3"/>
  <c r="D101" i="2" s="1"/>
  <c r="F98" i="3"/>
  <c r="D100" i="2" s="1"/>
  <c r="F97" i="3"/>
  <c r="D99" i="2" s="1"/>
  <c r="F96" i="3"/>
  <c r="D98" i="2" s="1"/>
  <c r="F95" i="3"/>
  <c r="D97" i="2" s="1"/>
  <c r="F94" i="3"/>
  <c r="D96" i="2" s="1"/>
  <c r="F93" i="3"/>
  <c r="D95" i="2" s="1"/>
  <c r="F92" i="3"/>
  <c r="D94" i="2" s="1"/>
  <c r="F91" i="3"/>
  <c r="D93" i="2" s="1"/>
  <c r="F90" i="3"/>
  <c r="D92" i="2" s="1"/>
  <c r="F89" i="3"/>
  <c r="D91" i="2" s="1"/>
  <c r="F88" i="3"/>
  <c r="D90" i="2" s="1"/>
  <c r="F87" i="3"/>
  <c r="D89" i="2" s="1"/>
  <c r="F86" i="3"/>
  <c r="D88" i="2" s="1"/>
  <c r="F85" i="3"/>
  <c r="D87" i="2" s="1"/>
  <c r="F84" i="3"/>
  <c r="D86" i="2" s="1"/>
  <c r="F83" i="3"/>
  <c r="D85" i="2" s="1"/>
  <c r="F82" i="3"/>
  <c r="D84" i="2" s="1"/>
  <c r="F81" i="3"/>
  <c r="D83" i="2" s="1"/>
  <c r="F80" i="3"/>
  <c r="D82" i="2" s="1"/>
  <c r="F79" i="3"/>
  <c r="D81" i="2" s="1"/>
  <c r="F78" i="3"/>
  <c r="D80" i="2" s="1"/>
  <c r="F77" i="3"/>
  <c r="D79" i="2" s="1"/>
  <c r="F76" i="3"/>
  <c r="D78" i="2" s="1"/>
  <c r="F75" i="3"/>
  <c r="D77" i="2" s="1"/>
  <c r="F74" i="3"/>
  <c r="D76" i="2" s="1"/>
  <c r="F73" i="3"/>
  <c r="D75" i="2" s="1"/>
  <c r="F72" i="3"/>
  <c r="D74" i="2" s="1"/>
  <c r="F71" i="3"/>
  <c r="D73" i="2" s="1"/>
  <c r="F70" i="3"/>
  <c r="D72" i="2" s="1"/>
  <c r="F69" i="3"/>
  <c r="D71" i="2" s="1"/>
  <c r="F68" i="3"/>
  <c r="D70" i="2" s="1"/>
  <c r="F67" i="3"/>
  <c r="D69" i="2" s="1"/>
  <c r="F66" i="3"/>
  <c r="D68" i="2" s="1"/>
  <c r="F65" i="3"/>
  <c r="D67" i="2" s="1"/>
  <c r="F64" i="3"/>
  <c r="D66" i="2" s="1"/>
  <c r="F63" i="3"/>
  <c r="D65" i="2" s="1"/>
  <c r="F62" i="3"/>
  <c r="D64" i="2" s="1"/>
  <c r="F61" i="3"/>
  <c r="D63" i="2" s="1"/>
  <c r="F60" i="3"/>
  <c r="D62" i="2" s="1"/>
  <c r="F59" i="3"/>
  <c r="D61" i="2" s="1"/>
  <c r="F58" i="3"/>
  <c r="D60" i="2" s="1"/>
  <c r="F57" i="3"/>
  <c r="D59" i="2" s="1"/>
  <c r="F56" i="3"/>
  <c r="D58" i="2" s="1"/>
  <c r="F55" i="3"/>
  <c r="D57" i="2" s="1"/>
  <c r="F54" i="3"/>
  <c r="D56" i="2" s="1"/>
  <c r="F53" i="3"/>
  <c r="D55" i="2" s="1"/>
  <c r="F52" i="3"/>
  <c r="D54" i="2" s="1"/>
  <c r="F51" i="3"/>
  <c r="D53" i="2" s="1"/>
  <c r="F50" i="3"/>
  <c r="D52" i="2" s="1"/>
  <c r="F49" i="3"/>
  <c r="D51" i="2" s="1"/>
  <c r="F48" i="3"/>
  <c r="D50" i="2" s="1"/>
  <c r="F47" i="3"/>
  <c r="D49" i="2" s="1"/>
  <c r="F46" i="3"/>
  <c r="D48" i="2" s="1"/>
  <c r="F45" i="3"/>
  <c r="D47" i="2" s="1"/>
  <c r="F44" i="3"/>
  <c r="D46" i="2" s="1"/>
  <c r="F43" i="3"/>
  <c r="D45" i="2" s="1"/>
  <c r="F42" i="3"/>
  <c r="D44" i="2" s="1"/>
  <c r="F41" i="3"/>
  <c r="D43" i="2" s="1"/>
  <c r="F40" i="3"/>
  <c r="D42" i="2" s="1"/>
  <c r="F39" i="3"/>
  <c r="D41" i="2" s="1"/>
  <c r="F38" i="3"/>
  <c r="D40" i="2" s="1"/>
  <c r="F37" i="3"/>
  <c r="D39" i="2" s="1"/>
  <c r="F36" i="3"/>
  <c r="D38" i="2" s="1"/>
  <c r="F35" i="3"/>
  <c r="D37" i="2" s="1"/>
  <c r="F34" i="3"/>
  <c r="D36" i="2" s="1"/>
  <c r="F33" i="3"/>
  <c r="D35" i="2" s="1"/>
  <c r="F32" i="3"/>
  <c r="D34" i="2" s="1"/>
  <c r="F31" i="3"/>
  <c r="D33" i="2" s="1"/>
  <c r="F30" i="3"/>
  <c r="D32" i="2" s="1"/>
  <c r="F29" i="3"/>
  <c r="D31" i="2" s="1"/>
  <c r="F28" i="3"/>
  <c r="D30" i="2" s="1"/>
  <c r="F27" i="3"/>
  <c r="D29" i="2" s="1"/>
  <c r="F26" i="3"/>
  <c r="D28" i="2" s="1"/>
  <c r="F25" i="3"/>
  <c r="D27" i="2" s="1"/>
  <c r="F24" i="3"/>
  <c r="D26" i="2" s="1"/>
  <c r="F23" i="3"/>
  <c r="D25" i="2" s="1"/>
  <c r="F22" i="3"/>
  <c r="D24" i="2" s="1"/>
  <c r="F21" i="3"/>
  <c r="D23" i="2" s="1"/>
  <c r="F20" i="3"/>
  <c r="D22" i="2" s="1"/>
  <c r="F19" i="3"/>
  <c r="D21" i="2" s="1"/>
  <c r="F18" i="3"/>
  <c r="D20" i="2" s="1"/>
  <c r="F17" i="3"/>
  <c r="D19" i="2" s="1"/>
  <c r="F16" i="3"/>
  <c r="D18" i="2" s="1"/>
  <c r="F15" i="3"/>
  <c r="D17" i="2" s="1"/>
  <c r="F14" i="3"/>
  <c r="D16" i="2" s="1"/>
  <c r="F13" i="3"/>
  <c r="D15" i="2" s="1"/>
  <c r="F12" i="3"/>
  <c r="D14" i="2" s="1"/>
  <c r="F11" i="3"/>
  <c r="D13" i="2" s="1"/>
  <c r="F10" i="3"/>
  <c r="D12" i="2" s="1"/>
  <c r="F9" i="3"/>
  <c r="D11" i="2" s="1"/>
  <c r="F8" i="3"/>
  <c r="D10" i="2" s="1"/>
  <c r="F7" i="3"/>
  <c r="D9" i="2" s="1"/>
  <c r="F6" i="3"/>
  <c r="D8" i="2" s="1"/>
  <c r="F5" i="3"/>
  <c r="D7" i="2" s="1"/>
  <c r="F4" i="3"/>
  <c r="D6" i="2" s="1"/>
  <c r="F3" i="3"/>
  <c r="D5" i="2" s="1"/>
  <c r="F2" i="3"/>
  <c r="D4" i="2" s="1"/>
  <c r="E203" i="2"/>
  <c r="K203" i="2" s="1"/>
  <c r="E202" i="2"/>
  <c r="K202" i="2" s="1"/>
  <c r="E201" i="2"/>
  <c r="K201" i="2" s="1"/>
  <c r="E200" i="2"/>
  <c r="K200" i="2" s="1"/>
  <c r="E199" i="2"/>
  <c r="K199" i="2" s="1"/>
  <c r="E198" i="2"/>
  <c r="K198" i="2" s="1"/>
  <c r="E197" i="2"/>
  <c r="K197" i="2" s="1"/>
  <c r="E196" i="2"/>
  <c r="K196" i="2" s="1"/>
  <c r="E195" i="2"/>
  <c r="K195" i="2" s="1"/>
  <c r="E194" i="2"/>
  <c r="K194" i="2" s="1"/>
  <c r="E193" i="2"/>
  <c r="K193" i="2" s="1"/>
  <c r="E192" i="2"/>
  <c r="K192" i="2" s="1"/>
  <c r="E191" i="2"/>
  <c r="K191" i="2" s="1"/>
  <c r="E190" i="2"/>
  <c r="K190" i="2" s="1"/>
  <c r="E189" i="2"/>
  <c r="K189" i="2" s="1"/>
  <c r="E188" i="2"/>
  <c r="K188" i="2" s="1"/>
  <c r="E187" i="2"/>
  <c r="K187" i="2" s="1"/>
  <c r="E186" i="2"/>
  <c r="K186" i="2" s="1"/>
  <c r="E185" i="2"/>
  <c r="K185" i="2" s="1"/>
  <c r="E184" i="2"/>
  <c r="K184" i="2" s="1"/>
  <c r="E183" i="2"/>
  <c r="K183" i="2" s="1"/>
  <c r="E182" i="2"/>
  <c r="K182" i="2" s="1"/>
  <c r="E181" i="2"/>
  <c r="K181" i="2" s="1"/>
  <c r="E180" i="2"/>
  <c r="K180" i="2" s="1"/>
  <c r="E179" i="2"/>
  <c r="K179" i="2" s="1"/>
  <c r="E178" i="2"/>
  <c r="K178" i="2" s="1"/>
  <c r="E177" i="2"/>
  <c r="K177" i="2" s="1"/>
  <c r="E176" i="2"/>
  <c r="K176" i="2" s="1"/>
  <c r="E175" i="2"/>
  <c r="K175" i="2" s="1"/>
  <c r="E174" i="2"/>
  <c r="K174" i="2" s="1"/>
  <c r="E173" i="2"/>
  <c r="K173" i="2" s="1"/>
  <c r="E172" i="2"/>
  <c r="K172" i="2" s="1"/>
  <c r="E171" i="2"/>
  <c r="K171" i="2" s="1"/>
  <c r="E170" i="2"/>
  <c r="K170" i="2" s="1"/>
  <c r="E169" i="2"/>
  <c r="K169" i="2" s="1"/>
  <c r="E168" i="2"/>
  <c r="K168" i="2" s="1"/>
  <c r="E167" i="2"/>
  <c r="K167" i="2" s="1"/>
  <c r="E166" i="2"/>
  <c r="K166" i="2" s="1"/>
  <c r="E165" i="2"/>
  <c r="K165" i="2" s="1"/>
  <c r="E164" i="2"/>
  <c r="K164" i="2" s="1"/>
  <c r="E163" i="2"/>
  <c r="K163" i="2" s="1"/>
  <c r="E162" i="2"/>
  <c r="K162" i="2" s="1"/>
  <c r="E161" i="2"/>
  <c r="K161" i="2" s="1"/>
  <c r="E160" i="2"/>
  <c r="K160" i="2" s="1"/>
  <c r="E159" i="2"/>
  <c r="K159" i="2" s="1"/>
  <c r="E158" i="2"/>
  <c r="K158" i="2" s="1"/>
  <c r="E157" i="2"/>
  <c r="K157" i="2" s="1"/>
  <c r="E156" i="2"/>
  <c r="K156" i="2" s="1"/>
  <c r="E155" i="2"/>
  <c r="K155" i="2" s="1"/>
  <c r="E154" i="2"/>
  <c r="K154" i="2" s="1"/>
  <c r="E153" i="2"/>
  <c r="K153" i="2" s="1"/>
  <c r="E152" i="2"/>
  <c r="K152" i="2" s="1"/>
  <c r="E151" i="2"/>
  <c r="K151" i="2" s="1"/>
  <c r="E150" i="2"/>
  <c r="K150" i="2" s="1"/>
  <c r="E149" i="2"/>
  <c r="K149" i="2" s="1"/>
  <c r="E148" i="2"/>
  <c r="K148" i="2" s="1"/>
  <c r="E147" i="2"/>
  <c r="K147" i="2" s="1"/>
  <c r="E146" i="2"/>
  <c r="K146" i="2" s="1"/>
  <c r="E145" i="2"/>
  <c r="K145" i="2" s="1"/>
  <c r="E144" i="2"/>
  <c r="K144" i="2" s="1"/>
  <c r="E143" i="2"/>
  <c r="K143" i="2" s="1"/>
  <c r="E142" i="2"/>
  <c r="K142" i="2" s="1"/>
  <c r="E141" i="2"/>
  <c r="K141" i="2" s="1"/>
  <c r="E140" i="2"/>
  <c r="K140" i="2" s="1"/>
  <c r="E139" i="2"/>
  <c r="K139" i="2" s="1"/>
  <c r="E138" i="2"/>
  <c r="K138" i="2" s="1"/>
  <c r="E137" i="2"/>
  <c r="K137" i="2" s="1"/>
  <c r="E136" i="2"/>
  <c r="K136" i="2" s="1"/>
  <c r="E135" i="2"/>
  <c r="K135" i="2" s="1"/>
  <c r="E134" i="2"/>
  <c r="K134" i="2" s="1"/>
  <c r="E133" i="2"/>
  <c r="K133" i="2" s="1"/>
  <c r="E132" i="2"/>
  <c r="K132" i="2" s="1"/>
  <c r="E131" i="2"/>
  <c r="K131" i="2" s="1"/>
  <c r="E130" i="2"/>
  <c r="K130" i="2" s="1"/>
  <c r="E129" i="2"/>
  <c r="K129" i="2" s="1"/>
  <c r="E128" i="2"/>
  <c r="K128" i="2" s="1"/>
  <c r="E127" i="2"/>
  <c r="K127" i="2" s="1"/>
  <c r="E126" i="2"/>
  <c r="K126" i="2" s="1"/>
  <c r="E125" i="2"/>
  <c r="K125" i="2" s="1"/>
  <c r="E124" i="2"/>
  <c r="K124" i="2" s="1"/>
  <c r="E123" i="2"/>
  <c r="K123" i="2" s="1"/>
  <c r="E122" i="2"/>
  <c r="K122" i="2" s="1"/>
  <c r="E121" i="2"/>
  <c r="K121" i="2" s="1"/>
  <c r="E120" i="2"/>
  <c r="K120" i="2" s="1"/>
  <c r="E119" i="2"/>
  <c r="K119" i="2" s="1"/>
  <c r="E118" i="2"/>
  <c r="K118" i="2" s="1"/>
  <c r="E117" i="2"/>
  <c r="K117" i="2" s="1"/>
  <c r="E116" i="2"/>
  <c r="K116" i="2" s="1"/>
  <c r="E115" i="2"/>
  <c r="K115" i="2" s="1"/>
  <c r="E114" i="2"/>
  <c r="K114" i="2" s="1"/>
  <c r="E113" i="2"/>
  <c r="K113" i="2" s="1"/>
  <c r="E112" i="2"/>
  <c r="K112" i="2" s="1"/>
  <c r="E111" i="2"/>
  <c r="K111" i="2" s="1"/>
  <c r="E110" i="2"/>
  <c r="K110" i="2" s="1"/>
  <c r="E109" i="2"/>
  <c r="K109" i="2" s="1"/>
  <c r="E108" i="2"/>
  <c r="K108" i="2" s="1"/>
  <c r="E107" i="2"/>
  <c r="K107" i="2" s="1"/>
  <c r="E106" i="2"/>
  <c r="K106" i="2" s="1"/>
  <c r="E105" i="2"/>
  <c r="K105" i="2" s="1"/>
  <c r="E104" i="2"/>
  <c r="K104" i="2" s="1"/>
  <c r="E103" i="2"/>
  <c r="K103" i="2" s="1"/>
  <c r="E102" i="2"/>
  <c r="K102" i="2" s="1"/>
  <c r="E101" i="2"/>
  <c r="K101" i="2" s="1"/>
  <c r="E100" i="2"/>
  <c r="K100" i="2" s="1"/>
  <c r="E99" i="2"/>
  <c r="K99" i="2" s="1"/>
  <c r="E98" i="2"/>
  <c r="K98" i="2" s="1"/>
  <c r="E97" i="2"/>
  <c r="K97" i="2" s="1"/>
  <c r="E96" i="2"/>
  <c r="K96" i="2" s="1"/>
  <c r="E95" i="2"/>
  <c r="K95" i="2" s="1"/>
  <c r="E94" i="2"/>
  <c r="K94" i="2" s="1"/>
  <c r="E93" i="2"/>
  <c r="K93" i="2" s="1"/>
  <c r="E92" i="2"/>
  <c r="K92" i="2" s="1"/>
  <c r="E91" i="2"/>
  <c r="K91" i="2" s="1"/>
  <c r="E90" i="2"/>
  <c r="K90" i="2" s="1"/>
  <c r="E89" i="2"/>
  <c r="K89" i="2" s="1"/>
  <c r="E88" i="2"/>
  <c r="K88" i="2" s="1"/>
  <c r="E87" i="2"/>
  <c r="K87" i="2" s="1"/>
  <c r="E86" i="2"/>
  <c r="K86" i="2" s="1"/>
  <c r="E85" i="2"/>
  <c r="K85" i="2" s="1"/>
  <c r="E84" i="2"/>
  <c r="K84" i="2" s="1"/>
  <c r="E83" i="2"/>
  <c r="K83" i="2" s="1"/>
  <c r="E82" i="2"/>
  <c r="K82" i="2" s="1"/>
  <c r="E81" i="2"/>
  <c r="K81" i="2" s="1"/>
  <c r="E80" i="2"/>
  <c r="K80" i="2" s="1"/>
  <c r="E79" i="2"/>
  <c r="K79" i="2" s="1"/>
  <c r="E78" i="2"/>
  <c r="K78" i="2" s="1"/>
  <c r="E77" i="2"/>
  <c r="K77" i="2" s="1"/>
  <c r="E76" i="2"/>
  <c r="K76" i="2" s="1"/>
  <c r="E75" i="2"/>
  <c r="K75" i="2" s="1"/>
  <c r="E74" i="2"/>
  <c r="K74" i="2" s="1"/>
  <c r="E73" i="2"/>
  <c r="K73" i="2" s="1"/>
  <c r="E72" i="2"/>
  <c r="K72" i="2" s="1"/>
  <c r="E71" i="2"/>
  <c r="K71" i="2" s="1"/>
  <c r="E70" i="2"/>
  <c r="K70" i="2" s="1"/>
  <c r="E69" i="2"/>
  <c r="K69" i="2" s="1"/>
  <c r="E68" i="2"/>
  <c r="K68" i="2" s="1"/>
  <c r="E67" i="2"/>
  <c r="K67" i="2" s="1"/>
  <c r="E66" i="2"/>
  <c r="K66" i="2" s="1"/>
  <c r="E65" i="2"/>
  <c r="K65" i="2" s="1"/>
  <c r="E64" i="2"/>
  <c r="K64" i="2" s="1"/>
  <c r="E63" i="2"/>
  <c r="K63" i="2" s="1"/>
  <c r="E62" i="2"/>
  <c r="K62" i="2" s="1"/>
  <c r="E61" i="2"/>
  <c r="K61" i="2" s="1"/>
  <c r="E60" i="2"/>
  <c r="K60" i="2" s="1"/>
  <c r="E59" i="2"/>
  <c r="K59" i="2" s="1"/>
  <c r="E58" i="2"/>
  <c r="K58" i="2" s="1"/>
  <c r="E57" i="2"/>
  <c r="K57" i="2" s="1"/>
  <c r="E56" i="2"/>
  <c r="K56" i="2" s="1"/>
  <c r="E55" i="2"/>
  <c r="K55" i="2" s="1"/>
  <c r="E54" i="2"/>
  <c r="K54" i="2" s="1"/>
  <c r="E53" i="2"/>
  <c r="K53" i="2" s="1"/>
  <c r="E52" i="2"/>
  <c r="K52" i="2" s="1"/>
  <c r="E51" i="2"/>
  <c r="K51" i="2" s="1"/>
  <c r="E50" i="2"/>
  <c r="K50" i="2" s="1"/>
  <c r="E49" i="2"/>
  <c r="K49" i="2" s="1"/>
  <c r="E48" i="2"/>
  <c r="K48" i="2" s="1"/>
  <c r="E47" i="2"/>
  <c r="K47" i="2" s="1"/>
  <c r="E46" i="2"/>
  <c r="K46" i="2" s="1"/>
  <c r="E45" i="2"/>
  <c r="K45" i="2" s="1"/>
  <c r="E44" i="2"/>
  <c r="K44" i="2" s="1"/>
  <c r="E43" i="2"/>
  <c r="K43" i="2" s="1"/>
  <c r="E42" i="2"/>
  <c r="K42" i="2" s="1"/>
  <c r="E41" i="2"/>
  <c r="K41" i="2" s="1"/>
  <c r="E40" i="2"/>
  <c r="K40" i="2" s="1"/>
  <c r="E39" i="2"/>
  <c r="K39" i="2" s="1"/>
  <c r="E38" i="2"/>
  <c r="K38" i="2" s="1"/>
  <c r="E37" i="2"/>
  <c r="K37" i="2" s="1"/>
  <c r="E36" i="2"/>
  <c r="K36" i="2" s="1"/>
  <c r="E35" i="2"/>
  <c r="K35" i="2" s="1"/>
  <c r="E34" i="2"/>
  <c r="K34" i="2" s="1"/>
  <c r="E33" i="2"/>
  <c r="K33" i="2" s="1"/>
  <c r="E32" i="2"/>
  <c r="K32" i="2" s="1"/>
  <c r="E31" i="2"/>
  <c r="K31" i="2" s="1"/>
  <c r="E30" i="2"/>
  <c r="K30" i="2" s="1"/>
  <c r="E29" i="2"/>
  <c r="K29" i="2" s="1"/>
  <c r="E28" i="2"/>
  <c r="K28" i="2" s="1"/>
  <c r="E27" i="2"/>
  <c r="K27" i="2" s="1"/>
  <c r="E26" i="2"/>
  <c r="K26" i="2" s="1"/>
  <c r="E25" i="2"/>
  <c r="K25" i="2" s="1"/>
  <c r="E24" i="2"/>
  <c r="K24" i="2" s="1"/>
  <c r="E23" i="2"/>
  <c r="K23" i="2" s="1"/>
  <c r="E22" i="2"/>
  <c r="K22" i="2" s="1"/>
  <c r="E21" i="2"/>
  <c r="K21" i="2" s="1"/>
  <c r="Q20" i="2"/>
  <c r="E20" i="2"/>
  <c r="K20" i="2" s="1"/>
  <c r="E19" i="2"/>
  <c r="K19" i="2" s="1"/>
  <c r="Q18" i="2"/>
  <c r="E18" i="2"/>
  <c r="K18" i="2" s="1"/>
  <c r="Q17" i="2"/>
  <c r="E17" i="2"/>
  <c r="K17" i="2" s="1"/>
  <c r="Q16" i="2"/>
  <c r="E16" i="2"/>
  <c r="K16" i="2" s="1"/>
  <c r="Q15" i="2"/>
  <c r="E15" i="2"/>
  <c r="K15" i="2" s="1"/>
  <c r="Q14" i="2"/>
  <c r="E14" i="2"/>
  <c r="K14" i="2" s="1"/>
  <c r="Q13" i="2"/>
  <c r="E13" i="2"/>
  <c r="K13" i="2" s="1"/>
  <c r="Q12" i="2"/>
  <c r="E12" i="2"/>
  <c r="K12" i="2" s="1"/>
  <c r="Q11" i="2"/>
  <c r="E11" i="2"/>
  <c r="K11" i="2" s="1"/>
  <c r="Q10" i="2"/>
  <c r="E10" i="2"/>
  <c r="K10" i="2" s="1"/>
  <c r="Q9" i="2"/>
  <c r="E9" i="2"/>
  <c r="K9" i="2" s="1"/>
  <c r="Q8" i="2"/>
  <c r="E8" i="2"/>
  <c r="K8" i="2" s="1"/>
  <c r="Q7" i="2"/>
  <c r="E7" i="2"/>
  <c r="K7" i="2" s="1"/>
  <c r="Q6" i="2"/>
  <c r="E6" i="2"/>
  <c r="K6" i="2" s="1"/>
  <c r="Q5" i="2"/>
  <c r="E5" i="2"/>
  <c r="K5" i="2" s="1"/>
  <c r="Q4" i="2"/>
  <c r="E4" i="2"/>
  <c r="K4" i="2" s="1"/>
  <c r="D204" i="2" l="1"/>
  <c r="A205" i="2"/>
  <c r="E204" i="2"/>
  <c r="E205" i="2"/>
  <c r="D205" i="2"/>
  <c r="A206" i="2"/>
  <c r="F204" i="2"/>
  <c r="G204" i="2" s="1"/>
  <c r="H204" i="2" s="1"/>
  <c r="I204" i="2" s="1"/>
  <c r="F203" i="2"/>
  <c r="G203" i="2" s="1"/>
  <c r="H203" i="2" s="1"/>
  <c r="I203" i="2" s="1"/>
  <c r="U203" i="2"/>
  <c r="V203" i="2"/>
  <c r="W203" i="2"/>
  <c r="F202" i="2"/>
  <c r="G202" i="2" s="1"/>
  <c r="H202" i="2" s="1"/>
  <c r="I202" i="2" s="1"/>
  <c r="U202" i="2"/>
  <c r="V202" i="2"/>
  <c r="W202" i="2"/>
  <c r="F201" i="2"/>
  <c r="G201" i="2" s="1"/>
  <c r="H201" i="2" s="1"/>
  <c r="I201" i="2" s="1"/>
  <c r="U201" i="2"/>
  <c r="V201" i="2"/>
  <c r="W201" i="2"/>
  <c r="F186" i="2"/>
  <c r="G186" i="2" s="1"/>
  <c r="H186" i="2" s="1"/>
  <c r="I186" i="2" s="1"/>
  <c r="U186" i="2"/>
  <c r="V186" i="2"/>
  <c r="W186" i="2"/>
  <c r="F185" i="2"/>
  <c r="G185" i="2" s="1"/>
  <c r="H185" i="2" s="1"/>
  <c r="I185" i="2" s="1"/>
  <c r="U185" i="2"/>
  <c r="V185" i="2"/>
  <c r="W185" i="2"/>
  <c r="F184" i="2"/>
  <c r="G184" i="2" s="1"/>
  <c r="H184" i="2" s="1"/>
  <c r="I184" i="2" s="1"/>
  <c r="U184" i="2"/>
  <c r="V184" i="2"/>
  <c r="W184" i="2"/>
  <c r="F183" i="2"/>
  <c r="G183" i="2" s="1"/>
  <c r="H183" i="2" s="1"/>
  <c r="I183" i="2" s="1"/>
  <c r="U183" i="2"/>
  <c r="V183" i="2"/>
  <c r="W183" i="2"/>
  <c r="F182" i="2"/>
  <c r="G182" i="2" s="1"/>
  <c r="H182" i="2" s="1"/>
  <c r="I182" i="2" s="1"/>
  <c r="U182" i="2"/>
  <c r="V182" i="2"/>
  <c r="W182" i="2"/>
  <c r="F181" i="2"/>
  <c r="G181" i="2" s="1"/>
  <c r="H181" i="2" s="1"/>
  <c r="I181" i="2" s="1"/>
  <c r="U181" i="2"/>
  <c r="V181" i="2"/>
  <c r="W181" i="2"/>
  <c r="F180" i="2"/>
  <c r="G180" i="2" s="1"/>
  <c r="H180" i="2" s="1"/>
  <c r="I180" i="2" s="1"/>
  <c r="U180" i="2"/>
  <c r="V180" i="2"/>
  <c r="W180" i="2"/>
  <c r="F179" i="2"/>
  <c r="G179" i="2" s="1"/>
  <c r="H179" i="2" s="1"/>
  <c r="I179" i="2" s="1"/>
  <c r="U179" i="2"/>
  <c r="V179" i="2"/>
  <c r="W179" i="2"/>
  <c r="F178" i="2"/>
  <c r="G178" i="2" s="1"/>
  <c r="H178" i="2" s="1"/>
  <c r="I178" i="2" s="1"/>
  <c r="U178" i="2"/>
  <c r="V178" i="2"/>
  <c r="W178" i="2"/>
  <c r="F177" i="2"/>
  <c r="G177" i="2" s="1"/>
  <c r="H177" i="2" s="1"/>
  <c r="I177" i="2" s="1"/>
  <c r="U177" i="2"/>
  <c r="V177" i="2"/>
  <c r="W177" i="2"/>
  <c r="F176" i="2"/>
  <c r="G176" i="2" s="1"/>
  <c r="H176" i="2" s="1"/>
  <c r="I176" i="2" s="1"/>
  <c r="U176" i="2"/>
  <c r="V176" i="2"/>
  <c r="W176" i="2"/>
  <c r="F175" i="2"/>
  <c r="G175" i="2" s="1"/>
  <c r="H175" i="2" s="1"/>
  <c r="I175" i="2" s="1"/>
  <c r="U175" i="2"/>
  <c r="V175" i="2"/>
  <c r="W175" i="2"/>
  <c r="F174" i="2"/>
  <c r="G174" i="2" s="1"/>
  <c r="H174" i="2" s="1"/>
  <c r="I174" i="2" s="1"/>
  <c r="U174" i="2"/>
  <c r="V174" i="2"/>
  <c r="W174" i="2"/>
  <c r="F173" i="2"/>
  <c r="G173" i="2" s="1"/>
  <c r="H173" i="2" s="1"/>
  <c r="I173" i="2" s="1"/>
  <c r="U173" i="2"/>
  <c r="V173" i="2"/>
  <c r="W173" i="2"/>
  <c r="F172" i="2"/>
  <c r="G172" i="2" s="1"/>
  <c r="H172" i="2" s="1"/>
  <c r="I172" i="2" s="1"/>
  <c r="U172" i="2"/>
  <c r="V172" i="2"/>
  <c r="W172" i="2"/>
  <c r="F171" i="2"/>
  <c r="G171" i="2" s="1"/>
  <c r="H171" i="2" s="1"/>
  <c r="I171" i="2" s="1"/>
  <c r="U171" i="2"/>
  <c r="V171" i="2"/>
  <c r="W171" i="2"/>
  <c r="F170" i="2"/>
  <c r="G170" i="2" s="1"/>
  <c r="H170" i="2" s="1"/>
  <c r="I170" i="2" s="1"/>
  <c r="U170" i="2"/>
  <c r="V170" i="2"/>
  <c r="W170" i="2"/>
  <c r="F169" i="2"/>
  <c r="G169" i="2" s="1"/>
  <c r="H169" i="2" s="1"/>
  <c r="I169" i="2" s="1"/>
  <c r="U169" i="2"/>
  <c r="V169" i="2"/>
  <c r="W169" i="2"/>
  <c r="F168" i="2"/>
  <c r="G168" i="2" s="1"/>
  <c r="H168" i="2" s="1"/>
  <c r="I168" i="2" s="1"/>
  <c r="U168" i="2"/>
  <c r="V168" i="2"/>
  <c r="W168" i="2"/>
  <c r="F167" i="2"/>
  <c r="G167" i="2" s="1"/>
  <c r="H167" i="2" s="1"/>
  <c r="I167" i="2" s="1"/>
  <c r="U167" i="2"/>
  <c r="V167" i="2"/>
  <c r="W167" i="2"/>
  <c r="F166" i="2"/>
  <c r="G166" i="2" s="1"/>
  <c r="H166" i="2" s="1"/>
  <c r="I166" i="2" s="1"/>
  <c r="U166" i="2"/>
  <c r="V166" i="2"/>
  <c r="W166" i="2"/>
  <c r="F165" i="2"/>
  <c r="G165" i="2" s="1"/>
  <c r="H165" i="2" s="1"/>
  <c r="I165" i="2" s="1"/>
  <c r="U165" i="2"/>
  <c r="V165" i="2"/>
  <c r="W165" i="2"/>
  <c r="F164" i="2"/>
  <c r="G164" i="2" s="1"/>
  <c r="H164" i="2" s="1"/>
  <c r="I164" i="2" s="1"/>
  <c r="U164" i="2"/>
  <c r="V164" i="2"/>
  <c r="W164" i="2"/>
  <c r="F124" i="2"/>
  <c r="G124" i="2" s="1"/>
  <c r="H124" i="2" s="1"/>
  <c r="I124" i="2" s="1"/>
  <c r="U124" i="2"/>
  <c r="V124" i="2"/>
  <c r="W124" i="2"/>
  <c r="F123" i="2"/>
  <c r="G123" i="2" s="1"/>
  <c r="H123" i="2" s="1"/>
  <c r="I123" i="2" s="1"/>
  <c r="U123" i="2"/>
  <c r="V123" i="2"/>
  <c r="W123" i="2"/>
  <c r="F122" i="2"/>
  <c r="G122" i="2" s="1"/>
  <c r="H122" i="2" s="1"/>
  <c r="I122" i="2" s="1"/>
  <c r="U122" i="2"/>
  <c r="V122" i="2"/>
  <c r="W122" i="2"/>
  <c r="F121" i="2"/>
  <c r="G121" i="2" s="1"/>
  <c r="H121" i="2" s="1"/>
  <c r="I121" i="2" s="1"/>
  <c r="U121" i="2"/>
  <c r="V121" i="2"/>
  <c r="W121" i="2"/>
  <c r="F120" i="2"/>
  <c r="G120" i="2" s="1"/>
  <c r="H120" i="2" s="1"/>
  <c r="I120" i="2" s="1"/>
  <c r="U120" i="2"/>
  <c r="V120" i="2"/>
  <c r="W120" i="2"/>
  <c r="F119" i="2"/>
  <c r="G119" i="2" s="1"/>
  <c r="H119" i="2" s="1"/>
  <c r="I119" i="2" s="1"/>
  <c r="U119" i="2"/>
  <c r="V119" i="2"/>
  <c r="W119" i="2"/>
  <c r="F118" i="2"/>
  <c r="G118" i="2" s="1"/>
  <c r="H118" i="2" s="1"/>
  <c r="I118" i="2" s="1"/>
  <c r="U118" i="2"/>
  <c r="V118" i="2"/>
  <c r="W118" i="2"/>
  <c r="F117" i="2"/>
  <c r="G117" i="2" s="1"/>
  <c r="H117" i="2" s="1"/>
  <c r="I117" i="2" s="1"/>
  <c r="U117" i="2"/>
  <c r="V117" i="2"/>
  <c r="W117" i="2"/>
  <c r="F116" i="2"/>
  <c r="G116" i="2" s="1"/>
  <c r="H116" i="2" s="1"/>
  <c r="I116" i="2" s="1"/>
  <c r="U116" i="2"/>
  <c r="V116" i="2"/>
  <c r="W116" i="2"/>
  <c r="F115" i="2"/>
  <c r="G115" i="2" s="1"/>
  <c r="H115" i="2" s="1"/>
  <c r="I115" i="2" s="1"/>
  <c r="U115" i="2"/>
  <c r="V115" i="2"/>
  <c r="W115" i="2"/>
  <c r="F114" i="2"/>
  <c r="G114" i="2" s="1"/>
  <c r="H114" i="2" s="1"/>
  <c r="I114" i="2" s="1"/>
  <c r="U114" i="2"/>
  <c r="V114" i="2"/>
  <c r="W114" i="2"/>
  <c r="F113" i="2"/>
  <c r="G113" i="2" s="1"/>
  <c r="H113" i="2" s="1"/>
  <c r="I113" i="2" s="1"/>
  <c r="U113" i="2"/>
  <c r="V113" i="2"/>
  <c r="W113" i="2"/>
  <c r="F112" i="2"/>
  <c r="G112" i="2" s="1"/>
  <c r="H112" i="2" s="1"/>
  <c r="I112" i="2" s="1"/>
  <c r="U112" i="2"/>
  <c r="V112" i="2"/>
  <c r="W112" i="2"/>
  <c r="F111" i="2"/>
  <c r="G111" i="2" s="1"/>
  <c r="H111" i="2" s="1"/>
  <c r="I111" i="2" s="1"/>
  <c r="U111" i="2"/>
  <c r="V111" i="2"/>
  <c r="W111" i="2"/>
  <c r="F110" i="2"/>
  <c r="G110" i="2" s="1"/>
  <c r="H110" i="2" s="1"/>
  <c r="I110" i="2" s="1"/>
  <c r="U110" i="2"/>
  <c r="V110" i="2"/>
  <c r="W110" i="2"/>
  <c r="F109" i="2"/>
  <c r="G109" i="2" s="1"/>
  <c r="H109" i="2" s="1"/>
  <c r="I109" i="2" s="1"/>
  <c r="U109" i="2"/>
  <c r="V109" i="2"/>
  <c r="W109" i="2"/>
  <c r="F108" i="2"/>
  <c r="G108" i="2" s="1"/>
  <c r="H108" i="2" s="1"/>
  <c r="I108" i="2" s="1"/>
  <c r="U108" i="2"/>
  <c r="V108" i="2"/>
  <c r="W108" i="2"/>
  <c r="F107" i="2"/>
  <c r="G107" i="2" s="1"/>
  <c r="H107" i="2" s="1"/>
  <c r="I107" i="2" s="1"/>
  <c r="U107" i="2"/>
  <c r="V107" i="2"/>
  <c r="W107" i="2"/>
  <c r="F106" i="2"/>
  <c r="G106" i="2" s="1"/>
  <c r="H106" i="2" s="1"/>
  <c r="I106" i="2" s="1"/>
  <c r="U106" i="2"/>
  <c r="V106" i="2"/>
  <c r="W106" i="2"/>
  <c r="F105" i="2"/>
  <c r="G105" i="2" s="1"/>
  <c r="H105" i="2" s="1"/>
  <c r="I105" i="2" s="1"/>
  <c r="U105" i="2"/>
  <c r="V105" i="2"/>
  <c r="W105" i="2"/>
  <c r="F104" i="2"/>
  <c r="G104" i="2" s="1"/>
  <c r="H104" i="2" s="1"/>
  <c r="I104" i="2" s="1"/>
  <c r="U104" i="2"/>
  <c r="V104" i="2"/>
  <c r="W104" i="2"/>
  <c r="F103" i="2"/>
  <c r="G103" i="2" s="1"/>
  <c r="H103" i="2" s="1"/>
  <c r="I103" i="2" s="1"/>
  <c r="U103" i="2"/>
  <c r="V103" i="2"/>
  <c r="W103" i="2"/>
  <c r="F102" i="2"/>
  <c r="G102" i="2" s="1"/>
  <c r="H102" i="2" s="1"/>
  <c r="I102" i="2" s="1"/>
  <c r="U102" i="2"/>
  <c r="V102" i="2"/>
  <c r="W102" i="2"/>
  <c r="F101" i="2"/>
  <c r="G101" i="2" s="1"/>
  <c r="H101" i="2" s="1"/>
  <c r="I101" i="2" s="1"/>
  <c r="U101" i="2"/>
  <c r="V101" i="2"/>
  <c r="W101" i="2"/>
  <c r="F100" i="2"/>
  <c r="G100" i="2" s="1"/>
  <c r="H100" i="2" s="1"/>
  <c r="I100" i="2" s="1"/>
  <c r="U100" i="2"/>
  <c r="V100" i="2"/>
  <c r="W100" i="2"/>
  <c r="F99" i="2"/>
  <c r="G99" i="2" s="1"/>
  <c r="H99" i="2" s="1"/>
  <c r="I99" i="2" s="1"/>
  <c r="U99" i="2"/>
  <c r="V99" i="2"/>
  <c r="W99" i="2"/>
  <c r="F98" i="2"/>
  <c r="G98" i="2" s="1"/>
  <c r="H98" i="2" s="1"/>
  <c r="I98" i="2" s="1"/>
  <c r="U98" i="2"/>
  <c r="V98" i="2"/>
  <c r="W98" i="2"/>
  <c r="F97" i="2"/>
  <c r="G97" i="2" s="1"/>
  <c r="H97" i="2" s="1"/>
  <c r="I97" i="2" s="1"/>
  <c r="U97" i="2"/>
  <c r="V97" i="2"/>
  <c r="W97" i="2"/>
  <c r="F96" i="2"/>
  <c r="G96" i="2" s="1"/>
  <c r="H96" i="2" s="1"/>
  <c r="I96" i="2" s="1"/>
  <c r="U96" i="2"/>
  <c r="V96" i="2"/>
  <c r="W96" i="2"/>
  <c r="F95" i="2"/>
  <c r="G95" i="2" s="1"/>
  <c r="H95" i="2" s="1"/>
  <c r="I95" i="2" s="1"/>
  <c r="U95" i="2"/>
  <c r="V95" i="2"/>
  <c r="W95" i="2"/>
  <c r="F94" i="2"/>
  <c r="G94" i="2" s="1"/>
  <c r="H94" i="2" s="1"/>
  <c r="I94" i="2" s="1"/>
  <c r="U94" i="2"/>
  <c r="V94" i="2"/>
  <c r="W94" i="2"/>
  <c r="F93" i="2"/>
  <c r="G93" i="2" s="1"/>
  <c r="H93" i="2" s="1"/>
  <c r="I93" i="2" s="1"/>
  <c r="U93" i="2"/>
  <c r="V93" i="2"/>
  <c r="W93" i="2"/>
  <c r="F92" i="2"/>
  <c r="G92" i="2" s="1"/>
  <c r="H92" i="2" s="1"/>
  <c r="I92" i="2" s="1"/>
  <c r="U92" i="2"/>
  <c r="V92" i="2"/>
  <c r="W92" i="2"/>
  <c r="F91" i="2"/>
  <c r="G91" i="2" s="1"/>
  <c r="H91" i="2" s="1"/>
  <c r="I91" i="2" s="1"/>
  <c r="U91" i="2"/>
  <c r="V91" i="2"/>
  <c r="W91" i="2"/>
  <c r="F90" i="2"/>
  <c r="G90" i="2" s="1"/>
  <c r="H90" i="2" s="1"/>
  <c r="I90" i="2" s="1"/>
  <c r="U90" i="2"/>
  <c r="V90" i="2"/>
  <c r="W90" i="2"/>
  <c r="F89" i="2"/>
  <c r="G89" i="2" s="1"/>
  <c r="H89" i="2" s="1"/>
  <c r="I89" i="2" s="1"/>
  <c r="U89" i="2"/>
  <c r="V89" i="2"/>
  <c r="W89" i="2"/>
  <c r="F88" i="2"/>
  <c r="G88" i="2" s="1"/>
  <c r="H88" i="2" s="1"/>
  <c r="I88" i="2" s="1"/>
  <c r="U88" i="2"/>
  <c r="V88" i="2"/>
  <c r="W88" i="2"/>
  <c r="F87" i="2"/>
  <c r="G87" i="2" s="1"/>
  <c r="H87" i="2" s="1"/>
  <c r="I87" i="2" s="1"/>
  <c r="U87" i="2"/>
  <c r="V87" i="2"/>
  <c r="W87" i="2"/>
  <c r="F86" i="2"/>
  <c r="G86" i="2" s="1"/>
  <c r="H86" i="2" s="1"/>
  <c r="I86" i="2" s="1"/>
  <c r="U86" i="2"/>
  <c r="V86" i="2"/>
  <c r="W86" i="2"/>
  <c r="F85" i="2"/>
  <c r="G85" i="2" s="1"/>
  <c r="H85" i="2" s="1"/>
  <c r="I85" i="2" s="1"/>
  <c r="U85" i="2"/>
  <c r="V85" i="2"/>
  <c r="W85" i="2"/>
  <c r="F84" i="2"/>
  <c r="G84" i="2" s="1"/>
  <c r="H84" i="2" s="1"/>
  <c r="I84" i="2" s="1"/>
  <c r="U84" i="2"/>
  <c r="V84" i="2"/>
  <c r="W84" i="2"/>
  <c r="F83" i="2"/>
  <c r="G83" i="2" s="1"/>
  <c r="H83" i="2" s="1"/>
  <c r="I83" i="2" s="1"/>
  <c r="U83" i="2"/>
  <c r="V83" i="2"/>
  <c r="W83" i="2"/>
  <c r="F82" i="2"/>
  <c r="G82" i="2" s="1"/>
  <c r="H82" i="2" s="1"/>
  <c r="I82" i="2" s="1"/>
  <c r="U82" i="2"/>
  <c r="V82" i="2"/>
  <c r="W82" i="2"/>
  <c r="F81" i="2"/>
  <c r="G81" i="2" s="1"/>
  <c r="H81" i="2" s="1"/>
  <c r="I81" i="2" s="1"/>
  <c r="U81" i="2"/>
  <c r="V81" i="2"/>
  <c r="W81" i="2"/>
  <c r="F80" i="2"/>
  <c r="G80" i="2" s="1"/>
  <c r="H80" i="2" s="1"/>
  <c r="I80" i="2" s="1"/>
  <c r="U80" i="2"/>
  <c r="V80" i="2"/>
  <c r="W80" i="2"/>
  <c r="F79" i="2"/>
  <c r="G79" i="2" s="1"/>
  <c r="H79" i="2" s="1"/>
  <c r="I79" i="2" s="1"/>
  <c r="U79" i="2"/>
  <c r="V79" i="2"/>
  <c r="W79" i="2"/>
  <c r="F78" i="2"/>
  <c r="G78" i="2" s="1"/>
  <c r="H78" i="2" s="1"/>
  <c r="I78" i="2" s="1"/>
  <c r="U78" i="2"/>
  <c r="V78" i="2"/>
  <c r="W78" i="2"/>
  <c r="F77" i="2"/>
  <c r="G77" i="2" s="1"/>
  <c r="H77" i="2" s="1"/>
  <c r="I77" i="2" s="1"/>
  <c r="U77" i="2"/>
  <c r="V77" i="2"/>
  <c r="W77" i="2"/>
  <c r="F76" i="2"/>
  <c r="G76" i="2" s="1"/>
  <c r="H76" i="2" s="1"/>
  <c r="I76" i="2" s="1"/>
  <c r="U76" i="2"/>
  <c r="V76" i="2"/>
  <c r="W76" i="2"/>
  <c r="F75" i="2"/>
  <c r="G75" i="2" s="1"/>
  <c r="H75" i="2" s="1"/>
  <c r="I75" i="2" s="1"/>
  <c r="U75" i="2"/>
  <c r="V75" i="2"/>
  <c r="W75" i="2"/>
  <c r="F74" i="2"/>
  <c r="G74" i="2" s="1"/>
  <c r="H74" i="2" s="1"/>
  <c r="I74" i="2" s="1"/>
  <c r="U74" i="2"/>
  <c r="V74" i="2"/>
  <c r="W74" i="2"/>
  <c r="F73" i="2"/>
  <c r="G73" i="2" s="1"/>
  <c r="H73" i="2" s="1"/>
  <c r="I73" i="2" s="1"/>
  <c r="U73" i="2"/>
  <c r="V73" i="2"/>
  <c r="W73" i="2"/>
  <c r="F72" i="2"/>
  <c r="G72" i="2" s="1"/>
  <c r="H72" i="2" s="1"/>
  <c r="I72" i="2" s="1"/>
  <c r="U72" i="2"/>
  <c r="V72" i="2"/>
  <c r="W72" i="2"/>
  <c r="F71" i="2"/>
  <c r="G71" i="2" s="1"/>
  <c r="H71" i="2" s="1"/>
  <c r="I71" i="2" s="1"/>
  <c r="U71" i="2"/>
  <c r="V71" i="2"/>
  <c r="W71" i="2"/>
  <c r="F70" i="2"/>
  <c r="G70" i="2" s="1"/>
  <c r="H70" i="2" s="1"/>
  <c r="I70" i="2" s="1"/>
  <c r="U70" i="2"/>
  <c r="V70" i="2"/>
  <c r="W70" i="2"/>
  <c r="F69" i="2"/>
  <c r="G69" i="2" s="1"/>
  <c r="H69" i="2" s="1"/>
  <c r="I69" i="2" s="1"/>
  <c r="U69" i="2"/>
  <c r="V69" i="2"/>
  <c r="W69" i="2"/>
  <c r="F68" i="2"/>
  <c r="G68" i="2" s="1"/>
  <c r="H68" i="2" s="1"/>
  <c r="I68" i="2" s="1"/>
  <c r="U68" i="2"/>
  <c r="V68" i="2"/>
  <c r="W68" i="2"/>
  <c r="F67" i="2"/>
  <c r="G67" i="2" s="1"/>
  <c r="H67" i="2" s="1"/>
  <c r="I67" i="2" s="1"/>
  <c r="U67" i="2"/>
  <c r="V67" i="2"/>
  <c r="W67" i="2"/>
  <c r="F66" i="2"/>
  <c r="G66" i="2" s="1"/>
  <c r="H66" i="2" s="1"/>
  <c r="I66" i="2" s="1"/>
  <c r="U66" i="2"/>
  <c r="V66" i="2"/>
  <c r="W66" i="2"/>
  <c r="F65" i="2"/>
  <c r="G65" i="2" s="1"/>
  <c r="H65" i="2" s="1"/>
  <c r="I65" i="2" s="1"/>
  <c r="U65" i="2"/>
  <c r="V65" i="2"/>
  <c r="W65" i="2"/>
  <c r="F64" i="2"/>
  <c r="G64" i="2" s="1"/>
  <c r="H64" i="2" s="1"/>
  <c r="I64" i="2" s="1"/>
  <c r="U64" i="2"/>
  <c r="V64" i="2"/>
  <c r="W64" i="2"/>
  <c r="F63" i="2"/>
  <c r="G63" i="2" s="1"/>
  <c r="H63" i="2" s="1"/>
  <c r="I63" i="2" s="1"/>
  <c r="U63" i="2"/>
  <c r="V63" i="2"/>
  <c r="W63" i="2"/>
  <c r="F62" i="2"/>
  <c r="G62" i="2" s="1"/>
  <c r="H62" i="2" s="1"/>
  <c r="I62" i="2" s="1"/>
  <c r="U62" i="2"/>
  <c r="V62" i="2"/>
  <c r="W62" i="2"/>
  <c r="F61" i="2"/>
  <c r="G61" i="2" s="1"/>
  <c r="H61" i="2" s="1"/>
  <c r="I61" i="2" s="1"/>
  <c r="U61" i="2"/>
  <c r="V61" i="2"/>
  <c r="W61" i="2"/>
  <c r="F60" i="2"/>
  <c r="G60" i="2" s="1"/>
  <c r="H60" i="2" s="1"/>
  <c r="I60" i="2" s="1"/>
  <c r="U60" i="2"/>
  <c r="V60" i="2"/>
  <c r="W60" i="2"/>
  <c r="F59" i="2"/>
  <c r="G59" i="2" s="1"/>
  <c r="H59" i="2" s="1"/>
  <c r="I59" i="2" s="1"/>
  <c r="U59" i="2"/>
  <c r="V59" i="2"/>
  <c r="W59" i="2"/>
  <c r="F58" i="2"/>
  <c r="G58" i="2" s="1"/>
  <c r="H58" i="2" s="1"/>
  <c r="I58" i="2" s="1"/>
  <c r="U58" i="2"/>
  <c r="V58" i="2"/>
  <c r="W58" i="2"/>
  <c r="F57" i="2"/>
  <c r="G57" i="2" s="1"/>
  <c r="H57" i="2" s="1"/>
  <c r="I57" i="2" s="1"/>
  <c r="U57" i="2"/>
  <c r="V57" i="2"/>
  <c r="W57" i="2"/>
  <c r="F56" i="2"/>
  <c r="G56" i="2" s="1"/>
  <c r="H56" i="2" s="1"/>
  <c r="I56" i="2" s="1"/>
  <c r="U56" i="2"/>
  <c r="V56" i="2"/>
  <c r="W56" i="2"/>
  <c r="F55" i="2"/>
  <c r="G55" i="2" s="1"/>
  <c r="H55" i="2" s="1"/>
  <c r="I55" i="2" s="1"/>
  <c r="U55" i="2"/>
  <c r="V55" i="2"/>
  <c r="W55" i="2"/>
  <c r="F54" i="2"/>
  <c r="G54" i="2" s="1"/>
  <c r="H54" i="2" s="1"/>
  <c r="I54" i="2" s="1"/>
  <c r="U54" i="2"/>
  <c r="V54" i="2"/>
  <c r="W54" i="2"/>
  <c r="F53" i="2"/>
  <c r="G53" i="2" s="1"/>
  <c r="H53" i="2" s="1"/>
  <c r="I53" i="2" s="1"/>
  <c r="U53" i="2"/>
  <c r="V53" i="2"/>
  <c r="W53" i="2"/>
  <c r="F52" i="2"/>
  <c r="G52" i="2" s="1"/>
  <c r="H52" i="2" s="1"/>
  <c r="I52" i="2" s="1"/>
  <c r="U52" i="2"/>
  <c r="V52" i="2"/>
  <c r="W52" i="2"/>
  <c r="F51" i="2"/>
  <c r="G51" i="2" s="1"/>
  <c r="H51" i="2" s="1"/>
  <c r="I51" i="2" s="1"/>
  <c r="U51" i="2"/>
  <c r="V51" i="2"/>
  <c r="W51" i="2"/>
  <c r="F50" i="2"/>
  <c r="G50" i="2" s="1"/>
  <c r="H50" i="2" s="1"/>
  <c r="I50" i="2" s="1"/>
  <c r="U50" i="2"/>
  <c r="V50" i="2"/>
  <c r="W50" i="2"/>
  <c r="F49" i="2"/>
  <c r="G49" i="2" s="1"/>
  <c r="H49" i="2" s="1"/>
  <c r="I49" i="2" s="1"/>
  <c r="U49" i="2"/>
  <c r="V49" i="2"/>
  <c r="W49" i="2"/>
  <c r="F48" i="2"/>
  <c r="G48" i="2" s="1"/>
  <c r="H48" i="2" s="1"/>
  <c r="I48" i="2" s="1"/>
  <c r="U48" i="2"/>
  <c r="V48" i="2"/>
  <c r="W48" i="2"/>
  <c r="F47" i="2"/>
  <c r="G47" i="2" s="1"/>
  <c r="H47" i="2" s="1"/>
  <c r="I47" i="2" s="1"/>
  <c r="U47" i="2"/>
  <c r="V47" i="2"/>
  <c r="W47" i="2"/>
  <c r="F46" i="2"/>
  <c r="G46" i="2" s="1"/>
  <c r="H46" i="2" s="1"/>
  <c r="I46" i="2" s="1"/>
  <c r="U46" i="2"/>
  <c r="V46" i="2"/>
  <c r="W46" i="2"/>
  <c r="F45" i="2"/>
  <c r="G45" i="2" s="1"/>
  <c r="H45" i="2" s="1"/>
  <c r="U45" i="2"/>
  <c r="V45" i="2"/>
  <c r="W45" i="2"/>
  <c r="F44" i="2"/>
  <c r="G44" i="2" s="1"/>
  <c r="H44" i="2" s="1"/>
  <c r="I44" i="2" s="1"/>
  <c r="U44" i="2"/>
  <c r="V44" i="2"/>
  <c r="W44" i="2"/>
  <c r="F43" i="2"/>
  <c r="G43" i="2" s="1"/>
  <c r="H43" i="2" s="1"/>
  <c r="I43" i="2" s="1"/>
  <c r="U43" i="2"/>
  <c r="V43" i="2"/>
  <c r="W43" i="2"/>
  <c r="F42" i="2"/>
  <c r="G42" i="2" s="1"/>
  <c r="H42" i="2" s="1"/>
  <c r="I42" i="2" s="1"/>
  <c r="U42" i="2"/>
  <c r="V42" i="2"/>
  <c r="W42" i="2"/>
  <c r="F41" i="2"/>
  <c r="G41" i="2" s="1"/>
  <c r="H41" i="2" s="1"/>
  <c r="I41" i="2" s="1"/>
  <c r="U41" i="2"/>
  <c r="V41" i="2"/>
  <c r="W41" i="2"/>
  <c r="F40" i="2"/>
  <c r="G40" i="2" s="1"/>
  <c r="H40" i="2" s="1"/>
  <c r="I40" i="2" s="1"/>
  <c r="U40" i="2"/>
  <c r="V40" i="2"/>
  <c r="W40" i="2"/>
  <c r="F39" i="2"/>
  <c r="G39" i="2" s="1"/>
  <c r="H39" i="2" s="1"/>
  <c r="I39" i="2" s="1"/>
  <c r="U39" i="2"/>
  <c r="V39" i="2"/>
  <c r="W39" i="2"/>
  <c r="F38" i="2"/>
  <c r="G38" i="2" s="1"/>
  <c r="H38" i="2" s="1"/>
  <c r="I38" i="2" s="1"/>
  <c r="U38" i="2"/>
  <c r="V38" i="2"/>
  <c r="W38" i="2"/>
  <c r="F37" i="2"/>
  <c r="G37" i="2" s="1"/>
  <c r="H37" i="2" s="1"/>
  <c r="I37" i="2" s="1"/>
  <c r="U37" i="2"/>
  <c r="V37" i="2"/>
  <c r="W37" i="2"/>
  <c r="F36" i="2"/>
  <c r="G36" i="2" s="1"/>
  <c r="H36" i="2" s="1"/>
  <c r="I36" i="2" s="1"/>
  <c r="U36" i="2"/>
  <c r="V36" i="2"/>
  <c r="W36" i="2"/>
  <c r="F35" i="2"/>
  <c r="G35" i="2" s="1"/>
  <c r="H35" i="2" s="1"/>
  <c r="I35" i="2" s="1"/>
  <c r="U35" i="2"/>
  <c r="V35" i="2"/>
  <c r="W35" i="2"/>
  <c r="F34" i="2"/>
  <c r="G34" i="2" s="1"/>
  <c r="H34" i="2" s="1"/>
  <c r="I34" i="2" s="1"/>
  <c r="U34" i="2"/>
  <c r="V34" i="2"/>
  <c r="W34" i="2"/>
  <c r="F33" i="2"/>
  <c r="G33" i="2" s="1"/>
  <c r="H33" i="2" s="1"/>
  <c r="I33" i="2" s="1"/>
  <c r="U33" i="2"/>
  <c r="V33" i="2"/>
  <c r="W33" i="2"/>
  <c r="F32" i="2"/>
  <c r="G32" i="2" s="1"/>
  <c r="H32" i="2" s="1"/>
  <c r="I32" i="2" s="1"/>
  <c r="U32" i="2"/>
  <c r="V32" i="2"/>
  <c r="W32" i="2"/>
  <c r="F31" i="2"/>
  <c r="G31" i="2" s="1"/>
  <c r="H31" i="2" s="1"/>
  <c r="I31" i="2" s="1"/>
  <c r="U31" i="2"/>
  <c r="V31" i="2"/>
  <c r="W31" i="2"/>
  <c r="F30" i="2"/>
  <c r="G30" i="2" s="1"/>
  <c r="H30" i="2" s="1"/>
  <c r="I30" i="2" s="1"/>
  <c r="U30" i="2"/>
  <c r="V30" i="2"/>
  <c r="W30" i="2"/>
  <c r="F29" i="2"/>
  <c r="G29" i="2" s="1"/>
  <c r="H29" i="2" s="1"/>
  <c r="I29" i="2" s="1"/>
  <c r="U29" i="2"/>
  <c r="V29" i="2"/>
  <c r="W29" i="2"/>
  <c r="F28" i="2"/>
  <c r="G28" i="2" s="1"/>
  <c r="H28" i="2" s="1"/>
  <c r="I28" i="2" s="1"/>
  <c r="U28" i="2"/>
  <c r="V28" i="2"/>
  <c r="W28" i="2"/>
  <c r="F27" i="2"/>
  <c r="G27" i="2" s="1"/>
  <c r="H27" i="2" s="1"/>
  <c r="I27" i="2" s="1"/>
  <c r="U27" i="2"/>
  <c r="V27" i="2"/>
  <c r="W27" i="2"/>
  <c r="F26" i="2"/>
  <c r="G26" i="2" s="1"/>
  <c r="H26" i="2" s="1"/>
  <c r="I26" i="2" s="1"/>
  <c r="U26" i="2"/>
  <c r="V26" i="2"/>
  <c r="W26" i="2"/>
  <c r="F25" i="2"/>
  <c r="G25" i="2" s="1"/>
  <c r="H25" i="2" s="1"/>
  <c r="I25" i="2" s="1"/>
  <c r="U25" i="2"/>
  <c r="V25" i="2"/>
  <c r="W25" i="2"/>
  <c r="F24" i="2"/>
  <c r="G24" i="2" s="1"/>
  <c r="H24" i="2" s="1"/>
  <c r="I24" i="2" s="1"/>
  <c r="U24" i="2"/>
  <c r="V24" i="2"/>
  <c r="W24" i="2"/>
  <c r="F23" i="2"/>
  <c r="G23" i="2" s="1"/>
  <c r="H23" i="2" s="1"/>
  <c r="I23" i="2" s="1"/>
  <c r="U23" i="2"/>
  <c r="V23" i="2"/>
  <c r="W23" i="2"/>
  <c r="F22" i="2"/>
  <c r="G22" i="2" s="1"/>
  <c r="H22" i="2" s="1"/>
  <c r="I22" i="2" s="1"/>
  <c r="U22" i="2"/>
  <c r="V22" i="2"/>
  <c r="W22" i="2"/>
  <c r="F21" i="2"/>
  <c r="G21" i="2" s="1"/>
  <c r="H21" i="2" s="1"/>
  <c r="I21" i="2" s="1"/>
  <c r="U21" i="2"/>
  <c r="V21" i="2"/>
  <c r="W21" i="2"/>
  <c r="F20" i="2"/>
  <c r="G20" i="2" s="1"/>
  <c r="H20" i="2" s="1"/>
  <c r="I20" i="2" s="1"/>
  <c r="U20" i="2"/>
  <c r="V20" i="2"/>
  <c r="W20" i="2"/>
  <c r="F19" i="2"/>
  <c r="G19" i="2" s="1"/>
  <c r="H19" i="2" s="1"/>
  <c r="I19" i="2" s="1"/>
  <c r="U19" i="2"/>
  <c r="V19" i="2"/>
  <c r="W19" i="2"/>
  <c r="F18" i="2"/>
  <c r="G18" i="2" s="1"/>
  <c r="H18" i="2" s="1"/>
  <c r="I18" i="2" s="1"/>
  <c r="U18" i="2"/>
  <c r="V18" i="2"/>
  <c r="W18" i="2"/>
  <c r="F17" i="2"/>
  <c r="G17" i="2" s="1"/>
  <c r="H17" i="2" s="1"/>
  <c r="I17" i="2" s="1"/>
  <c r="U17" i="2"/>
  <c r="V17" i="2"/>
  <c r="W17" i="2"/>
  <c r="F16" i="2"/>
  <c r="G16" i="2" s="1"/>
  <c r="H16" i="2" s="1"/>
  <c r="I16" i="2" s="1"/>
  <c r="U16" i="2"/>
  <c r="V16" i="2"/>
  <c r="W16" i="2"/>
  <c r="F15" i="2"/>
  <c r="G15" i="2" s="1"/>
  <c r="H15" i="2" s="1"/>
  <c r="I15" i="2" s="1"/>
  <c r="U15" i="2"/>
  <c r="V15" i="2"/>
  <c r="W15" i="2"/>
  <c r="F14" i="2"/>
  <c r="G14" i="2" s="1"/>
  <c r="H14" i="2" s="1"/>
  <c r="I14" i="2" s="1"/>
  <c r="U14" i="2"/>
  <c r="V14" i="2"/>
  <c r="W14" i="2"/>
  <c r="F13" i="2"/>
  <c r="G13" i="2" s="1"/>
  <c r="H13" i="2" s="1"/>
  <c r="I13" i="2" s="1"/>
  <c r="U13" i="2"/>
  <c r="V13" i="2"/>
  <c r="W13" i="2"/>
  <c r="F12" i="2"/>
  <c r="G12" i="2" s="1"/>
  <c r="H12" i="2" s="1"/>
  <c r="I12" i="2" s="1"/>
  <c r="U12" i="2"/>
  <c r="V12" i="2"/>
  <c r="W12" i="2"/>
  <c r="F11" i="2"/>
  <c r="G11" i="2" s="1"/>
  <c r="H11" i="2" s="1"/>
  <c r="I11" i="2" s="1"/>
  <c r="U11" i="2"/>
  <c r="V11" i="2"/>
  <c r="W11" i="2"/>
  <c r="F10" i="2"/>
  <c r="G10" i="2" s="1"/>
  <c r="H10" i="2" s="1"/>
  <c r="I10" i="2" s="1"/>
  <c r="U10" i="2"/>
  <c r="V10" i="2"/>
  <c r="W10" i="2"/>
  <c r="F9" i="2"/>
  <c r="G9" i="2" s="1"/>
  <c r="H9" i="2" s="1"/>
  <c r="I9" i="2" s="1"/>
  <c r="U9" i="2"/>
  <c r="V9" i="2"/>
  <c r="W9" i="2"/>
  <c r="F8" i="2"/>
  <c r="G8" i="2" s="1"/>
  <c r="H8" i="2" s="1"/>
  <c r="I8" i="2" s="1"/>
  <c r="U8" i="2"/>
  <c r="V8" i="2"/>
  <c r="W8" i="2"/>
  <c r="F7" i="2"/>
  <c r="G7" i="2" s="1"/>
  <c r="H7" i="2" s="1"/>
  <c r="I7" i="2" s="1"/>
  <c r="U7" i="2"/>
  <c r="V7" i="2"/>
  <c r="W7" i="2"/>
  <c r="F6" i="2"/>
  <c r="G6" i="2" s="1"/>
  <c r="H6" i="2" s="1"/>
  <c r="I6" i="2" s="1"/>
  <c r="U6" i="2"/>
  <c r="V6" i="2"/>
  <c r="W6" i="2"/>
  <c r="F5" i="2"/>
  <c r="G5" i="2" s="1"/>
  <c r="H5" i="2" s="1"/>
  <c r="I5" i="2" s="1"/>
  <c r="U5" i="2"/>
  <c r="V5" i="2"/>
  <c r="W5" i="2"/>
  <c r="F4" i="2"/>
  <c r="G4" i="2" s="1"/>
  <c r="H4" i="2" s="1"/>
  <c r="I4" i="2" s="1"/>
  <c r="U4" i="2"/>
  <c r="V4" i="2"/>
  <c r="W4" i="2"/>
  <c r="F200" i="2"/>
  <c r="G200" i="2" s="1"/>
  <c r="H200" i="2" s="1"/>
  <c r="I200" i="2" s="1"/>
  <c r="U200" i="2"/>
  <c r="V200" i="2"/>
  <c r="W200" i="2"/>
  <c r="W199" i="2"/>
  <c r="F199" i="2"/>
  <c r="G199" i="2" s="1"/>
  <c r="H199" i="2" s="1"/>
  <c r="I199" i="2" s="1"/>
  <c r="U199" i="2"/>
  <c r="V199" i="2"/>
  <c r="V198" i="2"/>
  <c r="W198" i="2"/>
  <c r="U198" i="2"/>
  <c r="F198" i="2"/>
  <c r="G198" i="2" s="1"/>
  <c r="H198" i="2" s="1"/>
  <c r="I198" i="2" s="1"/>
  <c r="W197" i="2"/>
  <c r="V197" i="2"/>
  <c r="U197" i="2"/>
  <c r="F197" i="2"/>
  <c r="G197" i="2" s="1"/>
  <c r="H197" i="2" s="1"/>
  <c r="I197" i="2" s="1"/>
  <c r="W196" i="2"/>
  <c r="V196" i="2"/>
  <c r="U196" i="2"/>
  <c r="F196" i="2"/>
  <c r="G196" i="2" s="1"/>
  <c r="H196" i="2" s="1"/>
  <c r="I196" i="2" s="1"/>
  <c r="U195" i="2"/>
  <c r="F195" i="2"/>
  <c r="G195" i="2" s="1"/>
  <c r="H195" i="2" s="1"/>
  <c r="I195" i="2" s="1"/>
  <c r="V195" i="2"/>
  <c r="W195" i="2"/>
  <c r="U194" i="2"/>
  <c r="F194" i="2"/>
  <c r="G194" i="2" s="1"/>
  <c r="H194" i="2" s="1"/>
  <c r="I194" i="2" s="1"/>
  <c r="V194" i="2"/>
  <c r="W194" i="2"/>
  <c r="U193" i="2"/>
  <c r="V193" i="2"/>
  <c r="W193" i="2"/>
  <c r="F193" i="2"/>
  <c r="G193" i="2" s="1"/>
  <c r="H193" i="2" s="1"/>
  <c r="I193" i="2" s="1"/>
  <c r="U192" i="2"/>
  <c r="W192" i="2"/>
  <c r="V192" i="2"/>
  <c r="F192" i="2"/>
  <c r="G192" i="2" s="1"/>
  <c r="H192" i="2" s="1"/>
  <c r="I192" i="2" s="1"/>
  <c r="U191" i="2"/>
  <c r="F191" i="2"/>
  <c r="G191" i="2" s="1"/>
  <c r="H191" i="2" s="1"/>
  <c r="I191" i="2" s="1"/>
  <c r="W191" i="2"/>
  <c r="V191" i="2"/>
  <c r="W190" i="2"/>
  <c r="V190" i="2"/>
  <c r="U190" i="2"/>
  <c r="F190" i="2"/>
  <c r="G190" i="2" s="1"/>
  <c r="H190" i="2" s="1"/>
  <c r="I190" i="2" s="1"/>
  <c r="W189" i="2"/>
  <c r="V189" i="2"/>
  <c r="U189" i="2"/>
  <c r="F189" i="2"/>
  <c r="G189" i="2" s="1"/>
  <c r="H189" i="2" s="1"/>
  <c r="I189" i="2" s="1"/>
  <c r="U188" i="2"/>
  <c r="F188" i="2"/>
  <c r="G188" i="2" s="1"/>
  <c r="H188" i="2" s="1"/>
  <c r="I188" i="2" s="1"/>
  <c r="W188" i="2"/>
  <c r="V188" i="2"/>
  <c r="V187" i="2"/>
  <c r="W187" i="2"/>
  <c r="U187" i="2"/>
  <c r="F187" i="2"/>
  <c r="G187" i="2" s="1"/>
  <c r="H187" i="2" s="1"/>
  <c r="I187" i="2" s="1"/>
  <c r="W163" i="2"/>
  <c r="V163" i="2"/>
  <c r="U163" i="2"/>
  <c r="F163" i="2"/>
  <c r="G163" i="2" s="1"/>
  <c r="H163" i="2" s="1"/>
  <c r="I163" i="2" s="1"/>
  <c r="W162" i="2"/>
  <c r="U162" i="2"/>
  <c r="V162" i="2"/>
  <c r="F162" i="2"/>
  <c r="G162" i="2" s="1"/>
  <c r="H162" i="2" s="1"/>
  <c r="I162" i="2" s="1"/>
  <c r="F161" i="2"/>
  <c r="G161" i="2" s="1"/>
  <c r="H161" i="2" s="1"/>
  <c r="I161" i="2" s="1"/>
  <c r="U161" i="2"/>
  <c r="V161" i="2"/>
  <c r="W161" i="2"/>
  <c r="F160" i="2"/>
  <c r="G160" i="2" s="1"/>
  <c r="H160" i="2" s="1"/>
  <c r="I160" i="2" s="1"/>
  <c r="U160" i="2"/>
  <c r="V160" i="2"/>
  <c r="W160" i="2"/>
  <c r="U159" i="2"/>
  <c r="V159" i="2"/>
  <c r="W159" i="2"/>
  <c r="F159" i="2"/>
  <c r="G159" i="2" s="1"/>
  <c r="H159" i="2" s="1"/>
  <c r="I159" i="2" s="1"/>
  <c r="V158" i="2"/>
  <c r="W158" i="2"/>
  <c r="F158" i="2"/>
  <c r="G158" i="2" s="1"/>
  <c r="H158" i="2" s="1"/>
  <c r="I158" i="2" s="1"/>
  <c r="U158" i="2"/>
  <c r="F157" i="2"/>
  <c r="G157" i="2" s="1"/>
  <c r="H157" i="2" s="1"/>
  <c r="I157" i="2" s="1"/>
  <c r="W157" i="2"/>
  <c r="U157" i="2"/>
  <c r="V157" i="2"/>
  <c r="V156" i="2"/>
  <c r="F156" i="2"/>
  <c r="G156" i="2" s="1"/>
  <c r="H156" i="2" s="1"/>
  <c r="I156" i="2" s="1"/>
  <c r="W156" i="2"/>
  <c r="U156" i="2"/>
  <c r="F155" i="2"/>
  <c r="G155" i="2" s="1"/>
  <c r="H155" i="2" s="1"/>
  <c r="I155" i="2" s="1"/>
  <c r="W155" i="2"/>
  <c r="V155" i="2"/>
  <c r="U155" i="2"/>
  <c r="U154" i="2"/>
  <c r="V154" i="2"/>
  <c r="F154" i="2"/>
  <c r="G154" i="2" s="1"/>
  <c r="H154" i="2" s="1"/>
  <c r="I154" i="2" s="1"/>
  <c r="W154" i="2"/>
  <c r="F153" i="2"/>
  <c r="G153" i="2" s="1"/>
  <c r="H153" i="2" s="1"/>
  <c r="I153" i="2" s="1"/>
  <c r="U153" i="2"/>
  <c r="V153" i="2"/>
  <c r="W153" i="2"/>
  <c r="W152" i="2"/>
  <c r="U152" i="2"/>
  <c r="V152" i="2"/>
  <c r="F152" i="2"/>
  <c r="G152" i="2" s="1"/>
  <c r="H152" i="2" s="1"/>
  <c r="I152" i="2" s="1"/>
  <c r="F151" i="2"/>
  <c r="G151" i="2" s="1"/>
  <c r="H151" i="2" s="1"/>
  <c r="I151" i="2" s="1"/>
  <c r="U151" i="2"/>
  <c r="V151" i="2"/>
  <c r="W151" i="2"/>
  <c r="V150" i="2"/>
  <c r="W150" i="2"/>
  <c r="U150" i="2"/>
  <c r="F150" i="2"/>
  <c r="G150" i="2" s="1"/>
  <c r="H150" i="2" s="1"/>
  <c r="I150" i="2" s="1"/>
  <c r="V149" i="2"/>
  <c r="W149" i="2"/>
  <c r="U149" i="2"/>
  <c r="F149" i="2"/>
  <c r="G149" i="2" s="1"/>
  <c r="H149" i="2" s="1"/>
  <c r="I149" i="2" s="1"/>
  <c r="W148" i="2"/>
  <c r="V148" i="2"/>
  <c r="U148" i="2"/>
  <c r="F148" i="2"/>
  <c r="G148" i="2" s="1"/>
  <c r="H148" i="2" s="1"/>
  <c r="I148" i="2" s="1"/>
  <c r="V147" i="2"/>
  <c r="U147" i="2"/>
  <c r="W147" i="2"/>
  <c r="F147" i="2"/>
  <c r="G147" i="2" s="1"/>
  <c r="H147" i="2" s="1"/>
  <c r="I147" i="2" s="1"/>
  <c r="W146" i="2"/>
  <c r="V146" i="2"/>
  <c r="U146" i="2"/>
  <c r="F146" i="2"/>
  <c r="G146" i="2" s="1"/>
  <c r="H146" i="2" s="1"/>
  <c r="I146" i="2" s="1"/>
  <c r="U145" i="2"/>
  <c r="V145" i="2"/>
  <c r="W145" i="2"/>
  <c r="F145" i="2"/>
  <c r="G145" i="2" s="1"/>
  <c r="H145" i="2" s="1"/>
  <c r="I145" i="2" s="1"/>
  <c r="F144" i="2"/>
  <c r="G144" i="2" s="1"/>
  <c r="H144" i="2" s="1"/>
  <c r="I144" i="2" s="1"/>
  <c r="U144" i="2"/>
  <c r="V144" i="2"/>
  <c r="W144" i="2"/>
  <c r="W143" i="2"/>
  <c r="U143" i="2"/>
  <c r="F143" i="2"/>
  <c r="G143" i="2" s="1"/>
  <c r="H143" i="2" s="1"/>
  <c r="I143" i="2" s="1"/>
  <c r="V143" i="2"/>
  <c r="W142" i="2"/>
  <c r="V142" i="2"/>
  <c r="F142" i="2"/>
  <c r="G142" i="2" s="1"/>
  <c r="H142" i="2" s="1"/>
  <c r="I142" i="2" s="1"/>
  <c r="U142" i="2"/>
  <c r="W141" i="2"/>
  <c r="F141" i="2"/>
  <c r="G141" i="2" s="1"/>
  <c r="H141" i="2" s="1"/>
  <c r="I141" i="2" s="1"/>
  <c r="U141" i="2"/>
  <c r="V141" i="2"/>
  <c r="W140" i="2"/>
  <c r="U140" i="2"/>
  <c r="V140" i="2"/>
  <c r="F140" i="2"/>
  <c r="G140" i="2" s="1"/>
  <c r="H140" i="2" s="1"/>
  <c r="I140" i="2" s="1"/>
  <c r="W139" i="2"/>
  <c r="F139" i="2"/>
  <c r="G139" i="2" s="1"/>
  <c r="H139" i="2" s="1"/>
  <c r="I139" i="2" s="1"/>
  <c r="U139" i="2"/>
  <c r="V139" i="2"/>
  <c r="W138" i="2"/>
  <c r="V138" i="2"/>
  <c r="F138" i="2"/>
  <c r="G138" i="2" s="1"/>
  <c r="H138" i="2" s="1"/>
  <c r="I138" i="2" s="1"/>
  <c r="U138" i="2"/>
  <c r="V137" i="2"/>
  <c r="U137" i="2"/>
  <c r="F137" i="2"/>
  <c r="G137" i="2" s="1"/>
  <c r="H137" i="2" s="1"/>
  <c r="I137" i="2" s="1"/>
  <c r="W137" i="2"/>
  <c r="W136" i="2"/>
  <c r="V136" i="2"/>
  <c r="U136" i="2"/>
  <c r="F136" i="2"/>
  <c r="G136" i="2" s="1"/>
  <c r="H136" i="2" s="1"/>
  <c r="I136" i="2" s="1"/>
  <c r="F135" i="2"/>
  <c r="G135" i="2" s="1"/>
  <c r="H135" i="2" s="1"/>
  <c r="I135" i="2" s="1"/>
  <c r="W135" i="2"/>
  <c r="V135" i="2"/>
  <c r="U135" i="2"/>
  <c r="U134" i="2"/>
  <c r="V134" i="2"/>
  <c r="F134" i="2"/>
  <c r="G134" i="2" s="1"/>
  <c r="H134" i="2" s="1"/>
  <c r="I134" i="2" s="1"/>
  <c r="W134" i="2"/>
  <c r="U133" i="2"/>
  <c r="F133" i="2"/>
  <c r="G133" i="2" s="1"/>
  <c r="H133" i="2" s="1"/>
  <c r="I133" i="2" s="1"/>
  <c r="W133" i="2"/>
  <c r="V133" i="2"/>
  <c r="W132" i="2"/>
  <c r="F132" i="2"/>
  <c r="G132" i="2" s="1"/>
  <c r="H132" i="2" s="1"/>
  <c r="I132" i="2" s="1"/>
  <c r="U132" i="2"/>
  <c r="V132" i="2"/>
  <c r="F131" i="2"/>
  <c r="G131" i="2" s="1"/>
  <c r="H131" i="2" s="1"/>
  <c r="I131" i="2" s="1"/>
  <c r="U131" i="2"/>
  <c r="V131" i="2"/>
  <c r="W131" i="2"/>
  <c r="F130" i="2"/>
  <c r="G130" i="2" s="1"/>
  <c r="H130" i="2" s="1"/>
  <c r="I130" i="2" s="1"/>
  <c r="V130" i="2"/>
  <c r="U130" i="2"/>
  <c r="W130" i="2"/>
  <c r="F129" i="2"/>
  <c r="G129" i="2" s="1"/>
  <c r="H129" i="2" s="1"/>
  <c r="I129" i="2" s="1"/>
  <c r="U129" i="2"/>
  <c r="V129" i="2"/>
  <c r="W129" i="2"/>
  <c r="W128" i="2"/>
  <c r="V128" i="2"/>
  <c r="U128" i="2"/>
  <c r="F128" i="2"/>
  <c r="G128" i="2" s="1"/>
  <c r="H128" i="2" s="1"/>
  <c r="I128" i="2" s="1"/>
  <c r="V127" i="2"/>
  <c r="F127" i="2"/>
  <c r="G127" i="2" s="1"/>
  <c r="H127" i="2" s="1"/>
  <c r="I127" i="2" s="1"/>
  <c r="U127" i="2"/>
  <c r="W127" i="2"/>
  <c r="V126" i="2"/>
  <c r="F126" i="2"/>
  <c r="G126" i="2" s="1"/>
  <c r="H126" i="2" s="1"/>
  <c r="I126" i="2" s="1"/>
  <c r="U126" i="2"/>
  <c r="W126" i="2"/>
  <c r="W125" i="2"/>
  <c r="V125" i="2"/>
  <c r="U125" i="2"/>
  <c r="F125" i="2"/>
  <c r="G125" i="2" s="1"/>
  <c r="H125" i="2" s="1"/>
  <c r="I125" i="2" s="1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V204" i="2" l="1"/>
  <c r="U204" i="2"/>
  <c r="W204" i="2"/>
  <c r="F205" i="2"/>
  <c r="G205" i="2" s="1"/>
  <c r="H205" i="2" s="1"/>
  <c r="I205" i="2" s="1"/>
  <c r="A207" i="2"/>
  <c r="E206" i="2"/>
  <c r="D206" i="2"/>
  <c r="U206" i="2" s="1"/>
  <c r="U205" i="2"/>
  <c r="V205" i="2"/>
  <c r="W205" i="2"/>
  <c r="J123" i="2"/>
  <c r="L123" i="2" s="1"/>
  <c r="J121" i="2"/>
  <c r="L121" i="2" s="1"/>
  <c r="J107" i="2"/>
  <c r="L107" i="2" s="1"/>
  <c r="J94" i="2"/>
  <c r="J85" i="2"/>
  <c r="J75" i="2"/>
  <c r="J56" i="2"/>
  <c r="J50" i="2"/>
  <c r="J86" i="2"/>
  <c r="L86" i="2" s="1"/>
  <c r="J76" i="2"/>
  <c r="L76" i="2" s="1"/>
  <c r="J82" i="2"/>
  <c r="J53" i="2"/>
  <c r="J154" i="2"/>
  <c r="L154" i="2" s="1"/>
  <c r="J51" i="2"/>
  <c r="J48" i="2"/>
  <c r="J153" i="2"/>
  <c r="L153" i="2" s="1"/>
  <c r="J113" i="2"/>
  <c r="L113" i="2" s="1"/>
  <c r="J203" i="2"/>
  <c r="J34" i="2"/>
  <c r="J202" i="2"/>
  <c r="J8" i="2"/>
  <c r="J19" i="2"/>
  <c r="J184" i="2"/>
  <c r="L184" i="2" s="1"/>
  <c r="J74" i="2"/>
  <c r="L74" i="2" s="1"/>
  <c r="J79" i="2"/>
  <c r="J134" i="2"/>
  <c r="L134" i="2" s="1"/>
  <c r="J80" i="2"/>
  <c r="J81" i="2"/>
  <c r="J112" i="2"/>
  <c r="J144" i="2"/>
  <c r="J93" i="2"/>
  <c r="J71" i="2"/>
  <c r="J46" i="2"/>
  <c r="J168" i="2"/>
  <c r="L168" i="2" s="1"/>
  <c r="J73" i="2"/>
  <c r="L73" i="2" s="1"/>
  <c r="J72" i="2"/>
  <c r="J70" i="2"/>
  <c r="L70" i="2" s="1"/>
  <c r="J77" i="2"/>
  <c r="L77" i="2" s="1"/>
  <c r="J114" i="2"/>
  <c r="L114" i="2" s="1"/>
  <c r="J110" i="2"/>
  <c r="J104" i="2"/>
  <c r="J109" i="2"/>
  <c r="L109" i="2" s="1"/>
  <c r="J89" i="2"/>
  <c r="L89" i="2" s="1"/>
  <c r="J120" i="2"/>
  <c r="J102" i="2"/>
  <c r="L102" i="2" s="1"/>
  <c r="J88" i="2"/>
  <c r="L88" i="2" s="1"/>
  <c r="J188" i="2"/>
  <c r="L188" i="2" s="1"/>
  <c r="J65" i="2"/>
  <c r="L65" i="2" s="1"/>
  <c r="J108" i="2"/>
  <c r="J106" i="2"/>
  <c r="L106" i="2" s="1"/>
  <c r="J111" i="2"/>
  <c r="L111" i="2" s="1"/>
  <c r="J87" i="2"/>
  <c r="L87" i="2" s="1"/>
  <c r="J105" i="2"/>
  <c r="J83" i="2"/>
  <c r="L83" i="2" s="1"/>
  <c r="J169" i="2"/>
  <c r="L169" i="2" s="1"/>
  <c r="J95" i="2"/>
  <c r="J91" i="2"/>
  <c r="J167" i="2"/>
  <c r="L167" i="2" s="1"/>
  <c r="J166" i="2"/>
  <c r="L166" i="2" s="1"/>
  <c r="J165" i="2"/>
  <c r="L165" i="2" s="1"/>
  <c r="J164" i="2"/>
  <c r="L164" i="2" s="1"/>
  <c r="J103" i="2"/>
  <c r="J99" i="2"/>
  <c r="J185" i="2"/>
  <c r="J58" i="2"/>
  <c r="L58" i="2" s="1"/>
  <c r="J66" i="2"/>
  <c r="J195" i="2"/>
  <c r="L195" i="2" s="1"/>
  <c r="J191" i="2"/>
  <c r="L191" i="2" s="1"/>
  <c r="J100" i="2"/>
  <c r="J43" i="2"/>
  <c r="L43" i="2" s="1"/>
  <c r="J12" i="2"/>
  <c r="J47" i="2"/>
  <c r="L47" i="2" s="1"/>
  <c r="J40" i="2"/>
  <c r="J9" i="2"/>
  <c r="L9" i="2" s="1"/>
  <c r="J122" i="2"/>
  <c r="L122" i="2" s="1"/>
  <c r="J90" i="2"/>
  <c r="J36" i="2"/>
  <c r="J14" i="2"/>
  <c r="L14" i="2" s="1"/>
  <c r="J27" i="2"/>
  <c r="L27" i="2" s="1"/>
  <c r="J25" i="2"/>
  <c r="J42" i="2"/>
  <c r="J32" i="2"/>
  <c r="L32" i="2" s="1"/>
  <c r="J23" i="2"/>
  <c r="J38" i="2"/>
  <c r="J21" i="2"/>
  <c r="L21" i="2" s="1"/>
  <c r="J45" i="2"/>
  <c r="L45" i="2" s="1"/>
  <c r="J17" i="2"/>
  <c r="J49" i="2"/>
  <c r="L49" i="2" s="1"/>
  <c r="J44" i="2"/>
  <c r="J117" i="2"/>
  <c r="J30" i="2"/>
  <c r="J29" i="2"/>
  <c r="J28" i="2"/>
  <c r="L28" i="2" s="1"/>
  <c r="J201" i="2"/>
  <c r="J183" i="2"/>
  <c r="L183" i="2" s="1"/>
  <c r="J61" i="2"/>
  <c r="J116" i="2"/>
  <c r="J84" i="2"/>
  <c r="L84" i="2" s="1"/>
  <c r="J52" i="2"/>
  <c r="J179" i="2"/>
  <c r="L179" i="2" s="1"/>
  <c r="J175" i="2"/>
  <c r="L175" i="2" s="1"/>
  <c r="J18" i="2"/>
  <c r="J181" i="2"/>
  <c r="L181" i="2" s="1"/>
  <c r="J180" i="2"/>
  <c r="L180" i="2" s="1"/>
  <c r="J176" i="2"/>
  <c r="L176" i="2" s="1"/>
  <c r="J172" i="2"/>
  <c r="L172" i="2" s="1"/>
  <c r="J174" i="2"/>
  <c r="L174" i="2" s="1"/>
  <c r="J171" i="2"/>
  <c r="L171" i="2" s="1"/>
  <c r="J124" i="2"/>
  <c r="J161" i="2"/>
  <c r="J186" i="2"/>
  <c r="J182" i="2"/>
  <c r="L182" i="2" s="1"/>
  <c r="J178" i="2"/>
  <c r="L178" i="2" s="1"/>
  <c r="J177" i="2"/>
  <c r="L177" i="2" s="1"/>
  <c r="J173" i="2"/>
  <c r="L173" i="2" s="1"/>
  <c r="J170" i="2"/>
  <c r="L170" i="2" s="1"/>
  <c r="J97" i="2"/>
  <c r="J69" i="2"/>
  <c r="J63" i="2"/>
  <c r="J57" i="2"/>
  <c r="L57" i="2" s="1"/>
  <c r="J67" i="2"/>
  <c r="L67" i="2" s="1"/>
  <c r="J96" i="2"/>
  <c r="L96" i="2" s="1"/>
  <c r="J92" i="2"/>
  <c r="J131" i="2"/>
  <c r="J98" i="2"/>
  <c r="L98" i="2" s="1"/>
  <c r="J160" i="2"/>
  <c r="L160" i="2" s="1"/>
  <c r="J101" i="2"/>
  <c r="L101" i="2" s="1"/>
  <c r="J68" i="2"/>
  <c r="J62" i="2"/>
  <c r="J64" i="2"/>
  <c r="J59" i="2"/>
  <c r="L59" i="2" s="1"/>
  <c r="J7" i="2"/>
  <c r="J192" i="2"/>
  <c r="J133" i="2"/>
  <c r="J137" i="2"/>
  <c r="L137" i="2" s="1"/>
  <c r="J193" i="2"/>
  <c r="L193" i="2" s="1"/>
  <c r="J126" i="2"/>
  <c r="L126" i="2" s="1"/>
  <c r="J200" i="2"/>
  <c r="J41" i="2"/>
  <c r="J37" i="2"/>
  <c r="J35" i="2"/>
  <c r="J33" i="2"/>
  <c r="L33" i="2" s="1"/>
  <c r="J31" i="2"/>
  <c r="J24" i="2"/>
  <c r="J20" i="2"/>
  <c r="J15" i="2"/>
  <c r="J6" i="2"/>
  <c r="J5" i="2"/>
  <c r="J4" i="2"/>
  <c r="J60" i="2"/>
  <c r="J55" i="2"/>
  <c r="J39" i="2"/>
  <c r="J26" i="2"/>
  <c r="L26" i="2" s="1"/>
  <c r="J22" i="2"/>
  <c r="J16" i="2"/>
  <c r="L16" i="2" s="1"/>
  <c r="J13" i="2"/>
  <c r="L13" i="2" s="1"/>
  <c r="J11" i="2"/>
  <c r="J10" i="2"/>
  <c r="L10" i="2" s="1"/>
  <c r="J151" i="2"/>
  <c r="L151" i="2" s="1"/>
  <c r="J118" i="2"/>
  <c r="L118" i="2" s="1"/>
  <c r="J54" i="2"/>
  <c r="L54" i="2" s="1"/>
  <c r="J159" i="2"/>
  <c r="J158" i="2"/>
  <c r="L158" i="2" s="1"/>
  <c r="J157" i="2"/>
  <c r="J152" i="2"/>
  <c r="L152" i="2" s="1"/>
  <c r="J147" i="2"/>
  <c r="L147" i="2" s="1"/>
  <c r="J132" i="2"/>
  <c r="J130" i="2"/>
  <c r="L130" i="2" s="1"/>
  <c r="J129" i="2"/>
  <c r="J127" i="2"/>
  <c r="L127" i="2" s="1"/>
  <c r="J119" i="2"/>
  <c r="L119" i="2" s="1"/>
  <c r="J115" i="2"/>
  <c r="L115" i="2" s="1"/>
  <c r="J78" i="2"/>
  <c r="J196" i="2"/>
  <c r="L196" i="2" s="1"/>
  <c r="J194" i="2"/>
  <c r="L194" i="2" s="1"/>
  <c r="J187" i="2"/>
  <c r="L187" i="2" s="1"/>
  <c r="J156" i="2"/>
  <c r="L156" i="2" s="1"/>
  <c r="J155" i="2"/>
  <c r="L155" i="2" s="1"/>
  <c r="J150" i="2"/>
  <c r="L150" i="2" s="1"/>
  <c r="J148" i="2"/>
  <c r="L148" i="2" s="1"/>
  <c r="J146" i="2"/>
  <c r="L146" i="2" s="1"/>
  <c r="J143" i="2"/>
  <c r="J142" i="2"/>
  <c r="J141" i="2"/>
  <c r="L141" i="2" s="1"/>
  <c r="J140" i="2"/>
  <c r="J139" i="2"/>
  <c r="L139" i="2" s="1"/>
  <c r="J136" i="2"/>
  <c r="L136" i="2" s="1"/>
  <c r="J125" i="2"/>
  <c r="J198" i="2"/>
  <c r="L198" i="2" s="1"/>
  <c r="J197" i="2"/>
  <c r="L197" i="2" s="1"/>
  <c r="J162" i="2"/>
  <c r="L162" i="2" s="1"/>
  <c r="J149" i="2"/>
  <c r="L149" i="2" s="1"/>
  <c r="J145" i="2"/>
  <c r="L145" i="2" s="1"/>
  <c r="J199" i="2"/>
  <c r="J190" i="2"/>
  <c r="J189" i="2"/>
  <c r="L189" i="2" s="1"/>
  <c r="J163" i="2"/>
  <c r="L163" i="2" s="1"/>
  <c r="J138" i="2"/>
  <c r="L138" i="2" s="1"/>
  <c r="J135" i="2"/>
  <c r="L135" i="2" s="1"/>
  <c r="J128" i="2"/>
  <c r="L128" i="2" s="1"/>
  <c r="L192" i="2" l="1"/>
  <c r="L157" i="2"/>
  <c r="L143" i="2"/>
  <c r="L159" i="2"/>
  <c r="L97" i="2"/>
  <c r="L104" i="2"/>
  <c r="L79" i="2"/>
  <c r="L15" i="2"/>
  <c r="L117" i="2"/>
  <c r="L186" i="2"/>
  <c r="L142" i="2"/>
  <c r="L125" i="2"/>
  <c r="L129" i="2"/>
  <c r="L116" i="2"/>
  <c r="L80" i="2"/>
  <c r="L105" i="2"/>
  <c r="L25" i="2"/>
  <c r="L30" i="2"/>
  <c r="L18" i="2"/>
  <c r="L132" i="2"/>
  <c r="L144" i="2"/>
  <c r="L120" i="2"/>
  <c r="L185" i="2"/>
  <c r="L81" i="2"/>
  <c r="L91" i="2"/>
  <c r="L103" i="2"/>
  <c r="L78" i="2"/>
  <c r="L55" i="2"/>
  <c r="L35" i="2"/>
  <c r="L24" i="2"/>
  <c r="L5" i="2"/>
  <c r="J204" i="2"/>
  <c r="L46" i="2"/>
  <c r="L108" i="2"/>
  <c r="L99" i="2"/>
  <c r="L124" i="2"/>
  <c r="L131" i="2"/>
  <c r="L22" i="2"/>
  <c r="L37" i="2"/>
  <c r="A208" i="2"/>
  <c r="E207" i="2"/>
  <c r="D207" i="2"/>
  <c r="F207" i="2" s="1"/>
  <c r="G207" i="2" s="1"/>
  <c r="H207" i="2" s="1"/>
  <c r="I207" i="2" s="1"/>
  <c r="W206" i="2"/>
  <c r="J206" i="2" s="1"/>
  <c r="V206" i="2"/>
  <c r="F206" i="2"/>
  <c r="G206" i="2" s="1"/>
  <c r="H206" i="2" s="1"/>
  <c r="I206" i="2" s="1"/>
  <c r="L112" i="2"/>
  <c r="L110" i="2"/>
  <c r="J205" i="2"/>
  <c r="L90" i="2"/>
  <c r="L161" i="2"/>
  <c r="L41" i="2"/>
  <c r="L39" i="2"/>
  <c r="L12" i="2"/>
  <c r="L11" i="2"/>
  <c r="L6" i="2"/>
  <c r="L66" i="2"/>
  <c r="L36" i="2"/>
  <c r="L92" i="2"/>
  <c r="L52" i="2"/>
  <c r="L85" i="2"/>
  <c r="L63" i="2"/>
  <c r="L44" i="2"/>
  <c r="L31" i="2"/>
  <c r="L23" i="2"/>
  <c r="L190" i="2"/>
  <c r="L133" i="2"/>
  <c r="L140" i="2"/>
  <c r="L95" i="2"/>
  <c r="L100" i="2"/>
  <c r="L69" i="2"/>
  <c r="L68" i="2"/>
  <c r="L62" i="2"/>
  <c r="L64" i="2"/>
  <c r="L60" i="2"/>
  <c r="L40" i="2"/>
  <c r="L20" i="2"/>
  <c r="L29" i="2"/>
  <c r="L7" i="2"/>
  <c r="L75" i="2"/>
  <c r="L71" i="2"/>
  <c r="L72" i="2"/>
  <c r="L17" i="2"/>
  <c r="L61" i="2"/>
  <c r="L93" i="2"/>
  <c r="L42" i="2"/>
  <c r="L38" i="2"/>
  <c r="L4" i="2"/>
  <c r="L82" i="2"/>
  <c r="L53" i="2"/>
  <c r="L19" i="2"/>
  <c r="L8" i="2"/>
  <c r="L56" i="2"/>
  <c r="L48" i="2"/>
  <c r="L94" i="2"/>
  <c r="L50" i="2"/>
  <c r="L34" i="2"/>
  <c r="L51" i="2"/>
  <c r="A209" i="2" l="1"/>
  <c r="D208" i="2"/>
  <c r="E208" i="2"/>
  <c r="W207" i="2"/>
  <c r="U207" i="2"/>
  <c r="V207" i="2"/>
  <c r="S4" i="2"/>
  <c r="S13" i="2"/>
  <c r="S9" i="2"/>
  <c r="S6" i="2"/>
  <c r="S14" i="2"/>
  <c r="S11" i="2"/>
  <c r="S8" i="2"/>
  <c r="S12" i="2"/>
  <c r="S19" i="2"/>
  <c r="S5" i="2"/>
  <c r="S17" i="2"/>
  <c r="S18" i="2"/>
  <c r="S7" i="2"/>
  <c r="S16" i="2"/>
  <c r="S15" i="2"/>
  <c r="S10" i="2"/>
  <c r="S20" i="2"/>
  <c r="J207" i="2" l="1"/>
  <c r="A210" i="2"/>
  <c r="E209" i="2"/>
  <c r="D209" i="2"/>
  <c r="F209" i="2" s="1"/>
  <c r="G209" i="2" s="1"/>
  <c r="H209" i="2" s="1"/>
  <c r="I209" i="2" s="1"/>
  <c r="F208" i="2"/>
  <c r="G208" i="2" s="1"/>
  <c r="H208" i="2" s="1"/>
  <c r="I208" i="2" s="1"/>
  <c r="U208" i="2"/>
  <c r="W208" i="2"/>
  <c r="V208" i="2"/>
  <c r="J208" i="2" l="1"/>
  <c r="A211" i="2"/>
  <c r="A212" i="2" s="1"/>
  <c r="D210" i="2"/>
  <c r="U210" i="2" s="1"/>
  <c r="E210" i="2"/>
  <c r="W209" i="2"/>
  <c r="V209" i="2"/>
  <c r="U209" i="2"/>
  <c r="D211" i="2" l="1"/>
  <c r="E211" i="2"/>
  <c r="V210" i="2"/>
  <c r="W210" i="2"/>
  <c r="J210" i="2" s="1"/>
  <c r="F210" i="2"/>
  <c r="G210" i="2" s="1"/>
  <c r="H210" i="2" s="1"/>
  <c r="I210" i="2" s="1"/>
  <c r="J209" i="2"/>
  <c r="A213" i="2"/>
  <c r="D212" i="2"/>
  <c r="E212" i="2"/>
  <c r="F211" i="2" l="1"/>
  <c r="G211" i="2" s="1"/>
  <c r="H211" i="2" s="1"/>
  <c r="I211" i="2" s="1"/>
  <c r="W211" i="2"/>
  <c r="V211" i="2"/>
  <c r="U211" i="2"/>
  <c r="F212" i="2"/>
  <c r="G212" i="2" s="1"/>
  <c r="H212" i="2" s="1"/>
  <c r="I212" i="2" s="1"/>
  <c r="A214" i="2"/>
  <c r="E213" i="2"/>
  <c r="D213" i="2"/>
  <c r="W212" i="2"/>
  <c r="V212" i="2"/>
  <c r="U212" i="2"/>
  <c r="J211" i="2" l="1"/>
  <c r="F213" i="2"/>
  <c r="G213" i="2" s="1"/>
  <c r="H213" i="2" s="1"/>
  <c r="I213" i="2" s="1"/>
  <c r="A215" i="2"/>
  <c r="E214" i="2"/>
  <c r="D214" i="2"/>
  <c r="W213" i="2"/>
  <c r="V213" i="2"/>
  <c r="U213" i="2"/>
  <c r="J212" i="2"/>
  <c r="F214" i="2" l="1"/>
  <c r="G214" i="2" s="1"/>
  <c r="H214" i="2" s="1"/>
  <c r="I214" i="2" s="1"/>
  <c r="A216" i="2"/>
  <c r="E215" i="2"/>
  <c r="D215" i="2"/>
  <c r="W214" i="2"/>
  <c r="U214" i="2"/>
  <c r="V214" i="2"/>
  <c r="J213" i="2"/>
  <c r="F215" i="2" l="1"/>
  <c r="G215" i="2" s="1"/>
  <c r="H215" i="2" s="1"/>
  <c r="I215" i="2" s="1"/>
  <c r="A217" i="2"/>
  <c r="E216" i="2"/>
  <c r="D216" i="2"/>
  <c r="W215" i="2"/>
  <c r="V215" i="2"/>
  <c r="U215" i="2"/>
  <c r="J214" i="2"/>
  <c r="F216" i="2" l="1"/>
  <c r="G216" i="2" s="1"/>
  <c r="H216" i="2" s="1"/>
  <c r="I216" i="2" s="1"/>
  <c r="J215" i="2"/>
  <c r="A218" i="2"/>
  <c r="D217" i="2"/>
  <c r="E217" i="2"/>
  <c r="W216" i="2"/>
  <c r="V216" i="2"/>
  <c r="U216" i="2"/>
  <c r="F217" i="2" l="1"/>
  <c r="G217" i="2" s="1"/>
  <c r="H217" i="2" s="1"/>
  <c r="I217" i="2" s="1"/>
  <c r="A219" i="2"/>
  <c r="D218" i="2"/>
  <c r="E218" i="2"/>
  <c r="W217" i="2"/>
  <c r="V217" i="2"/>
  <c r="U217" i="2"/>
  <c r="J216" i="2"/>
  <c r="F218" i="2" l="1"/>
  <c r="G218" i="2" s="1"/>
  <c r="H218" i="2" s="1"/>
  <c r="I218" i="2" s="1"/>
  <c r="A220" i="2"/>
  <c r="D219" i="2"/>
  <c r="E219" i="2"/>
  <c r="U218" i="2"/>
  <c r="W218" i="2"/>
  <c r="V218" i="2"/>
  <c r="J217" i="2"/>
  <c r="F219" i="2" l="1"/>
  <c r="G219" i="2" s="1"/>
  <c r="H219" i="2" s="1"/>
  <c r="I219" i="2" s="1"/>
  <c r="A221" i="2"/>
  <c r="E220" i="2"/>
  <c r="D220" i="2"/>
  <c r="U219" i="2"/>
  <c r="W219" i="2"/>
  <c r="V219" i="2"/>
  <c r="J218" i="2"/>
  <c r="F220" i="2" l="1"/>
  <c r="G220" i="2" s="1"/>
  <c r="H220" i="2" s="1"/>
  <c r="I220" i="2" s="1"/>
  <c r="A222" i="2"/>
  <c r="E221" i="2"/>
  <c r="D221" i="2"/>
  <c r="U220" i="2"/>
  <c r="V220" i="2"/>
  <c r="W220" i="2"/>
  <c r="J219" i="2"/>
  <c r="F221" i="2" l="1"/>
  <c r="G221" i="2" s="1"/>
  <c r="H221" i="2" s="1"/>
  <c r="I221" i="2" s="1"/>
  <c r="J220" i="2"/>
  <c r="A223" i="2"/>
  <c r="E222" i="2"/>
  <c r="D222" i="2"/>
  <c r="U221" i="2"/>
  <c r="V221" i="2"/>
  <c r="W221" i="2"/>
  <c r="F222" i="2" l="1"/>
  <c r="G222" i="2" s="1"/>
  <c r="H222" i="2" s="1"/>
  <c r="I222" i="2" s="1"/>
  <c r="J221" i="2"/>
  <c r="A224" i="2"/>
  <c r="E223" i="2"/>
  <c r="D223" i="2"/>
  <c r="U222" i="2"/>
  <c r="W222" i="2"/>
  <c r="V222" i="2"/>
  <c r="F223" i="2" l="1"/>
  <c r="G223" i="2" s="1"/>
  <c r="H223" i="2" s="1"/>
  <c r="I223" i="2" s="1"/>
  <c r="J222" i="2"/>
  <c r="A225" i="2"/>
  <c r="D224" i="2"/>
  <c r="E224" i="2"/>
  <c r="V223" i="2"/>
  <c r="W223" i="2"/>
  <c r="U223" i="2"/>
  <c r="F224" i="2" l="1"/>
  <c r="G224" i="2" s="1"/>
  <c r="H224" i="2" s="1"/>
  <c r="I224" i="2" s="1"/>
  <c r="A226" i="2"/>
  <c r="E225" i="2"/>
  <c r="D225" i="2"/>
  <c r="V224" i="2"/>
  <c r="W224" i="2"/>
  <c r="U224" i="2"/>
  <c r="J223" i="2"/>
  <c r="F225" i="2" l="1"/>
  <c r="G225" i="2" s="1"/>
  <c r="H225" i="2" s="1"/>
  <c r="I225" i="2" s="1"/>
  <c r="A227" i="2"/>
  <c r="D226" i="2"/>
  <c r="E226" i="2"/>
  <c r="W225" i="2"/>
  <c r="V225" i="2"/>
  <c r="U225" i="2"/>
  <c r="J224" i="2"/>
  <c r="F226" i="2" l="1"/>
  <c r="G226" i="2" s="1"/>
  <c r="H226" i="2" s="1"/>
  <c r="I226" i="2" s="1"/>
  <c r="J225" i="2"/>
  <c r="A228" i="2"/>
  <c r="E227" i="2"/>
  <c r="D227" i="2"/>
  <c r="W226" i="2"/>
  <c r="V226" i="2"/>
  <c r="U226" i="2"/>
  <c r="F227" i="2" l="1"/>
  <c r="G227" i="2" s="1"/>
  <c r="H227" i="2" s="1"/>
  <c r="I227" i="2" s="1"/>
  <c r="A229" i="2"/>
  <c r="E228" i="2"/>
  <c r="D228" i="2"/>
  <c r="W227" i="2"/>
  <c r="V227" i="2"/>
  <c r="U227" i="2"/>
  <c r="J226" i="2"/>
  <c r="F228" i="2" l="1"/>
  <c r="G228" i="2" s="1"/>
  <c r="H228" i="2" s="1"/>
  <c r="I228" i="2" s="1"/>
  <c r="A230" i="2"/>
  <c r="E229" i="2"/>
  <c r="D229" i="2"/>
  <c r="U228" i="2"/>
  <c r="V228" i="2"/>
  <c r="W228" i="2"/>
  <c r="J227" i="2"/>
  <c r="F229" i="2" l="1"/>
  <c r="G229" i="2" s="1"/>
  <c r="H229" i="2" s="1"/>
  <c r="I229" i="2" s="1"/>
  <c r="J228" i="2"/>
  <c r="A231" i="2"/>
  <c r="D230" i="2"/>
  <c r="E230" i="2"/>
  <c r="W229" i="2"/>
  <c r="U229" i="2"/>
  <c r="V229" i="2"/>
  <c r="F230" i="2" l="1"/>
  <c r="G230" i="2" s="1"/>
  <c r="H230" i="2" s="1"/>
  <c r="I230" i="2" s="1"/>
  <c r="A232" i="2"/>
  <c r="D231" i="2"/>
  <c r="E231" i="2"/>
  <c r="V230" i="2"/>
  <c r="W230" i="2"/>
  <c r="U230" i="2"/>
  <c r="J229" i="2"/>
  <c r="F231" i="2" l="1"/>
  <c r="G231" i="2" s="1"/>
  <c r="H231" i="2" s="1"/>
  <c r="I231" i="2" s="1"/>
  <c r="A233" i="2"/>
  <c r="D232" i="2"/>
  <c r="E232" i="2"/>
  <c r="U231" i="2"/>
  <c r="W231" i="2"/>
  <c r="V231" i="2"/>
  <c r="J230" i="2"/>
  <c r="F232" i="2" l="1"/>
  <c r="G232" i="2" s="1"/>
  <c r="H232" i="2" s="1"/>
  <c r="I232" i="2" s="1"/>
  <c r="A234" i="2"/>
  <c r="D233" i="2"/>
  <c r="E233" i="2"/>
  <c r="V232" i="2"/>
  <c r="U232" i="2"/>
  <c r="W232" i="2"/>
  <c r="J231" i="2"/>
  <c r="F233" i="2" l="1"/>
  <c r="G233" i="2" s="1"/>
  <c r="H233" i="2" s="1"/>
  <c r="I233" i="2" s="1"/>
  <c r="J232" i="2"/>
  <c r="A235" i="2"/>
  <c r="E234" i="2"/>
  <c r="D234" i="2"/>
  <c r="U233" i="2"/>
  <c r="V233" i="2"/>
  <c r="W233" i="2"/>
  <c r="F234" i="2" l="1"/>
  <c r="G234" i="2" s="1"/>
  <c r="H234" i="2" s="1"/>
  <c r="I234" i="2" s="1"/>
  <c r="J233" i="2"/>
  <c r="A236" i="2"/>
  <c r="D235" i="2"/>
  <c r="E235" i="2"/>
  <c r="U234" i="2"/>
  <c r="V234" i="2"/>
  <c r="W234" i="2"/>
  <c r="F235" i="2" l="1"/>
  <c r="G235" i="2" s="1"/>
  <c r="H235" i="2" s="1"/>
  <c r="I235" i="2" s="1"/>
  <c r="A237" i="2"/>
  <c r="E236" i="2"/>
  <c r="D236" i="2"/>
  <c r="U235" i="2"/>
  <c r="V235" i="2"/>
  <c r="W235" i="2"/>
  <c r="J234" i="2"/>
  <c r="F236" i="2" l="1"/>
  <c r="G236" i="2" s="1"/>
  <c r="H236" i="2" s="1"/>
  <c r="I236" i="2" s="1"/>
  <c r="A238" i="2"/>
  <c r="D237" i="2"/>
  <c r="E237" i="2"/>
  <c r="U236" i="2"/>
  <c r="V236" i="2"/>
  <c r="W236" i="2"/>
  <c r="J235" i="2"/>
  <c r="F237" i="2" l="1"/>
  <c r="G237" i="2" s="1"/>
  <c r="H237" i="2" s="1"/>
  <c r="I237" i="2" s="1"/>
  <c r="J236" i="2"/>
  <c r="A239" i="2"/>
  <c r="E238" i="2"/>
  <c r="D238" i="2"/>
  <c r="U237" i="2"/>
  <c r="V237" i="2"/>
  <c r="W237" i="2"/>
  <c r="F238" i="2" l="1"/>
  <c r="G238" i="2" s="1"/>
  <c r="H238" i="2" s="1"/>
  <c r="I238" i="2" s="1"/>
  <c r="A240" i="2"/>
  <c r="E239" i="2"/>
  <c r="D239" i="2"/>
  <c r="W238" i="2"/>
  <c r="U238" i="2"/>
  <c r="V238" i="2"/>
  <c r="J237" i="2"/>
  <c r="F239" i="2" l="1"/>
  <c r="G239" i="2" s="1"/>
  <c r="H239" i="2" s="1"/>
  <c r="I239" i="2" s="1"/>
  <c r="A241" i="2"/>
  <c r="D240" i="2"/>
  <c r="E240" i="2"/>
  <c r="U239" i="2"/>
  <c r="V239" i="2"/>
  <c r="W239" i="2"/>
  <c r="J238" i="2"/>
  <c r="F240" i="2" l="1"/>
  <c r="G240" i="2" s="1"/>
  <c r="H240" i="2" s="1"/>
  <c r="I240" i="2" s="1"/>
  <c r="A242" i="2"/>
  <c r="E241" i="2"/>
  <c r="D241" i="2"/>
  <c r="U240" i="2"/>
  <c r="V240" i="2"/>
  <c r="W240" i="2"/>
  <c r="J239" i="2"/>
  <c r="F241" i="2" l="1"/>
  <c r="G241" i="2" s="1"/>
  <c r="H241" i="2" s="1"/>
  <c r="I241" i="2" s="1"/>
  <c r="J240" i="2"/>
  <c r="A243" i="2"/>
  <c r="E242" i="2"/>
  <c r="D242" i="2"/>
  <c r="U241" i="2"/>
  <c r="V241" i="2"/>
  <c r="W241" i="2"/>
  <c r="F242" i="2" l="1"/>
  <c r="G242" i="2" s="1"/>
  <c r="H242" i="2" s="1"/>
  <c r="I242" i="2" s="1"/>
  <c r="A244" i="2"/>
  <c r="E243" i="2"/>
  <c r="D243" i="2"/>
  <c r="W242" i="2"/>
  <c r="V242" i="2"/>
  <c r="U242" i="2"/>
  <c r="J241" i="2"/>
  <c r="F243" i="2" l="1"/>
  <c r="G243" i="2" s="1"/>
  <c r="H243" i="2" s="1"/>
  <c r="I243" i="2" s="1"/>
  <c r="A245" i="2"/>
  <c r="D244" i="2"/>
  <c r="E244" i="2"/>
  <c r="W243" i="2"/>
  <c r="V243" i="2"/>
  <c r="U243" i="2"/>
  <c r="J242" i="2"/>
  <c r="F244" i="2" l="1"/>
  <c r="G244" i="2" s="1"/>
  <c r="H244" i="2" s="1"/>
  <c r="I244" i="2" s="1"/>
  <c r="J243" i="2"/>
  <c r="A246" i="2"/>
  <c r="D245" i="2"/>
  <c r="E245" i="2"/>
  <c r="W244" i="2"/>
  <c r="V244" i="2"/>
  <c r="U244" i="2"/>
  <c r="F245" i="2" l="1"/>
  <c r="G245" i="2" s="1"/>
  <c r="H245" i="2" s="1"/>
  <c r="I245" i="2" s="1"/>
  <c r="A247" i="2"/>
  <c r="E246" i="2"/>
  <c r="D246" i="2"/>
  <c r="U245" i="2"/>
  <c r="W245" i="2"/>
  <c r="V245" i="2"/>
  <c r="J244" i="2"/>
  <c r="F246" i="2" l="1"/>
  <c r="G246" i="2" s="1"/>
  <c r="H246" i="2" s="1"/>
  <c r="I246" i="2" s="1"/>
  <c r="A248" i="2"/>
  <c r="E247" i="2"/>
  <c r="D247" i="2"/>
  <c r="U246" i="2"/>
  <c r="W246" i="2"/>
  <c r="V246" i="2"/>
  <c r="J245" i="2"/>
  <c r="F247" i="2" l="1"/>
  <c r="G247" i="2" s="1"/>
  <c r="H247" i="2" s="1"/>
  <c r="I247" i="2" s="1"/>
  <c r="J246" i="2"/>
  <c r="A249" i="2"/>
  <c r="D248" i="2"/>
  <c r="E248" i="2"/>
  <c r="W247" i="2"/>
  <c r="V247" i="2"/>
  <c r="U247" i="2"/>
  <c r="F248" i="2" l="1"/>
  <c r="G248" i="2" s="1"/>
  <c r="H248" i="2" s="1"/>
  <c r="I248" i="2" s="1"/>
  <c r="A250" i="2"/>
  <c r="D249" i="2"/>
  <c r="E249" i="2"/>
  <c r="U248" i="2"/>
  <c r="V248" i="2"/>
  <c r="W248" i="2"/>
  <c r="J247" i="2"/>
  <c r="F249" i="2" l="1"/>
  <c r="G249" i="2" s="1"/>
  <c r="H249" i="2" s="1"/>
  <c r="I249" i="2" s="1"/>
  <c r="A251" i="2"/>
  <c r="E250" i="2"/>
  <c r="D250" i="2"/>
  <c r="U249" i="2"/>
  <c r="V249" i="2"/>
  <c r="W249" i="2"/>
  <c r="J248" i="2"/>
  <c r="F250" i="2" l="1"/>
  <c r="G250" i="2" s="1"/>
  <c r="H250" i="2" s="1"/>
  <c r="I250" i="2" s="1"/>
  <c r="A252" i="2"/>
  <c r="E251" i="2"/>
  <c r="D251" i="2"/>
  <c r="U250" i="2"/>
  <c r="V250" i="2"/>
  <c r="W250" i="2"/>
  <c r="J249" i="2"/>
  <c r="F251" i="2" l="1"/>
  <c r="G251" i="2" s="1"/>
  <c r="H251" i="2" s="1"/>
  <c r="I251" i="2" s="1"/>
  <c r="J250" i="2"/>
  <c r="A253" i="2"/>
  <c r="D252" i="2"/>
  <c r="E252" i="2"/>
  <c r="W251" i="2"/>
  <c r="U251" i="2"/>
  <c r="V251" i="2"/>
  <c r="F252" i="2" l="1"/>
  <c r="G252" i="2" s="1"/>
  <c r="H252" i="2" s="1"/>
  <c r="I252" i="2" s="1"/>
  <c r="J251" i="2"/>
  <c r="A254" i="2"/>
  <c r="D253" i="2"/>
  <c r="E253" i="2"/>
  <c r="W252" i="2"/>
  <c r="V252" i="2"/>
  <c r="U252" i="2"/>
  <c r="F253" i="2" l="1"/>
  <c r="G253" i="2" s="1"/>
  <c r="H253" i="2" s="1"/>
  <c r="I253" i="2" s="1"/>
  <c r="J252" i="2"/>
  <c r="A255" i="2"/>
  <c r="D254" i="2"/>
  <c r="E254" i="2"/>
  <c r="W253" i="2"/>
  <c r="V253" i="2"/>
  <c r="U253" i="2"/>
  <c r="F254" i="2" l="1"/>
  <c r="G254" i="2" s="1"/>
  <c r="H254" i="2" s="1"/>
  <c r="I254" i="2" s="1"/>
  <c r="A256" i="2"/>
  <c r="E255" i="2"/>
  <c r="D255" i="2"/>
  <c r="W254" i="2"/>
  <c r="U254" i="2"/>
  <c r="V254" i="2"/>
  <c r="J253" i="2"/>
  <c r="F255" i="2" l="1"/>
  <c r="G255" i="2" s="1"/>
  <c r="H255" i="2" s="1"/>
  <c r="I255" i="2" s="1"/>
  <c r="J254" i="2"/>
  <c r="A257" i="2"/>
  <c r="D256" i="2"/>
  <c r="E256" i="2"/>
  <c r="W255" i="2"/>
  <c r="V255" i="2"/>
  <c r="U255" i="2"/>
  <c r="F256" i="2" l="1"/>
  <c r="G256" i="2" s="1"/>
  <c r="H256" i="2" s="1"/>
  <c r="I256" i="2" s="1"/>
  <c r="A258" i="2"/>
  <c r="D257" i="2"/>
  <c r="E257" i="2"/>
  <c r="W256" i="2"/>
  <c r="V256" i="2"/>
  <c r="U256" i="2"/>
  <c r="J255" i="2"/>
  <c r="F257" i="2" l="1"/>
  <c r="G257" i="2" s="1"/>
  <c r="H257" i="2" s="1"/>
  <c r="I257" i="2" s="1"/>
  <c r="J256" i="2"/>
  <c r="A259" i="2"/>
  <c r="E258" i="2"/>
  <c r="D258" i="2"/>
  <c r="V257" i="2"/>
  <c r="U257" i="2"/>
  <c r="W257" i="2"/>
  <c r="F258" i="2" l="1"/>
  <c r="G258" i="2" s="1"/>
  <c r="H258" i="2" s="1"/>
  <c r="I258" i="2" s="1"/>
  <c r="A260" i="2"/>
  <c r="D259" i="2"/>
  <c r="E259" i="2"/>
  <c r="U258" i="2"/>
  <c r="V258" i="2"/>
  <c r="W258" i="2"/>
  <c r="J257" i="2"/>
  <c r="F259" i="2" l="1"/>
  <c r="G259" i="2" s="1"/>
  <c r="H259" i="2" s="1"/>
  <c r="I259" i="2" s="1"/>
  <c r="J258" i="2"/>
  <c r="A261" i="2"/>
  <c r="E260" i="2"/>
  <c r="D260" i="2"/>
  <c r="U259" i="2"/>
  <c r="V259" i="2"/>
  <c r="W259" i="2"/>
  <c r="F260" i="2" l="1"/>
  <c r="G260" i="2" s="1"/>
  <c r="H260" i="2" s="1"/>
  <c r="I260" i="2" s="1"/>
  <c r="J259" i="2"/>
  <c r="A262" i="2"/>
  <c r="D261" i="2"/>
  <c r="E261" i="2"/>
  <c r="W260" i="2"/>
  <c r="V260" i="2"/>
  <c r="U260" i="2"/>
  <c r="F261" i="2" l="1"/>
  <c r="G261" i="2" s="1"/>
  <c r="H261" i="2" s="1"/>
  <c r="I261" i="2" s="1"/>
  <c r="J260" i="2"/>
  <c r="A263" i="2"/>
  <c r="D262" i="2"/>
  <c r="E262" i="2"/>
  <c r="W261" i="2"/>
  <c r="V261" i="2"/>
  <c r="U261" i="2"/>
  <c r="F262" i="2" l="1"/>
  <c r="G262" i="2" s="1"/>
  <c r="H262" i="2" s="1"/>
  <c r="I262" i="2" s="1"/>
  <c r="A264" i="2"/>
  <c r="D263" i="2"/>
  <c r="E263" i="2"/>
  <c r="W262" i="2"/>
  <c r="V262" i="2"/>
  <c r="U262" i="2"/>
  <c r="J261" i="2"/>
  <c r="F263" i="2" l="1"/>
  <c r="G263" i="2" s="1"/>
  <c r="H263" i="2" s="1"/>
  <c r="I263" i="2" s="1"/>
  <c r="A265" i="2"/>
  <c r="D264" i="2"/>
  <c r="E264" i="2"/>
  <c r="W263" i="2"/>
  <c r="V263" i="2"/>
  <c r="U263" i="2"/>
  <c r="J262" i="2"/>
  <c r="F264" i="2" l="1"/>
  <c r="G264" i="2" s="1"/>
  <c r="H264" i="2" s="1"/>
  <c r="I264" i="2" s="1"/>
  <c r="J263" i="2"/>
  <c r="A266" i="2"/>
  <c r="D265" i="2"/>
  <c r="E265" i="2"/>
  <c r="W264" i="2"/>
  <c r="V264" i="2"/>
  <c r="U264" i="2"/>
  <c r="F265" i="2" l="1"/>
  <c r="G265" i="2" s="1"/>
  <c r="H265" i="2" s="1"/>
  <c r="I265" i="2" s="1"/>
  <c r="J264" i="2"/>
  <c r="A267" i="2"/>
  <c r="D266" i="2"/>
  <c r="E266" i="2"/>
  <c r="V265" i="2"/>
  <c r="U265" i="2"/>
  <c r="W265" i="2"/>
  <c r="F266" i="2" l="1"/>
  <c r="G266" i="2" s="1"/>
  <c r="H266" i="2" s="1"/>
  <c r="I266" i="2" s="1"/>
  <c r="A268" i="2"/>
  <c r="E267" i="2"/>
  <c r="D267" i="2"/>
  <c r="W266" i="2"/>
  <c r="U266" i="2"/>
  <c r="V266" i="2"/>
  <c r="J265" i="2"/>
  <c r="F267" i="2" l="1"/>
  <c r="G267" i="2" s="1"/>
  <c r="H267" i="2" s="1"/>
  <c r="I267" i="2" s="1"/>
  <c r="J266" i="2"/>
  <c r="A269" i="2"/>
  <c r="D268" i="2"/>
  <c r="E268" i="2"/>
  <c r="U267" i="2"/>
  <c r="W267" i="2"/>
  <c r="V267" i="2"/>
  <c r="F268" i="2" l="1"/>
  <c r="G268" i="2" s="1"/>
  <c r="H268" i="2" s="1"/>
  <c r="I268" i="2" s="1"/>
  <c r="A270" i="2"/>
  <c r="D269" i="2"/>
  <c r="E269" i="2"/>
  <c r="W268" i="2"/>
  <c r="V268" i="2"/>
  <c r="U268" i="2"/>
  <c r="J267" i="2"/>
  <c r="F269" i="2" l="1"/>
  <c r="G269" i="2" s="1"/>
  <c r="H269" i="2" s="1"/>
  <c r="I269" i="2" s="1"/>
  <c r="J268" i="2"/>
  <c r="A271" i="2"/>
  <c r="E270" i="2"/>
  <c r="D270" i="2"/>
  <c r="U269" i="2"/>
  <c r="V269" i="2"/>
  <c r="W269" i="2"/>
  <c r="F270" i="2" l="1"/>
  <c r="G270" i="2" s="1"/>
  <c r="H270" i="2" s="1"/>
  <c r="I270" i="2" s="1"/>
  <c r="J269" i="2"/>
  <c r="A272" i="2"/>
  <c r="D271" i="2"/>
  <c r="E271" i="2"/>
  <c r="W270" i="2"/>
  <c r="U270" i="2"/>
  <c r="V270" i="2"/>
  <c r="F271" i="2" l="1"/>
  <c r="G271" i="2" s="1"/>
  <c r="H271" i="2" s="1"/>
  <c r="I271" i="2" s="1"/>
  <c r="A273" i="2"/>
  <c r="E272" i="2"/>
  <c r="D272" i="2"/>
  <c r="U271" i="2"/>
  <c r="W271" i="2"/>
  <c r="V271" i="2"/>
  <c r="J270" i="2"/>
  <c r="F272" i="2" l="1"/>
  <c r="G272" i="2" s="1"/>
  <c r="H272" i="2" s="1"/>
  <c r="I272" i="2" s="1"/>
  <c r="J271" i="2"/>
  <c r="A274" i="2"/>
  <c r="D273" i="2"/>
  <c r="E273" i="2"/>
  <c r="W272" i="2"/>
  <c r="V272" i="2"/>
  <c r="U272" i="2"/>
  <c r="F273" i="2" l="1"/>
  <c r="G273" i="2" s="1"/>
  <c r="H273" i="2" s="1"/>
  <c r="I273" i="2" s="1"/>
  <c r="J272" i="2"/>
  <c r="A275" i="2"/>
  <c r="D274" i="2"/>
  <c r="E274" i="2"/>
  <c r="V273" i="2"/>
  <c r="U273" i="2"/>
  <c r="W273" i="2"/>
  <c r="F274" i="2" l="1"/>
  <c r="G274" i="2" s="1"/>
  <c r="H274" i="2" s="1"/>
  <c r="I274" i="2" s="1"/>
  <c r="A276" i="2"/>
  <c r="E275" i="2"/>
  <c r="D275" i="2"/>
  <c r="W274" i="2"/>
  <c r="V274" i="2"/>
  <c r="U274" i="2"/>
  <c r="J273" i="2"/>
  <c r="F275" i="2" l="1"/>
  <c r="G275" i="2" s="1"/>
  <c r="H275" i="2" s="1"/>
  <c r="I275" i="2" s="1"/>
  <c r="J274" i="2"/>
  <c r="A277" i="2"/>
  <c r="E276" i="2"/>
  <c r="D276" i="2"/>
  <c r="U275" i="2"/>
  <c r="V275" i="2"/>
  <c r="W275" i="2"/>
  <c r="F276" i="2" l="1"/>
  <c r="G276" i="2" s="1"/>
  <c r="H276" i="2" s="1"/>
  <c r="I276" i="2" s="1"/>
  <c r="A278" i="2"/>
  <c r="D277" i="2"/>
  <c r="E277" i="2"/>
  <c r="V276" i="2"/>
  <c r="W276" i="2"/>
  <c r="U276" i="2"/>
  <c r="J275" i="2"/>
  <c r="F277" i="2" l="1"/>
  <c r="G277" i="2" s="1"/>
  <c r="H277" i="2" s="1"/>
  <c r="I277" i="2" s="1"/>
  <c r="J276" i="2"/>
  <c r="A279" i="2"/>
  <c r="D278" i="2"/>
  <c r="E278" i="2"/>
  <c r="W277" i="2"/>
  <c r="U277" i="2"/>
  <c r="V277" i="2"/>
  <c r="F278" i="2" l="1"/>
  <c r="G278" i="2" s="1"/>
  <c r="H278" i="2" s="1"/>
  <c r="I278" i="2" s="1"/>
  <c r="A280" i="2"/>
  <c r="D279" i="2"/>
  <c r="E279" i="2"/>
  <c r="U278" i="2"/>
  <c r="W278" i="2"/>
  <c r="V278" i="2"/>
  <c r="J277" i="2"/>
  <c r="F279" i="2" l="1"/>
  <c r="G279" i="2" s="1"/>
  <c r="H279" i="2" s="1"/>
  <c r="I279" i="2" s="1"/>
  <c r="A281" i="2"/>
  <c r="D280" i="2"/>
  <c r="E280" i="2"/>
  <c r="W279" i="2"/>
  <c r="V279" i="2"/>
  <c r="U279" i="2"/>
  <c r="J278" i="2"/>
  <c r="F280" i="2" l="1"/>
  <c r="G280" i="2" s="1"/>
  <c r="H280" i="2" s="1"/>
  <c r="I280" i="2" s="1"/>
  <c r="A282" i="2"/>
  <c r="D281" i="2"/>
  <c r="E281" i="2"/>
  <c r="U280" i="2"/>
  <c r="V280" i="2"/>
  <c r="W280" i="2"/>
  <c r="J279" i="2"/>
  <c r="F281" i="2" l="1"/>
  <c r="G281" i="2" s="1"/>
  <c r="H281" i="2" s="1"/>
  <c r="I281" i="2" s="1"/>
  <c r="J280" i="2"/>
  <c r="A283" i="2"/>
  <c r="D282" i="2"/>
  <c r="E282" i="2"/>
  <c r="U281" i="2"/>
  <c r="V281" i="2"/>
  <c r="W281" i="2"/>
  <c r="F282" i="2" l="1"/>
  <c r="G282" i="2" s="1"/>
  <c r="H282" i="2" s="1"/>
  <c r="I282" i="2" s="1"/>
  <c r="A284" i="2"/>
  <c r="D283" i="2"/>
  <c r="E283" i="2"/>
  <c r="U282" i="2"/>
  <c r="V282" i="2"/>
  <c r="W282" i="2"/>
  <c r="J281" i="2"/>
  <c r="F283" i="2" l="1"/>
  <c r="G283" i="2" s="1"/>
  <c r="H283" i="2" s="1"/>
  <c r="I283" i="2" s="1"/>
  <c r="J282" i="2"/>
  <c r="A285" i="2"/>
  <c r="D284" i="2"/>
  <c r="E284" i="2"/>
  <c r="U283" i="2"/>
  <c r="V283" i="2"/>
  <c r="W283" i="2"/>
  <c r="F284" i="2" l="1"/>
  <c r="G284" i="2" s="1"/>
  <c r="H284" i="2" s="1"/>
  <c r="I284" i="2" s="1"/>
  <c r="A286" i="2"/>
  <c r="D285" i="2"/>
  <c r="E285" i="2"/>
  <c r="U284" i="2"/>
  <c r="V284" i="2"/>
  <c r="W284" i="2"/>
  <c r="J283" i="2"/>
  <c r="F285" i="2" l="1"/>
  <c r="G285" i="2" s="1"/>
  <c r="H285" i="2" s="1"/>
  <c r="I285" i="2" s="1"/>
  <c r="J284" i="2"/>
  <c r="A287" i="2"/>
  <c r="D286" i="2"/>
  <c r="E286" i="2"/>
  <c r="U285" i="2"/>
  <c r="V285" i="2"/>
  <c r="W285" i="2"/>
  <c r="F286" i="2" l="1"/>
  <c r="G286" i="2" s="1"/>
  <c r="H286" i="2" s="1"/>
  <c r="I286" i="2" s="1"/>
  <c r="A288" i="2"/>
  <c r="E287" i="2"/>
  <c r="D287" i="2"/>
  <c r="U286" i="2"/>
  <c r="V286" i="2"/>
  <c r="W286" i="2"/>
  <c r="J285" i="2"/>
  <c r="F287" i="2" l="1"/>
  <c r="G287" i="2" s="1"/>
  <c r="H287" i="2" s="1"/>
  <c r="I287" i="2" s="1"/>
  <c r="A289" i="2"/>
  <c r="D288" i="2"/>
  <c r="E288" i="2"/>
  <c r="U287" i="2"/>
  <c r="V287" i="2"/>
  <c r="W287" i="2"/>
  <c r="J286" i="2"/>
  <c r="F288" i="2" l="1"/>
  <c r="G288" i="2" s="1"/>
  <c r="H288" i="2" s="1"/>
  <c r="I288" i="2" s="1"/>
  <c r="A290" i="2"/>
  <c r="D289" i="2"/>
  <c r="E289" i="2"/>
  <c r="W288" i="2"/>
  <c r="U288" i="2"/>
  <c r="V288" i="2"/>
  <c r="J287" i="2"/>
  <c r="F289" i="2" l="1"/>
  <c r="G289" i="2" s="1"/>
  <c r="H289" i="2" s="1"/>
  <c r="I289" i="2" s="1"/>
  <c r="J288" i="2"/>
  <c r="A291" i="2"/>
  <c r="E290" i="2"/>
  <c r="D290" i="2"/>
  <c r="U289" i="2"/>
  <c r="V289" i="2"/>
  <c r="W289" i="2"/>
  <c r="F290" i="2" l="1"/>
  <c r="G290" i="2" s="1"/>
  <c r="H290" i="2" s="1"/>
  <c r="I290" i="2" s="1"/>
  <c r="A292" i="2"/>
  <c r="E291" i="2"/>
  <c r="D291" i="2"/>
  <c r="U290" i="2"/>
  <c r="V290" i="2"/>
  <c r="W290" i="2"/>
  <c r="J289" i="2"/>
  <c r="F291" i="2" l="1"/>
  <c r="G291" i="2" s="1"/>
  <c r="H291" i="2" s="1"/>
  <c r="I291" i="2" s="1"/>
  <c r="A293" i="2"/>
  <c r="E292" i="2"/>
  <c r="D292" i="2"/>
  <c r="U291" i="2"/>
  <c r="V291" i="2"/>
  <c r="W291" i="2"/>
  <c r="J290" i="2"/>
  <c r="F292" i="2" l="1"/>
  <c r="G292" i="2" s="1"/>
  <c r="H292" i="2" s="1"/>
  <c r="I292" i="2" s="1"/>
  <c r="J291" i="2"/>
  <c r="A294" i="2"/>
  <c r="E293" i="2"/>
  <c r="D293" i="2"/>
  <c r="W292" i="2"/>
  <c r="U292" i="2"/>
  <c r="V292" i="2"/>
  <c r="F293" i="2" l="1"/>
  <c r="G293" i="2" s="1"/>
  <c r="H293" i="2" s="1"/>
  <c r="I293" i="2" s="1"/>
  <c r="J292" i="2"/>
  <c r="A295" i="2"/>
  <c r="D294" i="2"/>
  <c r="E294" i="2"/>
  <c r="W293" i="2"/>
  <c r="U293" i="2"/>
  <c r="V293" i="2"/>
  <c r="F294" i="2" l="1"/>
  <c r="G294" i="2" s="1"/>
  <c r="H294" i="2" s="1"/>
  <c r="I294" i="2" s="1"/>
  <c r="A296" i="2"/>
  <c r="D295" i="2"/>
  <c r="E295" i="2"/>
  <c r="U294" i="2"/>
  <c r="W294" i="2"/>
  <c r="V294" i="2"/>
  <c r="J293" i="2"/>
  <c r="F295" i="2" l="1"/>
  <c r="G295" i="2" s="1"/>
  <c r="H295" i="2" s="1"/>
  <c r="I295" i="2" s="1"/>
  <c r="A297" i="2"/>
  <c r="D296" i="2"/>
  <c r="E296" i="2"/>
  <c r="W295" i="2"/>
  <c r="V295" i="2"/>
  <c r="U295" i="2"/>
  <c r="J294" i="2"/>
  <c r="F296" i="2" l="1"/>
  <c r="G296" i="2" s="1"/>
  <c r="H296" i="2" s="1"/>
  <c r="I296" i="2" s="1"/>
  <c r="J295" i="2"/>
  <c r="A298" i="2"/>
  <c r="E297" i="2"/>
  <c r="D297" i="2"/>
  <c r="W296" i="2"/>
  <c r="V296" i="2"/>
  <c r="U296" i="2"/>
  <c r="F297" i="2" l="1"/>
  <c r="G297" i="2" s="1"/>
  <c r="H297" i="2" s="1"/>
  <c r="I297" i="2" s="1"/>
  <c r="J296" i="2"/>
  <c r="A299" i="2"/>
  <c r="D298" i="2"/>
  <c r="E298" i="2"/>
  <c r="U297" i="2"/>
  <c r="W297" i="2"/>
  <c r="V297" i="2"/>
  <c r="F298" i="2" l="1"/>
  <c r="G298" i="2" s="1"/>
  <c r="H298" i="2" s="1"/>
  <c r="I298" i="2" s="1"/>
  <c r="J297" i="2"/>
  <c r="A300" i="2"/>
  <c r="D299" i="2"/>
  <c r="E299" i="2"/>
  <c r="W298" i="2"/>
  <c r="V298" i="2"/>
  <c r="U298" i="2"/>
  <c r="F299" i="2" l="1"/>
  <c r="G299" i="2" s="1"/>
  <c r="H299" i="2" s="1"/>
  <c r="I299" i="2" s="1"/>
  <c r="A301" i="2"/>
  <c r="E300" i="2"/>
  <c r="D300" i="2"/>
  <c r="U299" i="2"/>
  <c r="W299" i="2"/>
  <c r="V299" i="2"/>
  <c r="J298" i="2"/>
  <c r="F300" i="2" l="1"/>
  <c r="G300" i="2" s="1"/>
  <c r="H300" i="2" s="1"/>
  <c r="I300" i="2" s="1"/>
  <c r="A302" i="2"/>
  <c r="E301" i="2"/>
  <c r="D301" i="2"/>
  <c r="U300" i="2"/>
  <c r="V300" i="2"/>
  <c r="W300" i="2"/>
  <c r="J299" i="2"/>
  <c r="F301" i="2" l="1"/>
  <c r="G301" i="2" s="1"/>
  <c r="H301" i="2" s="1"/>
  <c r="I301" i="2" s="1"/>
  <c r="A303" i="2"/>
  <c r="E302" i="2"/>
  <c r="D302" i="2"/>
  <c r="W301" i="2"/>
  <c r="U301" i="2"/>
  <c r="V301" i="2"/>
  <c r="J300" i="2"/>
  <c r="F302" i="2" l="1"/>
  <c r="G302" i="2" s="1"/>
  <c r="H302" i="2" s="1"/>
  <c r="I302" i="2" s="1"/>
  <c r="A304" i="2"/>
  <c r="D303" i="2"/>
  <c r="E303" i="2"/>
  <c r="W302" i="2"/>
  <c r="V302" i="2"/>
  <c r="U302" i="2"/>
  <c r="J301" i="2"/>
  <c r="F303" i="2" l="1"/>
  <c r="G303" i="2" s="1"/>
  <c r="H303" i="2" s="1"/>
  <c r="I303" i="2" s="1"/>
  <c r="J302" i="2"/>
  <c r="A305" i="2"/>
  <c r="E304" i="2"/>
  <c r="D304" i="2"/>
  <c r="V303" i="2"/>
  <c r="W303" i="2"/>
  <c r="U303" i="2"/>
  <c r="F304" i="2" l="1"/>
  <c r="G304" i="2" s="1"/>
  <c r="H304" i="2" s="1"/>
  <c r="I304" i="2" s="1"/>
  <c r="A306" i="2"/>
  <c r="D305" i="2"/>
  <c r="E305" i="2"/>
  <c r="W304" i="2"/>
  <c r="V304" i="2"/>
  <c r="U304" i="2"/>
  <c r="J303" i="2"/>
  <c r="F305" i="2" l="1"/>
  <c r="G305" i="2" s="1"/>
  <c r="H305" i="2" s="1"/>
  <c r="I305" i="2" s="1"/>
  <c r="J304" i="2"/>
  <c r="A307" i="2"/>
  <c r="D306" i="2"/>
  <c r="E306" i="2"/>
  <c r="U305" i="2"/>
  <c r="V305" i="2"/>
  <c r="W305" i="2"/>
  <c r="F306" i="2" l="1"/>
  <c r="G306" i="2" s="1"/>
  <c r="H306" i="2" s="1"/>
  <c r="I306" i="2" s="1"/>
  <c r="J305" i="2"/>
  <c r="A308" i="2"/>
  <c r="E307" i="2"/>
  <c r="D307" i="2"/>
  <c r="V306" i="2"/>
  <c r="W306" i="2"/>
  <c r="U306" i="2"/>
  <c r="F307" i="2" l="1"/>
  <c r="G307" i="2" s="1"/>
  <c r="H307" i="2" s="1"/>
  <c r="I307" i="2" s="1"/>
  <c r="J306" i="2"/>
  <c r="A309" i="2"/>
  <c r="D308" i="2"/>
  <c r="E308" i="2"/>
  <c r="V307" i="2"/>
  <c r="W307" i="2"/>
  <c r="U307" i="2"/>
  <c r="F308" i="2" l="1"/>
  <c r="G308" i="2" s="1"/>
  <c r="H308" i="2" s="1"/>
  <c r="I308" i="2" s="1"/>
  <c r="A310" i="2"/>
  <c r="D309" i="2"/>
  <c r="E309" i="2"/>
  <c r="U308" i="2"/>
  <c r="W308" i="2"/>
  <c r="V308" i="2"/>
  <c r="J307" i="2"/>
  <c r="F309" i="2" l="1"/>
  <c r="G309" i="2" s="1"/>
  <c r="H309" i="2" s="1"/>
  <c r="I309" i="2" s="1"/>
  <c r="A311" i="2"/>
  <c r="E310" i="2"/>
  <c r="D310" i="2"/>
  <c r="U309" i="2"/>
  <c r="W309" i="2"/>
  <c r="V309" i="2"/>
  <c r="J308" i="2"/>
  <c r="F310" i="2" l="1"/>
  <c r="G310" i="2" s="1"/>
  <c r="H310" i="2" s="1"/>
  <c r="I310" i="2" s="1"/>
  <c r="J309" i="2"/>
  <c r="A312" i="2"/>
  <c r="D311" i="2"/>
  <c r="E311" i="2"/>
  <c r="W310" i="2"/>
  <c r="V310" i="2"/>
  <c r="U310" i="2"/>
  <c r="F311" i="2" l="1"/>
  <c r="G311" i="2" s="1"/>
  <c r="H311" i="2" s="1"/>
  <c r="I311" i="2" s="1"/>
  <c r="A313" i="2"/>
  <c r="D312" i="2"/>
  <c r="E312" i="2"/>
  <c r="V311" i="2"/>
  <c r="U311" i="2"/>
  <c r="W311" i="2"/>
  <c r="J310" i="2"/>
  <c r="F312" i="2" l="1"/>
  <c r="G312" i="2" s="1"/>
  <c r="H312" i="2" s="1"/>
  <c r="I312" i="2" s="1"/>
  <c r="A314" i="2"/>
  <c r="E313" i="2"/>
  <c r="D313" i="2"/>
  <c r="V312" i="2"/>
  <c r="U312" i="2"/>
  <c r="W312" i="2"/>
  <c r="J311" i="2"/>
  <c r="F313" i="2" l="1"/>
  <c r="G313" i="2" s="1"/>
  <c r="H313" i="2" s="1"/>
  <c r="I313" i="2" s="1"/>
  <c r="J312" i="2"/>
  <c r="A315" i="2"/>
  <c r="D314" i="2"/>
  <c r="E314" i="2"/>
  <c r="V313" i="2"/>
  <c r="W313" i="2"/>
  <c r="U313" i="2"/>
  <c r="F314" i="2" l="1"/>
  <c r="G314" i="2" s="1"/>
  <c r="H314" i="2" s="1"/>
  <c r="I314" i="2" s="1"/>
  <c r="A316" i="2"/>
  <c r="D315" i="2"/>
  <c r="E315" i="2"/>
  <c r="V314" i="2"/>
  <c r="U314" i="2"/>
  <c r="W314" i="2"/>
  <c r="J313" i="2"/>
  <c r="F315" i="2" l="1"/>
  <c r="G315" i="2" s="1"/>
  <c r="H315" i="2" s="1"/>
  <c r="I315" i="2" s="1"/>
  <c r="A317" i="2"/>
  <c r="E316" i="2"/>
  <c r="D316" i="2"/>
  <c r="U315" i="2"/>
  <c r="V315" i="2"/>
  <c r="W315" i="2"/>
  <c r="J314" i="2"/>
  <c r="F316" i="2" l="1"/>
  <c r="G316" i="2" s="1"/>
  <c r="H316" i="2" s="1"/>
  <c r="I316" i="2" s="1"/>
  <c r="A318" i="2"/>
  <c r="D317" i="2"/>
  <c r="E317" i="2"/>
  <c r="V316" i="2"/>
  <c r="W316" i="2"/>
  <c r="U316" i="2"/>
  <c r="J315" i="2"/>
  <c r="F317" i="2" l="1"/>
  <c r="G317" i="2" s="1"/>
  <c r="H317" i="2" s="1"/>
  <c r="I317" i="2" s="1"/>
  <c r="A319" i="2"/>
  <c r="D318" i="2"/>
  <c r="E318" i="2"/>
  <c r="V317" i="2"/>
  <c r="W317" i="2"/>
  <c r="U317" i="2"/>
  <c r="J316" i="2"/>
  <c r="F318" i="2" l="1"/>
  <c r="G318" i="2" s="1"/>
  <c r="H318" i="2" s="1"/>
  <c r="I318" i="2" s="1"/>
  <c r="A320" i="2"/>
  <c r="E319" i="2"/>
  <c r="D319" i="2"/>
  <c r="U318" i="2"/>
  <c r="W318" i="2"/>
  <c r="V318" i="2"/>
  <c r="J317" i="2"/>
  <c r="F319" i="2" l="1"/>
  <c r="G319" i="2" s="1"/>
  <c r="H319" i="2" s="1"/>
  <c r="I319" i="2" s="1"/>
  <c r="J318" i="2"/>
  <c r="A321" i="2"/>
  <c r="D320" i="2"/>
  <c r="E320" i="2"/>
  <c r="U319" i="2"/>
  <c r="W319" i="2"/>
  <c r="V319" i="2"/>
  <c r="F320" i="2" l="1"/>
  <c r="G320" i="2" s="1"/>
  <c r="H320" i="2" s="1"/>
  <c r="I320" i="2" s="1"/>
  <c r="A322" i="2"/>
  <c r="D321" i="2"/>
  <c r="E321" i="2"/>
  <c r="U320" i="2"/>
  <c r="W320" i="2"/>
  <c r="V320" i="2"/>
  <c r="J319" i="2"/>
  <c r="F321" i="2" l="1"/>
  <c r="G321" i="2" s="1"/>
  <c r="H321" i="2" s="1"/>
  <c r="I321" i="2" s="1"/>
  <c r="A323" i="2"/>
  <c r="E322" i="2"/>
  <c r="D322" i="2"/>
  <c r="V321" i="2"/>
  <c r="U321" i="2"/>
  <c r="W321" i="2"/>
  <c r="J320" i="2"/>
  <c r="F322" i="2" l="1"/>
  <c r="G322" i="2" s="1"/>
  <c r="H322" i="2" s="1"/>
  <c r="I322" i="2" s="1"/>
  <c r="A324" i="2"/>
  <c r="E323" i="2"/>
  <c r="D323" i="2"/>
  <c r="U322" i="2"/>
  <c r="W322" i="2"/>
  <c r="V322" i="2"/>
  <c r="J321" i="2"/>
  <c r="F323" i="2" l="1"/>
  <c r="G323" i="2" s="1"/>
  <c r="H323" i="2" s="1"/>
  <c r="I323" i="2" s="1"/>
  <c r="A325" i="2"/>
  <c r="D324" i="2"/>
  <c r="E324" i="2"/>
  <c r="V323" i="2"/>
  <c r="W323" i="2"/>
  <c r="U323" i="2"/>
  <c r="J322" i="2"/>
  <c r="F324" i="2" l="1"/>
  <c r="G324" i="2" s="1"/>
  <c r="H324" i="2" s="1"/>
  <c r="I324" i="2" s="1"/>
  <c r="J323" i="2"/>
  <c r="A326" i="2"/>
  <c r="E325" i="2"/>
  <c r="D325" i="2"/>
  <c r="U324" i="2"/>
  <c r="W324" i="2"/>
  <c r="V324" i="2"/>
  <c r="F325" i="2" l="1"/>
  <c r="G325" i="2" s="1"/>
  <c r="H325" i="2" s="1"/>
  <c r="I325" i="2" s="1"/>
  <c r="A327" i="2"/>
  <c r="E326" i="2"/>
  <c r="D326" i="2"/>
  <c r="V325" i="2"/>
  <c r="W325" i="2"/>
  <c r="U325" i="2"/>
  <c r="J324" i="2"/>
  <c r="F326" i="2" l="1"/>
  <c r="G326" i="2" s="1"/>
  <c r="H326" i="2" s="1"/>
  <c r="I326" i="2" s="1"/>
  <c r="A328" i="2"/>
  <c r="D327" i="2"/>
  <c r="E327" i="2"/>
  <c r="V326" i="2"/>
  <c r="U326" i="2"/>
  <c r="W326" i="2"/>
  <c r="J325" i="2"/>
  <c r="F327" i="2" l="1"/>
  <c r="G327" i="2" s="1"/>
  <c r="H327" i="2" s="1"/>
  <c r="I327" i="2" s="1"/>
  <c r="J326" i="2"/>
  <c r="A329" i="2"/>
  <c r="E328" i="2"/>
  <c r="D328" i="2"/>
  <c r="U327" i="2"/>
  <c r="W327" i="2"/>
  <c r="V327" i="2"/>
  <c r="F328" i="2" l="1"/>
  <c r="G328" i="2" s="1"/>
  <c r="H328" i="2" s="1"/>
  <c r="I328" i="2" s="1"/>
  <c r="J327" i="2"/>
  <c r="A330" i="2"/>
  <c r="D329" i="2"/>
  <c r="E329" i="2"/>
  <c r="U328" i="2"/>
  <c r="V328" i="2"/>
  <c r="W328" i="2"/>
  <c r="F329" i="2" l="1"/>
  <c r="G329" i="2" s="1"/>
  <c r="H329" i="2" s="1"/>
  <c r="I329" i="2" s="1"/>
  <c r="A331" i="2"/>
  <c r="D330" i="2"/>
  <c r="E330" i="2"/>
  <c r="U329" i="2"/>
  <c r="V329" i="2"/>
  <c r="W329" i="2"/>
  <c r="J328" i="2"/>
  <c r="F330" i="2" l="1"/>
  <c r="G330" i="2" s="1"/>
  <c r="H330" i="2" s="1"/>
  <c r="I330" i="2" s="1"/>
  <c r="A332" i="2"/>
  <c r="E331" i="2"/>
  <c r="D331" i="2"/>
  <c r="V330" i="2"/>
  <c r="W330" i="2"/>
  <c r="U330" i="2"/>
  <c r="J329" i="2"/>
  <c r="F331" i="2" l="1"/>
  <c r="G331" i="2" s="1"/>
  <c r="H331" i="2" s="1"/>
  <c r="I331" i="2" s="1"/>
  <c r="A333" i="2"/>
  <c r="D332" i="2"/>
  <c r="E332" i="2"/>
  <c r="V331" i="2"/>
  <c r="U331" i="2"/>
  <c r="W331" i="2"/>
  <c r="J330" i="2"/>
  <c r="F332" i="2" l="1"/>
  <c r="G332" i="2" s="1"/>
  <c r="H332" i="2" s="1"/>
  <c r="I332" i="2" s="1"/>
  <c r="A334" i="2"/>
  <c r="D333" i="2"/>
  <c r="E333" i="2"/>
  <c r="W332" i="2"/>
  <c r="V332" i="2"/>
  <c r="U332" i="2"/>
  <c r="J331" i="2"/>
  <c r="F333" i="2" l="1"/>
  <c r="G333" i="2" s="1"/>
  <c r="H333" i="2" s="1"/>
  <c r="I333" i="2" s="1"/>
  <c r="A335" i="2"/>
  <c r="E334" i="2"/>
  <c r="D334" i="2"/>
  <c r="V333" i="2"/>
  <c r="W333" i="2"/>
  <c r="U333" i="2"/>
  <c r="J332" i="2"/>
  <c r="F334" i="2" l="1"/>
  <c r="G334" i="2" s="1"/>
  <c r="H334" i="2" s="1"/>
  <c r="I334" i="2" s="1"/>
  <c r="A336" i="2"/>
  <c r="D335" i="2"/>
  <c r="E335" i="2"/>
  <c r="W334" i="2"/>
  <c r="U334" i="2"/>
  <c r="V334" i="2"/>
  <c r="J333" i="2"/>
  <c r="F335" i="2" l="1"/>
  <c r="G335" i="2" s="1"/>
  <c r="H335" i="2" s="1"/>
  <c r="I335" i="2" s="1"/>
  <c r="A337" i="2"/>
  <c r="D336" i="2"/>
  <c r="E336" i="2"/>
  <c r="U335" i="2"/>
  <c r="W335" i="2"/>
  <c r="V335" i="2"/>
  <c r="J334" i="2"/>
  <c r="F336" i="2" l="1"/>
  <c r="G336" i="2" s="1"/>
  <c r="H336" i="2" s="1"/>
  <c r="I336" i="2" s="1"/>
  <c r="A338" i="2"/>
  <c r="E337" i="2"/>
  <c r="D337" i="2"/>
  <c r="U336" i="2"/>
  <c r="V336" i="2"/>
  <c r="W336" i="2"/>
  <c r="J335" i="2"/>
  <c r="F337" i="2" l="1"/>
  <c r="G337" i="2" s="1"/>
  <c r="H337" i="2" s="1"/>
  <c r="I337" i="2" s="1"/>
  <c r="A339" i="2"/>
  <c r="D338" i="2"/>
  <c r="E338" i="2"/>
  <c r="W337" i="2"/>
  <c r="U337" i="2"/>
  <c r="V337" i="2"/>
  <c r="J336" i="2"/>
  <c r="F338" i="2" l="1"/>
  <c r="G338" i="2" s="1"/>
  <c r="H338" i="2" s="1"/>
  <c r="I338" i="2" s="1"/>
  <c r="A340" i="2"/>
  <c r="D339" i="2"/>
  <c r="E339" i="2"/>
  <c r="V338" i="2"/>
  <c r="W338" i="2"/>
  <c r="U338" i="2"/>
  <c r="J337" i="2"/>
  <c r="F339" i="2" l="1"/>
  <c r="G339" i="2" s="1"/>
  <c r="H339" i="2" s="1"/>
  <c r="I339" i="2" s="1"/>
  <c r="J338" i="2"/>
  <c r="A341" i="2"/>
  <c r="E340" i="2"/>
  <c r="D340" i="2"/>
  <c r="V339" i="2"/>
  <c r="U339" i="2"/>
  <c r="W339" i="2"/>
  <c r="F340" i="2" l="1"/>
  <c r="G340" i="2" s="1"/>
  <c r="H340" i="2" s="1"/>
  <c r="I340" i="2" s="1"/>
  <c r="A342" i="2"/>
  <c r="E341" i="2"/>
  <c r="D341" i="2"/>
  <c r="U340" i="2"/>
  <c r="W340" i="2"/>
  <c r="V340" i="2"/>
  <c r="J339" i="2"/>
  <c r="F341" i="2" l="1"/>
  <c r="G341" i="2" s="1"/>
  <c r="H341" i="2" s="1"/>
  <c r="I341" i="2" s="1"/>
  <c r="J340" i="2"/>
  <c r="A343" i="2"/>
  <c r="E342" i="2"/>
  <c r="D342" i="2"/>
  <c r="V341" i="2"/>
  <c r="W341" i="2"/>
  <c r="U341" i="2"/>
  <c r="F342" i="2" l="1"/>
  <c r="G342" i="2" s="1"/>
  <c r="H342" i="2" s="1"/>
  <c r="I342" i="2" s="1"/>
  <c r="A344" i="2"/>
  <c r="D343" i="2"/>
  <c r="E343" i="2"/>
  <c r="W342" i="2"/>
  <c r="V342" i="2"/>
  <c r="U342" i="2"/>
  <c r="J341" i="2"/>
  <c r="F343" i="2" l="1"/>
  <c r="G343" i="2" s="1"/>
  <c r="H343" i="2" s="1"/>
  <c r="I343" i="2" s="1"/>
  <c r="A345" i="2"/>
  <c r="D344" i="2"/>
  <c r="E344" i="2"/>
  <c r="W343" i="2"/>
  <c r="U343" i="2"/>
  <c r="V343" i="2"/>
  <c r="J342" i="2"/>
  <c r="F344" i="2" l="1"/>
  <c r="G344" i="2" s="1"/>
  <c r="H344" i="2" s="1"/>
  <c r="I344" i="2" s="1"/>
  <c r="A346" i="2"/>
  <c r="E345" i="2"/>
  <c r="D345" i="2"/>
  <c r="U344" i="2"/>
  <c r="W344" i="2"/>
  <c r="V344" i="2"/>
  <c r="J343" i="2"/>
  <c r="F345" i="2" l="1"/>
  <c r="G345" i="2" s="1"/>
  <c r="H345" i="2" s="1"/>
  <c r="I345" i="2" s="1"/>
  <c r="J344" i="2"/>
  <c r="A347" i="2"/>
  <c r="E346" i="2"/>
  <c r="D346" i="2"/>
  <c r="V345" i="2"/>
  <c r="W345" i="2"/>
  <c r="U345" i="2"/>
  <c r="F346" i="2" l="1"/>
  <c r="G346" i="2" s="1"/>
  <c r="H346" i="2" s="1"/>
  <c r="I346" i="2" s="1"/>
  <c r="A348" i="2"/>
  <c r="D347" i="2"/>
  <c r="E347" i="2"/>
  <c r="W346" i="2"/>
  <c r="V346" i="2"/>
  <c r="U346" i="2"/>
  <c r="J345" i="2"/>
  <c r="F347" i="2" l="1"/>
  <c r="G347" i="2" s="1"/>
  <c r="H347" i="2" s="1"/>
  <c r="I347" i="2" s="1"/>
  <c r="J346" i="2"/>
  <c r="A349" i="2"/>
  <c r="E348" i="2"/>
  <c r="D348" i="2"/>
  <c r="W347" i="2"/>
  <c r="U347" i="2"/>
  <c r="V347" i="2"/>
  <c r="F348" i="2" l="1"/>
  <c r="G348" i="2" s="1"/>
  <c r="H348" i="2" s="1"/>
  <c r="I348" i="2" s="1"/>
  <c r="A350" i="2"/>
  <c r="D349" i="2"/>
  <c r="E349" i="2"/>
  <c r="U348" i="2"/>
  <c r="V348" i="2"/>
  <c r="W348" i="2"/>
  <c r="J347" i="2"/>
  <c r="F349" i="2" l="1"/>
  <c r="G349" i="2" s="1"/>
  <c r="H349" i="2" s="1"/>
  <c r="I349" i="2" s="1"/>
  <c r="A351" i="2"/>
  <c r="E350" i="2"/>
  <c r="D350" i="2"/>
  <c r="U349" i="2"/>
  <c r="W349" i="2"/>
  <c r="V349" i="2"/>
  <c r="J348" i="2"/>
  <c r="F350" i="2" l="1"/>
  <c r="G350" i="2" s="1"/>
  <c r="H350" i="2" s="1"/>
  <c r="I350" i="2" s="1"/>
  <c r="J349" i="2"/>
  <c r="A352" i="2"/>
  <c r="E351" i="2"/>
  <c r="D351" i="2"/>
  <c r="U350" i="2"/>
  <c r="W350" i="2"/>
  <c r="V350" i="2"/>
  <c r="F351" i="2" l="1"/>
  <c r="G351" i="2" s="1"/>
  <c r="H351" i="2" s="1"/>
  <c r="I351" i="2" s="1"/>
  <c r="A353" i="2"/>
  <c r="D352" i="2"/>
  <c r="E352" i="2"/>
  <c r="V351" i="2"/>
  <c r="U351" i="2"/>
  <c r="W351" i="2"/>
  <c r="J350" i="2"/>
  <c r="F352" i="2" l="1"/>
  <c r="G352" i="2" s="1"/>
  <c r="H352" i="2" s="1"/>
  <c r="I352" i="2" s="1"/>
  <c r="A354" i="2"/>
  <c r="E353" i="2"/>
  <c r="D353" i="2"/>
  <c r="W352" i="2"/>
  <c r="U352" i="2"/>
  <c r="V352" i="2"/>
  <c r="J351" i="2"/>
  <c r="F353" i="2" l="1"/>
  <c r="G353" i="2" s="1"/>
  <c r="H353" i="2" s="1"/>
  <c r="I353" i="2" s="1"/>
  <c r="A355" i="2"/>
  <c r="D354" i="2"/>
  <c r="E354" i="2"/>
  <c r="U353" i="2"/>
  <c r="V353" i="2"/>
  <c r="W353" i="2"/>
  <c r="J352" i="2"/>
  <c r="F354" i="2" l="1"/>
  <c r="G354" i="2" s="1"/>
  <c r="H354" i="2" s="1"/>
  <c r="I354" i="2" s="1"/>
  <c r="A356" i="2"/>
  <c r="D355" i="2"/>
  <c r="E355" i="2"/>
  <c r="V354" i="2"/>
  <c r="W354" i="2"/>
  <c r="U354" i="2"/>
  <c r="J353" i="2"/>
  <c r="F355" i="2" l="1"/>
  <c r="G355" i="2" s="1"/>
  <c r="H355" i="2" s="1"/>
  <c r="I355" i="2" s="1"/>
  <c r="A357" i="2"/>
  <c r="D356" i="2"/>
  <c r="E356" i="2"/>
  <c r="U355" i="2"/>
  <c r="V355" i="2"/>
  <c r="W355" i="2"/>
  <c r="J354" i="2"/>
  <c r="F356" i="2" l="1"/>
  <c r="G356" i="2" s="1"/>
  <c r="H356" i="2" s="1"/>
  <c r="I356" i="2" s="1"/>
  <c r="A358" i="2"/>
  <c r="E357" i="2"/>
  <c r="D357" i="2"/>
  <c r="U356" i="2"/>
  <c r="W356" i="2"/>
  <c r="V356" i="2"/>
  <c r="J355" i="2"/>
  <c r="F357" i="2" l="1"/>
  <c r="G357" i="2" s="1"/>
  <c r="H357" i="2" s="1"/>
  <c r="I357" i="2" s="1"/>
  <c r="A359" i="2"/>
  <c r="E358" i="2"/>
  <c r="D358" i="2"/>
  <c r="W357" i="2"/>
  <c r="U357" i="2"/>
  <c r="V357" i="2"/>
  <c r="J356" i="2"/>
  <c r="F358" i="2" l="1"/>
  <c r="G358" i="2" s="1"/>
  <c r="H358" i="2" s="1"/>
  <c r="I358" i="2" s="1"/>
  <c r="A360" i="2"/>
  <c r="D359" i="2"/>
  <c r="E359" i="2"/>
  <c r="V358" i="2"/>
  <c r="W358" i="2"/>
  <c r="U358" i="2"/>
  <c r="J357" i="2"/>
  <c r="F359" i="2" l="1"/>
  <c r="G359" i="2" s="1"/>
  <c r="H359" i="2" s="1"/>
  <c r="I359" i="2" s="1"/>
  <c r="A361" i="2"/>
  <c r="E360" i="2"/>
  <c r="D360" i="2"/>
  <c r="W359" i="2"/>
  <c r="U359" i="2"/>
  <c r="V359" i="2"/>
  <c r="J358" i="2"/>
  <c r="F360" i="2" l="1"/>
  <c r="G360" i="2" s="1"/>
  <c r="H360" i="2" s="1"/>
  <c r="I360" i="2" s="1"/>
  <c r="A362" i="2"/>
  <c r="E361" i="2"/>
  <c r="D361" i="2"/>
  <c r="W360" i="2"/>
  <c r="V360" i="2"/>
  <c r="U360" i="2"/>
  <c r="J359" i="2"/>
  <c r="F361" i="2" l="1"/>
  <c r="G361" i="2" s="1"/>
  <c r="H361" i="2" s="1"/>
  <c r="I361" i="2" s="1"/>
  <c r="A363" i="2"/>
  <c r="D362" i="2"/>
  <c r="E362" i="2"/>
  <c r="U361" i="2"/>
  <c r="W361" i="2"/>
  <c r="V361" i="2"/>
  <c r="J360" i="2"/>
  <c r="F362" i="2" l="1"/>
  <c r="G362" i="2" s="1"/>
  <c r="H362" i="2" s="1"/>
  <c r="I362" i="2" s="1"/>
  <c r="A364" i="2"/>
  <c r="E363" i="2"/>
  <c r="D363" i="2"/>
  <c r="W362" i="2"/>
  <c r="V362" i="2"/>
  <c r="U362" i="2"/>
  <c r="J361" i="2"/>
  <c r="F363" i="2" l="1"/>
  <c r="G363" i="2" s="1"/>
  <c r="H363" i="2" s="1"/>
  <c r="I363" i="2" s="1"/>
  <c r="A365" i="2"/>
  <c r="E364" i="2"/>
  <c r="D364" i="2"/>
  <c r="U363" i="2"/>
  <c r="V363" i="2"/>
  <c r="W363" i="2"/>
  <c r="J362" i="2"/>
  <c r="F364" i="2" l="1"/>
  <c r="G364" i="2" s="1"/>
  <c r="H364" i="2" s="1"/>
  <c r="I364" i="2" s="1"/>
  <c r="A366" i="2"/>
  <c r="D365" i="2"/>
  <c r="E365" i="2"/>
  <c r="V364" i="2"/>
  <c r="U364" i="2"/>
  <c r="W364" i="2"/>
  <c r="J363" i="2"/>
  <c r="F365" i="2" l="1"/>
  <c r="G365" i="2" s="1"/>
  <c r="H365" i="2" s="1"/>
  <c r="I365" i="2" s="1"/>
  <c r="A367" i="2"/>
  <c r="E366" i="2"/>
  <c r="D366" i="2"/>
  <c r="V365" i="2"/>
  <c r="W365" i="2"/>
  <c r="U365" i="2"/>
  <c r="J364" i="2"/>
  <c r="F366" i="2" l="1"/>
  <c r="G366" i="2" s="1"/>
  <c r="H366" i="2" s="1"/>
  <c r="I366" i="2" s="1"/>
  <c r="A368" i="2"/>
  <c r="E367" i="2"/>
  <c r="D367" i="2"/>
  <c r="V366" i="2"/>
  <c r="U366" i="2"/>
  <c r="W366" i="2"/>
  <c r="J365" i="2"/>
  <c r="F367" i="2" l="1"/>
  <c r="G367" i="2" s="1"/>
  <c r="H367" i="2" s="1"/>
  <c r="I367" i="2" s="1"/>
  <c r="A369" i="2"/>
  <c r="D368" i="2"/>
  <c r="E368" i="2"/>
  <c r="U367" i="2"/>
  <c r="V367" i="2"/>
  <c r="W367" i="2"/>
  <c r="J366" i="2"/>
  <c r="F368" i="2" l="1"/>
  <c r="G368" i="2" s="1"/>
  <c r="H368" i="2" s="1"/>
  <c r="I368" i="2" s="1"/>
  <c r="A370" i="2"/>
  <c r="D369" i="2"/>
  <c r="E369" i="2"/>
  <c r="U368" i="2"/>
  <c r="V368" i="2"/>
  <c r="W368" i="2"/>
  <c r="J367" i="2"/>
  <c r="F369" i="2" l="1"/>
  <c r="G369" i="2" s="1"/>
  <c r="H369" i="2" s="1"/>
  <c r="I369" i="2" s="1"/>
  <c r="J368" i="2"/>
  <c r="A371" i="2"/>
  <c r="E370" i="2"/>
  <c r="D370" i="2"/>
  <c r="U369" i="2"/>
  <c r="V369" i="2"/>
  <c r="W369" i="2"/>
  <c r="F370" i="2" l="1"/>
  <c r="G370" i="2" s="1"/>
  <c r="H370" i="2" s="1"/>
  <c r="I370" i="2" s="1"/>
  <c r="A372" i="2"/>
  <c r="D371" i="2"/>
  <c r="E371" i="2"/>
  <c r="V370" i="2"/>
  <c r="U370" i="2"/>
  <c r="W370" i="2"/>
  <c r="J369" i="2"/>
  <c r="F371" i="2" l="1"/>
  <c r="G371" i="2" s="1"/>
  <c r="H371" i="2" s="1"/>
  <c r="I371" i="2" s="1"/>
  <c r="J370" i="2"/>
  <c r="A373" i="2"/>
  <c r="D372" i="2"/>
  <c r="E372" i="2"/>
  <c r="W371" i="2"/>
  <c r="U371" i="2"/>
  <c r="V371" i="2"/>
  <c r="F372" i="2" l="1"/>
  <c r="G372" i="2" s="1"/>
  <c r="H372" i="2" s="1"/>
  <c r="I372" i="2" s="1"/>
  <c r="A374" i="2"/>
  <c r="E373" i="2"/>
  <c r="D373" i="2"/>
  <c r="U372" i="2"/>
  <c r="W372" i="2"/>
  <c r="V372" i="2"/>
  <c r="J371" i="2"/>
  <c r="F373" i="2" l="1"/>
  <c r="G373" i="2" s="1"/>
  <c r="H373" i="2" s="1"/>
  <c r="I373" i="2" s="1"/>
  <c r="J372" i="2"/>
  <c r="A375" i="2"/>
  <c r="D374" i="2"/>
  <c r="E374" i="2"/>
  <c r="W373" i="2"/>
  <c r="U373" i="2"/>
  <c r="V373" i="2"/>
  <c r="F374" i="2" l="1"/>
  <c r="G374" i="2" s="1"/>
  <c r="H374" i="2" s="1"/>
  <c r="I374" i="2" s="1"/>
  <c r="A376" i="2"/>
  <c r="D375" i="2"/>
  <c r="E375" i="2"/>
  <c r="V374" i="2"/>
  <c r="W374" i="2"/>
  <c r="U374" i="2"/>
  <c r="J373" i="2"/>
  <c r="F375" i="2" l="1"/>
  <c r="G375" i="2" s="1"/>
  <c r="H375" i="2" s="1"/>
  <c r="I375" i="2" s="1"/>
  <c r="J374" i="2"/>
  <c r="A377" i="2"/>
  <c r="D376" i="2"/>
  <c r="E376" i="2"/>
  <c r="U375" i="2"/>
  <c r="W375" i="2"/>
  <c r="V375" i="2"/>
  <c r="F376" i="2" l="1"/>
  <c r="G376" i="2" s="1"/>
  <c r="H376" i="2" s="1"/>
  <c r="I376" i="2" s="1"/>
  <c r="A378" i="2"/>
  <c r="E377" i="2"/>
  <c r="D377" i="2"/>
  <c r="U376" i="2"/>
  <c r="W376" i="2"/>
  <c r="V376" i="2"/>
  <c r="J375" i="2"/>
  <c r="F377" i="2" l="1"/>
  <c r="G377" i="2" s="1"/>
  <c r="H377" i="2" s="1"/>
  <c r="I377" i="2" s="1"/>
  <c r="J376" i="2"/>
  <c r="A379" i="2"/>
  <c r="E378" i="2"/>
  <c r="D378" i="2"/>
  <c r="V377" i="2"/>
  <c r="U377" i="2"/>
  <c r="W377" i="2"/>
  <c r="F378" i="2" l="1"/>
  <c r="G378" i="2" s="1"/>
  <c r="H378" i="2" s="1"/>
  <c r="I378" i="2" s="1"/>
  <c r="J377" i="2"/>
  <c r="A380" i="2"/>
  <c r="D379" i="2"/>
  <c r="E379" i="2"/>
  <c r="V378" i="2"/>
  <c r="U378" i="2"/>
  <c r="W378" i="2"/>
  <c r="F379" i="2" l="1"/>
  <c r="G379" i="2" s="1"/>
  <c r="H379" i="2" s="1"/>
  <c r="I379" i="2" s="1"/>
  <c r="A381" i="2"/>
  <c r="D380" i="2"/>
  <c r="E380" i="2"/>
  <c r="U379" i="2"/>
  <c r="W379" i="2"/>
  <c r="V379" i="2"/>
  <c r="J378" i="2"/>
  <c r="F380" i="2" l="1"/>
  <c r="G380" i="2" s="1"/>
  <c r="H380" i="2" s="1"/>
  <c r="I380" i="2" s="1"/>
  <c r="J379" i="2"/>
  <c r="A382" i="2"/>
  <c r="E381" i="2"/>
  <c r="D381" i="2"/>
  <c r="W380" i="2"/>
  <c r="V380" i="2"/>
  <c r="U380" i="2"/>
  <c r="F381" i="2" l="1"/>
  <c r="G381" i="2" s="1"/>
  <c r="H381" i="2" s="1"/>
  <c r="I381" i="2" s="1"/>
  <c r="J380" i="2"/>
  <c r="A383" i="2"/>
  <c r="D382" i="2"/>
  <c r="E382" i="2"/>
  <c r="U381" i="2"/>
  <c r="V381" i="2"/>
  <c r="W381" i="2"/>
  <c r="F382" i="2" l="1"/>
  <c r="G382" i="2" s="1"/>
  <c r="H382" i="2" s="1"/>
  <c r="I382" i="2" s="1"/>
  <c r="A384" i="2"/>
  <c r="D383" i="2"/>
  <c r="E383" i="2"/>
  <c r="U382" i="2"/>
  <c r="V382" i="2"/>
  <c r="W382" i="2"/>
  <c r="J381" i="2"/>
  <c r="F383" i="2" l="1"/>
  <c r="G383" i="2" s="1"/>
  <c r="H383" i="2" s="1"/>
  <c r="I383" i="2" s="1"/>
  <c r="A385" i="2"/>
  <c r="E384" i="2"/>
  <c r="D384" i="2"/>
  <c r="U383" i="2"/>
  <c r="V383" i="2"/>
  <c r="W383" i="2"/>
  <c r="J382" i="2"/>
  <c r="F384" i="2" l="1"/>
  <c r="G384" i="2" s="1"/>
  <c r="H384" i="2" s="1"/>
  <c r="I384" i="2" s="1"/>
  <c r="A386" i="2"/>
  <c r="E385" i="2"/>
  <c r="D385" i="2"/>
  <c r="V384" i="2"/>
  <c r="U384" i="2"/>
  <c r="W384" i="2"/>
  <c r="J383" i="2"/>
  <c r="F385" i="2" l="1"/>
  <c r="G385" i="2" s="1"/>
  <c r="H385" i="2" s="1"/>
  <c r="I385" i="2" s="1"/>
  <c r="J384" i="2"/>
  <c r="A387" i="2"/>
  <c r="D386" i="2"/>
  <c r="E386" i="2"/>
  <c r="U385" i="2"/>
  <c r="V385" i="2"/>
  <c r="W385" i="2"/>
  <c r="F386" i="2" l="1"/>
  <c r="G386" i="2" s="1"/>
  <c r="H386" i="2" s="1"/>
  <c r="I386" i="2" s="1"/>
  <c r="J385" i="2"/>
  <c r="A388" i="2"/>
  <c r="E387" i="2"/>
  <c r="D387" i="2"/>
  <c r="U386" i="2"/>
  <c r="V386" i="2"/>
  <c r="W386" i="2"/>
  <c r="F387" i="2" l="1"/>
  <c r="G387" i="2" s="1"/>
  <c r="H387" i="2" s="1"/>
  <c r="I387" i="2" s="1"/>
  <c r="A389" i="2"/>
  <c r="E388" i="2"/>
  <c r="D388" i="2"/>
  <c r="U387" i="2"/>
  <c r="V387" i="2"/>
  <c r="W387" i="2"/>
  <c r="J386" i="2"/>
  <c r="F388" i="2" l="1"/>
  <c r="G388" i="2" s="1"/>
  <c r="H388" i="2" s="1"/>
  <c r="I388" i="2" s="1"/>
  <c r="J387" i="2"/>
  <c r="A390" i="2"/>
  <c r="E389" i="2"/>
  <c r="D389" i="2"/>
  <c r="V388" i="2"/>
  <c r="W388" i="2"/>
  <c r="U388" i="2"/>
  <c r="F389" i="2" l="1"/>
  <c r="G389" i="2" s="1"/>
  <c r="H389" i="2" s="1"/>
  <c r="I389" i="2" s="1"/>
  <c r="A391" i="2"/>
  <c r="D390" i="2"/>
  <c r="E390" i="2"/>
  <c r="W389" i="2"/>
  <c r="V389" i="2"/>
  <c r="U389" i="2"/>
  <c r="J388" i="2"/>
  <c r="F390" i="2" l="1"/>
  <c r="G390" i="2" s="1"/>
  <c r="H390" i="2" s="1"/>
  <c r="I390" i="2" s="1"/>
  <c r="A392" i="2"/>
  <c r="D391" i="2"/>
  <c r="E391" i="2"/>
  <c r="W390" i="2"/>
  <c r="V390" i="2"/>
  <c r="U390" i="2"/>
  <c r="J389" i="2"/>
  <c r="F391" i="2" l="1"/>
  <c r="G391" i="2" s="1"/>
  <c r="H391" i="2" s="1"/>
  <c r="I391" i="2" s="1"/>
  <c r="A393" i="2"/>
  <c r="D392" i="2"/>
  <c r="E392" i="2"/>
  <c r="W391" i="2"/>
  <c r="V391" i="2"/>
  <c r="U391" i="2"/>
  <c r="J390" i="2"/>
  <c r="F392" i="2" l="1"/>
  <c r="G392" i="2" s="1"/>
  <c r="H392" i="2" s="1"/>
  <c r="I392" i="2" s="1"/>
  <c r="J391" i="2"/>
  <c r="A394" i="2"/>
  <c r="E393" i="2"/>
  <c r="D393" i="2"/>
  <c r="U392" i="2"/>
  <c r="V392" i="2"/>
  <c r="W392" i="2"/>
  <c r="F393" i="2" l="1"/>
  <c r="G393" i="2" s="1"/>
  <c r="H393" i="2" s="1"/>
  <c r="I393" i="2" s="1"/>
  <c r="A395" i="2"/>
  <c r="E394" i="2"/>
  <c r="D394" i="2"/>
  <c r="W393" i="2"/>
  <c r="V393" i="2"/>
  <c r="U393" i="2"/>
  <c r="J392" i="2"/>
  <c r="F394" i="2" l="1"/>
  <c r="G394" i="2" s="1"/>
  <c r="H394" i="2" s="1"/>
  <c r="I394" i="2" s="1"/>
  <c r="A396" i="2"/>
  <c r="E395" i="2"/>
  <c r="D395" i="2"/>
  <c r="V394" i="2"/>
  <c r="U394" i="2"/>
  <c r="W394" i="2"/>
  <c r="J393" i="2"/>
  <c r="F395" i="2" l="1"/>
  <c r="G395" i="2" s="1"/>
  <c r="H395" i="2" s="1"/>
  <c r="I395" i="2" s="1"/>
  <c r="A397" i="2"/>
  <c r="E396" i="2"/>
  <c r="D396" i="2"/>
  <c r="U395" i="2"/>
  <c r="V395" i="2"/>
  <c r="W395" i="2"/>
  <c r="J394" i="2"/>
  <c r="F396" i="2" l="1"/>
  <c r="G396" i="2" s="1"/>
  <c r="H396" i="2" s="1"/>
  <c r="I396" i="2" s="1"/>
  <c r="J395" i="2"/>
  <c r="A398" i="2"/>
  <c r="D397" i="2"/>
  <c r="E397" i="2"/>
  <c r="U396" i="2"/>
  <c r="V396" i="2"/>
  <c r="W396" i="2"/>
  <c r="F397" i="2" l="1"/>
  <c r="G397" i="2" s="1"/>
  <c r="H397" i="2" s="1"/>
  <c r="I397" i="2" s="1"/>
  <c r="A399" i="2"/>
  <c r="E398" i="2"/>
  <c r="D398" i="2"/>
  <c r="U397" i="2"/>
  <c r="W397" i="2"/>
  <c r="V397" i="2"/>
  <c r="J396" i="2"/>
  <c r="F398" i="2" l="1"/>
  <c r="G398" i="2" s="1"/>
  <c r="H398" i="2" s="1"/>
  <c r="I398" i="2" s="1"/>
  <c r="A400" i="2"/>
  <c r="E399" i="2"/>
  <c r="D399" i="2"/>
  <c r="V398" i="2"/>
  <c r="U398" i="2"/>
  <c r="W398" i="2"/>
  <c r="J397" i="2"/>
  <c r="F399" i="2" l="1"/>
  <c r="G399" i="2" s="1"/>
  <c r="H399" i="2" s="1"/>
  <c r="I399" i="2" s="1"/>
  <c r="J398" i="2"/>
  <c r="A401" i="2"/>
  <c r="E400" i="2"/>
  <c r="D400" i="2"/>
  <c r="V399" i="2"/>
  <c r="U399" i="2"/>
  <c r="W399" i="2"/>
  <c r="F400" i="2" l="1"/>
  <c r="G400" i="2" s="1"/>
  <c r="H400" i="2" s="1"/>
  <c r="I400" i="2" s="1"/>
  <c r="A402" i="2"/>
  <c r="D401" i="2"/>
  <c r="E401" i="2"/>
  <c r="V400" i="2"/>
  <c r="W400" i="2"/>
  <c r="U400" i="2"/>
  <c r="J399" i="2"/>
  <c r="F401" i="2" l="1"/>
  <c r="G401" i="2" s="1"/>
  <c r="H401" i="2" s="1"/>
  <c r="I401" i="2" s="1"/>
  <c r="E402" i="2"/>
  <c r="D402" i="2"/>
  <c r="V401" i="2"/>
  <c r="W401" i="2"/>
  <c r="U401" i="2"/>
  <c r="J400" i="2"/>
  <c r="F402" i="2" l="1"/>
  <c r="G402" i="2" s="1"/>
  <c r="H402" i="2" s="1"/>
  <c r="I402" i="2" s="1"/>
  <c r="J401" i="2"/>
  <c r="W402" i="2"/>
  <c r="V402" i="2"/>
  <c r="U402" i="2"/>
  <c r="Z4" i="2" l="1" a="1"/>
  <c r="J402" i="2"/>
  <c r="AA6" i="2" l="1"/>
  <c r="AB6" i="2"/>
  <c r="AC6" i="2"/>
  <c r="AD6" i="2"/>
  <c r="AA7" i="2"/>
  <c r="AB7" i="2"/>
  <c r="AC7" i="2"/>
  <c r="AD7" i="2"/>
  <c r="AA12" i="2"/>
  <c r="AB12" i="2"/>
  <c r="AC12" i="2"/>
  <c r="AD12" i="2"/>
  <c r="AA13" i="2"/>
  <c r="AB13" i="2"/>
  <c r="AC13" i="2"/>
  <c r="AD13" i="2"/>
  <c r="AB4" i="2"/>
  <c r="AC4" i="2"/>
  <c r="AD4" i="2"/>
  <c r="AA4" i="2"/>
  <c r="AA8" i="2"/>
  <c r="AB8" i="2"/>
  <c r="AC8" i="2"/>
  <c r="AD8" i="2"/>
  <c r="AA9" i="2"/>
  <c r="AB9" i="2"/>
  <c r="AC9" i="2"/>
  <c r="AD9" i="2"/>
  <c r="AA10" i="2"/>
  <c r="AB10" i="2"/>
  <c r="AC10" i="2"/>
  <c r="AD10" i="2"/>
  <c r="AA11" i="2"/>
  <c r="AB11" i="2"/>
  <c r="AC11" i="2"/>
  <c r="AD11" i="2"/>
  <c r="AA5" i="2"/>
  <c r="AB5" i="2"/>
  <c r="AC5" i="2"/>
  <c r="AD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<sst xmlns="http://schemas.openxmlformats.org/spreadsheetml/2006/main" count="10014" uniqueCount="2191">
  <si>
    <t>Platforms</t>
  </si>
  <si>
    <t>Fantasy Pros</t>
  </si>
  <si>
    <t>ESPN</t>
  </si>
  <si>
    <t>NFL.com</t>
  </si>
  <si>
    <t>Ja'Marr Chase</t>
  </si>
  <si>
    <t>Yahoo</t>
  </si>
  <si>
    <t>Bijan Robinson</t>
  </si>
  <si>
    <t>Saquon Barkley</t>
  </si>
  <si>
    <t>Sleeper</t>
  </si>
  <si>
    <t>Justin Jefferson</t>
  </si>
  <si>
    <t>CeeDee Lamb</t>
  </si>
  <si>
    <t>Jahmyr Gibbs</t>
  </si>
  <si>
    <t>Derrick Henry</t>
  </si>
  <si>
    <t>Nico Collins</t>
  </si>
  <si>
    <t>Puka Nacua</t>
  </si>
  <si>
    <t>Malik Nabers</t>
  </si>
  <si>
    <t>Brian Thomas Jr.</t>
  </si>
  <si>
    <t>Amon-Ra St. Brown</t>
  </si>
  <si>
    <t>Christian McCaffrey</t>
  </si>
  <si>
    <t>Ashton Jeanty</t>
  </si>
  <si>
    <t>A.J. Brown</t>
  </si>
  <si>
    <t>Jonathan Taylor</t>
  </si>
  <si>
    <t>Drake London</t>
  </si>
  <si>
    <t>De'Von Achane</t>
  </si>
  <si>
    <t>Josh Jacobs</t>
  </si>
  <si>
    <t>Brock Bowers</t>
  </si>
  <si>
    <t>George Kittle</t>
  </si>
  <si>
    <t>Ladd McConkey</t>
  </si>
  <si>
    <t>Bucky Irving</t>
  </si>
  <si>
    <t>Kyren Williams</t>
  </si>
  <si>
    <t>Josh Allen</t>
  </si>
  <si>
    <t>Lamar Jackson</t>
  </si>
  <si>
    <t>Tee Higgins</t>
  </si>
  <si>
    <t>Chase Brown</t>
  </si>
  <si>
    <t>Mike Evans</t>
  </si>
  <si>
    <t>Tyreek Hill</t>
  </si>
  <si>
    <t>Trey McBride</t>
  </si>
  <si>
    <t>Jayden Daniels</t>
  </si>
  <si>
    <t>Jaxon Smith-Njigba</t>
  </si>
  <si>
    <t>James Cook</t>
  </si>
  <si>
    <t>Davante Adams</t>
  </si>
  <si>
    <t>Jalen Hurts</t>
  </si>
  <si>
    <t>Garrett Wilson</t>
  </si>
  <si>
    <t>Omarion Hampton</t>
  </si>
  <si>
    <t>Kenneth Walker III</t>
  </si>
  <si>
    <t>Marvin Harrison Jr.</t>
  </si>
  <si>
    <t>Breece Hall</t>
  </si>
  <si>
    <t>Terry McLaurin</t>
  </si>
  <si>
    <t>DK Metcalf</t>
  </si>
  <si>
    <t>Chuba Hubbard</t>
  </si>
  <si>
    <t>Joe Burrow</t>
  </si>
  <si>
    <t>Jameson Williams</t>
  </si>
  <si>
    <t>James Conner</t>
  </si>
  <si>
    <t>Alvin Kamara</t>
  </si>
  <si>
    <t>DJ Moore</t>
  </si>
  <si>
    <t>Courtland Sutton</t>
  </si>
  <si>
    <t>Xavier Worthy</t>
  </si>
  <si>
    <t>TreVeyon Henderson</t>
  </si>
  <si>
    <t>Zay Flowers</t>
  </si>
  <si>
    <t>David Montgomery</t>
  </si>
  <si>
    <t>DeVonta Smith</t>
  </si>
  <si>
    <t>George Pickens</t>
  </si>
  <si>
    <t>Calvin Ridley</t>
  </si>
  <si>
    <t>D'Andre Swift</t>
  </si>
  <si>
    <t>Tetairoa McMillan</t>
  </si>
  <si>
    <t>Sam LaPorta</t>
  </si>
  <si>
    <t>RJ Harvey</t>
  </si>
  <si>
    <t>Tony Pollard</t>
  </si>
  <si>
    <t>Patrick Mahomes II</t>
  </si>
  <si>
    <t>Patrick Mahomes</t>
  </si>
  <si>
    <t>Isiah Pacheco</t>
  </si>
  <si>
    <t>Jaylen Waddle</t>
  </si>
  <si>
    <t>Mark Andrews</t>
  </si>
  <si>
    <t>Aaron Jones Sr.</t>
  </si>
  <si>
    <t>Aaron Jones</t>
  </si>
  <si>
    <t>Kaleb Johnson</t>
  </si>
  <si>
    <t>Rashee Rice</t>
  </si>
  <si>
    <t>Baker Mayfield</t>
  </si>
  <si>
    <t>Brian Robinson Jr.</t>
  </si>
  <si>
    <t>Travis Hunter</t>
  </si>
  <si>
    <t>Bo Nix</t>
  </si>
  <si>
    <t>T.J. Hockenson</t>
  </si>
  <si>
    <t>Joe Mixon</t>
  </si>
  <si>
    <t>Tyrone Tracy Jr.</t>
  </si>
  <si>
    <t>Kyler Murray</t>
  </si>
  <si>
    <t>Rome Odunze</t>
  </si>
  <si>
    <t>Chris Olave</t>
  </si>
  <si>
    <t>Jerry Jeudy</t>
  </si>
  <si>
    <t>Dak Prescott</t>
  </si>
  <si>
    <t>Jordan Addison</t>
  </si>
  <si>
    <t>Ricky Pearsall</t>
  </si>
  <si>
    <t>Travis Kelce</t>
  </si>
  <si>
    <t>Jordan Mason</t>
  </si>
  <si>
    <t>Justin Fields</t>
  </si>
  <si>
    <t>Deebo Samuel Sr.</t>
  </si>
  <si>
    <t>Jaylen Warren</t>
  </si>
  <si>
    <t>Brock Purdy</t>
  </si>
  <si>
    <t>Tucker Kraft</t>
  </si>
  <si>
    <t>Jayden Reed</t>
  </si>
  <si>
    <t>Jauan Jennings</t>
  </si>
  <si>
    <t>Travis Etienne Jr.</t>
  </si>
  <si>
    <t>David Njoku</t>
  </si>
  <si>
    <t>Justin Herbert</t>
  </si>
  <si>
    <t>Jakobi Meyers</t>
  </si>
  <si>
    <t>Caleb Williams</t>
  </si>
  <si>
    <t>Jared Goff</t>
  </si>
  <si>
    <t>Tank Bigsby</t>
  </si>
  <si>
    <t>Stefon Diggs</t>
  </si>
  <si>
    <t>Evan Engram</t>
  </si>
  <si>
    <t>Rhamondre Stevenson</t>
  </si>
  <si>
    <t>Drake Maye</t>
  </si>
  <si>
    <t>Chris Godwin</t>
  </si>
  <si>
    <t>Tyler Warren</t>
  </si>
  <si>
    <t>Javonte Williams</t>
  </si>
  <si>
    <t>Zach Charbonnet</t>
  </si>
  <si>
    <t>J.K. Dobbins</t>
  </si>
  <si>
    <t>Emeka Egbuka</t>
  </si>
  <si>
    <t>Khalil Shakir</t>
  </si>
  <si>
    <t>Jordan Love</t>
  </si>
  <si>
    <t>Matthew Golden</t>
  </si>
  <si>
    <t>Najee Harris</t>
  </si>
  <si>
    <t>Cam Skattebo</t>
  </si>
  <si>
    <t>Josh Downs</t>
  </si>
  <si>
    <t>Trevor Lawrence</t>
  </si>
  <si>
    <t>C.J. Stroud</t>
  </si>
  <si>
    <t>Dalton Kincaid</t>
  </si>
  <si>
    <t>Quinshon Judkins</t>
  </si>
  <si>
    <t>Cooper Kupp</t>
  </si>
  <si>
    <t>Dallas Goedert</t>
  </si>
  <si>
    <t>Darnell Mooney</t>
  </si>
  <si>
    <t>Michael Pittman Jr.</t>
  </si>
  <si>
    <t>Keon Coleman</t>
  </si>
  <si>
    <t>Tyjae Spears</t>
  </si>
  <si>
    <t>J.J. McCarthy</t>
  </si>
  <si>
    <t>Ray Davis</t>
  </si>
  <si>
    <t>Kyle Pitts Sr.</t>
  </si>
  <si>
    <t>Kyle Pitts</t>
  </si>
  <si>
    <t>Brandon Aiyuk</t>
  </si>
  <si>
    <t>Rachaad White</t>
  </si>
  <si>
    <t>Colston Loveland</t>
  </si>
  <si>
    <t>Rashid Shaheed</t>
  </si>
  <si>
    <t>Trey Benson</t>
  </si>
  <si>
    <t>Tyler Allgeier</t>
  </si>
  <si>
    <t>Tua Tagovailoa</t>
  </si>
  <si>
    <t>Jake Ferguson</t>
  </si>
  <si>
    <t>Isaac Guerendo</t>
  </si>
  <si>
    <t>Rashod Bateman</t>
  </si>
  <si>
    <t>Braelon Allen</t>
  </si>
  <si>
    <t>Jaydon Blue</t>
  </si>
  <si>
    <t>Austin Ekeler</t>
  </si>
  <si>
    <t>Bryce Young</t>
  </si>
  <si>
    <t>Christian Kirk</t>
  </si>
  <si>
    <t>Jerome Ford</t>
  </si>
  <si>
    <t>Nick Chubb</t>
  </si>
  <si>
    <t>Marvin Mims Jr.</t>
  </si>
  <si>
    <t>Hunter Henry</t>
  </si>
  <si>
    <t>Luther Burden III</t>
  </si>
  <si>
    <t>Jonnu Smith</t>
  </si>
  <si>
    <t>Michael Penix Jr.</t>
  </si>
  <si>
    <t>Rico Dowdle</t>
  </si>
  <si>
    <t>Jaylen Wright</t>
  </si>
  <si>
    <t>Cedric Tillman</t>
  </si>
  <si>
    <t>Matthew Stafford</t>
  </si>
  <si>
    <t>Isaiah Likely</t>
  </si>
  <si>
    <t>Bhayshul Tuten</t>
  </si>
  <si>
    <t>Romeo Doubs</t>
  </si>
  <si>
    <t>Dylan Sampson</t>
  </si>
  <si>
    <t>Denver Broncos</t>
  </si>
  <si>
    <t>Jayden Higgins</t>
  </si>
  <si>
    <t>Marquise Brown</t>
  </si>
  <si>
    <t>Hollywood Brown</t>
  </si>
  <si>
    <t>Zach Ertz</t>
  </si>
  <si>
    <t>Geno Smith</t>
  </si>
  <si>
    <t>Roschon Johnson</t>
  </si>
  <si>
    <t>Tre' Harris</t>
  </si>
  <si>
    <t>Tre Harris</t>
  </si>
  <si>
    <t>Quentin Johnston</t>
  </si>
  <si>
    <t>Kyle Williams</t>
  </si>
  <si>
    <t>Jalen McMillan</t>
  </si>
  <si>
    <t>Philadelphia Eagles</t>
  </si>
  <si>
    <t>Adam Thielen</t>
  </si>
  <si>
    <t>Baltimore Ravens</t>
  </si>
  <si>
    <t>Pittsburgh Steelers</t>
  </si>
  <si>
    <t>Blake Corum</t>
  </si>
  <si>
    <t>Joshua Palmer</t>
  </si>
  <si>
    <t>Minnesota Vikings</t>
  </si>
  <si>
    <t>MarShawn Lloyd</t>
  </si>
  <si>
    <t>Keenan Allen</t>
  </si>
  <si>
    <t>DeAndre Hopkins</t>
  </si>
  <si>
    <t>DeMario Douglas</t>
  </si>
  <si>
    <t>Xavier Legette</t>
  </si>
  <si>
    <t>Cam Ward</t>
  </si>
  <si>
    <t>Cameron Ward</t>
  </si>
  <si>
    <t>Sam Darnold</t>
  </si>
  <si>
    <t>Houston Texans</t>
  </si>
  <si>
    <t>Alec Pierce</t>
  </si>
  <si>
    <t>Brenton Strange</t>
  </si>
  <si>
    <t>Buffalo Bills</t>
  </si>
  <si>
    <t>Brandon Aubrey</t>
  </si>
  <si>
    <t>Kansas City Chiefs</t>
  </si>
  <si>
    <t>Wan'Dale Robinson</t>
  </si>
  <si>
    <t>Detroit Lions</t>
  </si>
  <si>
    <t>Jake Bates</t>
  </si>
  <si>
    <t>Cameron Dicker</t>
  </si>
  <si>
    <t>Kendre Miller</t>
  </si>
  <si>
    <t>Mike Gesicki</t>
  </si>
  <si>
    <t>Los Angeles Rams</t>
  </si>
  <si>
    <t>Wil Lutz</t>
  </si>
  <si>
    <t>Seattle Seahawks</t>
  </si>
  <si>
    <t>Pat Freiermuth</t>
  </si>
  <si>
    <t>Los Angeles Chargers</t>
  </si>
  <si>
    <t>Chris Boswell</t>
  </si>
  <si>
    <t>Chase McLaughlin</t>
  </si>
  <si>
    <t>Cade Otton</t>
  </si>
  <si>
    <t>Ka'imi Fairbairn</t>
  </si>
  <si>
    <t>Green Bay Packers</t>
  </si>
  <si>
    <t>Jalen Coker</t>
  </si>
  <si>
    <t>Kyle Monangai</t>
  </si>
  <si>
    <t>Kareem Hunt</t>
  </si>
  <si>
    <t>Miles Sanders</t>
  </si>
  <si>
    <t>Chig Okonkwo</t>
  </si>
  <si>
    <t>Chigoziem Okonkwo</t>
  </si>
  <si>
    <t>Michael Wilson</t>
  </si>
  <si>
    <t>Aaron Rodgers</t>
  </si>
  <si>
    <t>Will Shipley</t>
  </si>
  <si>
    <t>Harrison Butker</t>
  </si>
  <si>
    <t>Darius Slayton</t>
  </si>
  <si>
    <t>New York Jets</t>
  </si>
  <si>
    <t>Mason Taylor</t>
  </si>
  <si>
    <t>Evan McPherson</t>
  </si>
  <si>
    <t>Adonai Mitchell</t>
  </si>
  <si>
    <t>Jack Bech</t>
  </si>
  <si>
    <t>DJ Giddens</t>
  </si>
  <si>
    <t>Anthony Richardson Sr.</t>
  </si>
  <si>
    <t>Anthony Richardson</t>
  </si>
  <si>
    <t>Keaton Mitchell</t>
  </si>
  <si>
    <t>Tyler Bass</t>
  </si>
  <si>
    <t>San Francisco 49ers</t>
  </si>
  <si>
    <t>Dontayvion Wicks</t>
  </si>
  <si>
    <t>Justice Hill</t>
  </si>
  <si>
    <t>Andrei Iosivas</t>
  </si>
  <si>
    <t>Calvin Austin III</t>
  </si>
  <si>
    <t>Dalton Schultz</t>
  </si>
  <si>
    <t>Jake Elliott</t>
  </si>
  <si>
    <t>Jaylin Noel</t>
  </si>
  <si>
    <t>Jason Sanders</t>
  </si>
  <si>
    <t>Elijah Arroyo</t>
  </si>
  <si>
    <t>Woody Marks</t>
  </si>
  <si>
    <t>Devin Neal</t>
  </si>
  <si>
    <t>Pat Bryant</t>
  </si>
  <si>
    <t>Tahj Brooks</t>
  </si>
  <si>
    <t>Younghoe Koo</t>
  </si>
  <si>
    <t>Tyler Lockett</t>
  </si>
  <si>
    <t>Jarquez Hunter</t>
  </si>
  <si>
    <t>Juwan Johnson</t>
  </si>
  <si>
    <t>Elic Ayomanor</t>
  </si>
  <si>
    <t>Ollie Gordon II</t>
  </si>
  <si>
    <t>Ja'Tavion Sanders</t>
  </si>
  <si>
    <t>Dallas Cowboys</t>
  </si>
  <si>
    <t>Diontae Johnson</t>
  </si>
  <si>
    <t>Cole Kmet</t>
  </si>
  <si>
    <t>Matt Gay</t>
  </si>
  <si>
    <t>Russell Wilson</t>
  </si>
  <si>
    <t>Jacory Croskey-Merritt</t>
  </si>
  <si>
    <t>Elijah Mitchell</t>
  </si>
  <si>
    <t>Roman Wilson</t>
  </si>
  <si>
    <t>Jalen Royals</t>
  </si>
  <si>
    <t>Dyami Brown</t>
  </si>
  <si>
    <t>Raheem Mostert</t>
  </si>
  <si>
    <t>Jaleel McLaughlin</t>
  </si>
  <si>
    <t>Sean Tucker</t>
  </si>
  <si>
    <t>Tampa Bay Buccaneers</t>
  </si>
  <si>
    <t>Devaughn Vele</t>
  </si>
  <si>
    <t>Jalen Tolbert</t>
  </si>
  <si>
    <t>Nick Westbrook-Ikhine</t>
  </si>
  <si>
    <t>Joshua Karty</t>
  </si>
  <si>
    <t>Audric Estime</t>
  </si>
  <si>
    <t>Brashard Smith</t>
  </si>
  <si>
    <t>Brandin Cooks</t>
  </si>
  <si>
    <t>Trevor Etienne</t>
  </si>
  <si>
    <t>Ty Johnson</t>
  </si>
  <si>
    <t>Devin Singletary</t>
  </si>
  <si>
    <t>Kayshon Boutte</t>
  </si>
  <si>
    <t>Elijah Moore</t>
  </si>
  <si>
    <t>Noah Gray</t>
  </si>
  <si>
    <t>Antonio Gibson</t>
  </si>
  <si>
    <t>Kenneth Gainwell</t>
  </si>
  <si>
    <t>Jordan James</t>
  </si>
  <si>
    <t>Dont'e Thornton Jr.</t>
  </si>
  <si>
    <t>Theo Johnson</t>
  </si>
  <si>
    <t>Daniel Jones</t>
  </si>
  <si>
    <t>Malik Washington</t>
  </si>
  <si>
    <t>Tre Tucker</t>
  </si>
  <si>
    <t>Cleveland Browns</t>
  </si>
  <si>
    <t>Harold Fannin Jr.</t>
  </si>
  <si>
    <t>Isaiah Davis</t>
  </si>
  <si>
    <t>Tory Horton</t>
  </si>
  <si>
    <t>Jalen Nailor</t>
  </si>
  <si>
    <t>Taysom Hill</t>
  </si>
  <si>
    <t>Joe Flacco</t>
  </si>
  <si>
    <t>Isaac TeSlaa</t>
  </si>
  <si>
    <t>Khalil Herbert</t>
  </si>
  <si>
    <t>Amari Cooper</t>
  </si>
  <si>
    <t>Tyler Shough</t>
  </si>
  <si>
    <t>Tim Patrick</t>
  </si>
  <si>
    <t>Darren Waller</t>
  </si>
  <si>
    <t>Chicago Bears</t>
  </si>
  <si>
    <t>Dameon Pierce</t>
  </si>
  <si>
    <t>Daniel Carlson</t>
  </si>
  <si>
    <t>Christian Watson</t>
  </si>
  <si>
    <t>Parker Washington</t>
  </si>
  <si>
    <t>Jaxson Dart</t>
  </si>
  <si>
    <t>Kimani Vidal</t>
  </si>
  <si>
    <t>Sincere McCormick</t>
  </si>
  <si>
    <t>Terrance Ferguson</t>
  </si>
  <si>
    <t>Xavier Restrepo</t>
  </si>
  <si>
    <t>Will Reichard</t>
  </si>
  <si>
    <t>Damien Martinez</t>
  </si>
  <si>
    <t>Noah Fant</t>
  </si>
  <si>
    <t>Tyler Loop</t>
  </si>
  <si>
    <t>Luke McCaffrey</t>
  </si>
  <si>
    <t>Jermaine Burton</t>
  </si>
  <si>
    <t>Emanuel Wilson</t>
  </si>
  <si>
    <t>New England Patriots</t>
  </si>
  <si>
    <t>Shedeur Sanders</t>
  </si>
  <si>
    <t>Oronde Gadsden II</t>
  </si>
  <si>
    <t>Chris Brooks</t>
  </si>
  <si>
    <t>Phil Mafah</t>
  </si>
  <si>
    <t>Arizona Cardinals</t>
  </si>
  <si>
    <t>Tez Johnson</t>
  </si>
  <si>
    <t>Ty Chandler</t>
  </si>
  <si>
    <t>Tyler Higbee</t>
  </si>
  <si>
    <t>Gabe Davis</t>
  </si>
  <si>
    <t>Zack Moss</t>
  </si>
  <si>
    <t>Raheim Sanders</t>
  </si>
  <si>
    <t>Jason Myers</t>
  </si>
  <si>
    <t>Chris Rodriguez Jr.</t>
  </si>
  <si>
    <t>Tutu Atwell</t>
  </si>
  <si>
    <t>Zamir White</t>
  </si>
  <si>
    <t>Miami Dolphins</t>
  </si>
  <si>
    <t>Ray-Ray McCloud III</t>
  </si>
  <si>
    <t>Ben Sinnott</t>
  </si>
  <si>
    <t>Will Dissly</t>
  </si>
  <si>
    <t>A.J. Dillon</t>
  </si>
  <si>
    <t>Josh Reynolds</t>
  </si>
  <si>
    <t>Samaje Perine</t>
  </si>
  <si>
    <t>Demarcus Robinson</t>
  </si>
  <si>
    <t>Tyler Conklin</t>
  </si>
  <si>
    <t>Jordan Whittington</t>
  </si>
  <si>
    <t>Noah Brown</t>
  </si>
  <si>
    <t>Justin Tucker</t>
  </si>
  <si>
    <t>KaVontae Turpin</t>
  </si>
  <si>
    <t>Tai Felton</t>
  </si>
  <si>
    <t>Spencer Rattler</t>
  </si>
  <si>
    <t>Cam Akers</t>
  </si>
  <si>
    <t>Dawson Knox</t>
  </si>
  <si>
    <t>Marquez Valdes-Scantling</t>
  </si>
  <si>
    <t>New York Giants</t>
  </si>
  <si>
    <t>Jalen Milroe</t>
  </si>
  <si>
    <t>Troy Franklin</t>
  </si>
  <si>
    <t>Gus Edwards</t>
  </si>
  <si>
    <t>Cam Little</t>
  </si>
  <si>
    <t>John Metchie III</t>
  </si>
  <si>
    <t>Isaiah Bond</t>
  </si>
  <si>
    <t>AJ Barner</t>
  </si>
  <si>
    <t>Michael Mayer</t>
  </si>
  <si>
    <t>Brandon McManus</t>
  </si>
  <si>
    <t>Savion Williams</t>
  </si>
  <si>
    <t>Washington Commanders</t>
  </si>
  <si>
    <t>Luke Musgrave</t>
  </si>
  <si>
    <t>Curtis Samuel</t>
  </si>
  <si>
    <t>Donovan Edwards</t>
  </si>
  <si>
    <t>Jake Moody</t>
  </si>
  <si>
    <t>Kirk Cousins</t>
  </si>
  <si>
    <t>LeQuint Allen Jr.</t>
  </si>
  <si>
    <t>Jameis Winston</t>
  </si>
  <si>
    <t>Chimere Dike</t>
  </si>
  <si>
    <t>Gunnar Helm</t>
  </si>
  <si>
    <t>Mack Hollins</t>
  </si>
  <si>
    <t>Jaylin Lane</t>
  </si>
  <si>
    <t>Eddy Pineiro</t>
  </si>
  <si>
    <t>Allen Lazard</t>
  </si>
  <si>
    <t>Atlanta Falcons</t>
  </si>
  <si>
    <t>Tank Dell</t>
  </si>
  <si>
    <t>Austin Hooper</t>
  </si>
  <si>
    <t>Kalel Mullings</t>
  </si>
  <si>
    <t>Kenny Pickett</t>
  </si>
  <si>
    <t>Matt Prater</t>
  </si>
  <si>
    <t>Greg Dortch</t>
  </si>
  <si>
    <t>Dillon Gabriel</t>
  </si>
  <si>
    <t>KeAndre Lambert-Smith</t>
  </si>
  <si>
    <t>Hunter Renfrow</t>
  </si>
  <si>
    <t>Blake Grupe</t>
  </si>
  <si>
    <t>Foster Moreau</t>
  </si>
  <si>
    <t>Indianapolis Colts</t>
  </si>
  <si>
    <t>Jacob Cowing</t>
  </si>
  <si>
    <t>Van Jefferson</t>
  </si>
  <si>
    <t>Olamide Zaccheaus</t>
  </si>
  <si>
    <t>Jahan Dotson</t>
  </si>
  <si>
    <t>Trey Sermon</t>
  </si>
  <si>
    <t>Robert Woods</t>
  </si>
  <si>
    <t>Emari Demercado</t>
  </si>
  <si>
    <t>Zay Jones</t>
  </si>
  <si>
    <t>Antwane Wells Jr.</t>
  </si>
  <si>
    <t>Cincinnati Bengals</t>
  </si>
  <si>
    <t>Theo Wease Jr.</t>
  </si>
  <si>
    <t>Cairo Santos</t>
  </si>
  <si>
    <t>Luke Schoonmaker</t>
  </si>
  <si>
    <t>Tommy Tremble</t>
  </si>
  <si>
    <t>Chad Ryland</t>
  </si>
  <si>
    <t>Tyrod Taylor</t>
  </si>
  <si>
    <t>Mason Rudolph</t>
  </si>
  <si>
    <t>Jimmy Garoppolo</t>
  </si>
  <si>
    <t>Nick Folk</t>
  </si>
  <si>
    <t>Josh Oliver</t>
  </si>
  <si>
    <t>Graham Gano</t>
  </si>
  <si>
    <t>Craig Reynolds</t>
  </si>
  <si>
    <t>Cade Stover</t>
  </si>
  <si>
    <t>Ja'Quinden Jackson</t>
  </si>
  <si>
    <t>New Orleans Saints</t>
  </si>
  <si>
    <t>Kendrick Bourne</t>
  </si>
  <si>
    <t>Jalin Hyatt</t>
  </si>
  <si>
    <t>Aidan O'Connell</t>
  </si>
  <si>
    <t>Jordan Watkins</t>
  </si>
  <si>
    <t>Ja'Lynn Polk</t>
  </si>
  <si>
    <t>Efton Chism III</t>
  </si>
  <si>
    <t>Jonathan Mingo</t>
  </si>
  <si>
    <t>Kyle Juszczyk</t>
  </si>
  <si>
    <t>Malachi Corley</t>
  </si>
  <si>
    <t>Mitchell Evans</t>
  </si>
  <si>
    <t>Arian Smith</t>
  </si>
  <si>
    <t>Spencer Shrader</t>
  </si>
  <si>
    <t>Grant Calcaterra</t>
  </si>
  <si>
    <t>Devontez Walker</t>
  </si>
  <si>
    <t>Jonathon Brooks</t>
  </si>
  <si>
    <t>Stone Smartt</t>
  </si>
  <si>
    <t>Clyde Edwards-Helaire</t>
  </si>
  <si>
    <t>Javon Baker</t>
  </si>
  <si>
    <t>Deshaun Watson</t>
  </si>
  <si>
    <t>Michael Gallup</t>
  </si>
  <si>
    <t>Luke Lachey</t>
  </si>
  <si>
    <t>Joe Milton III</t>
  </si>
  <si>
    <t>Tyler Goodson</t>
  </si>
  <si>
    <t>JuJu Smith-Schuster</t>
  </si>
  <si>
    <t>Jeremy McNichols</t>
  </si>
  <si>
    <t>Jimmy Horn Jr.</t>
  </si>
  <si>
    <t>Jeremy Ruckert</t>
  </si>
  <si>
    <t>Pierre Strong Jr.</t>
  </si>
  <si>
    <t>Jamari Thrash</t>
  </si>
  <si>
    <t>Greg Dulcich</t>
  </si>
  <si>
    <t>Will Howard</t>
  </si>
  <si>
    <t>Tyquan Thornton</t>
  </si>
  <si>
    <t>Tyler Johnson</t>
  </si>
  <si>
    <t>Malik Willis</t>
  </si>
  <si>
    <t>Alec Ingold</t>
  </si>
  <si>
    <t>Bub Means</t>
  </si>
  <si>
    <t>DJ Chark Jr.</t>
  </si>
  <si>
    <t>John Bates</t>
  </si>
  <si>
    <t>Jake Haener</t>
  </si>
  <si>
    <t>Elijah Higgins</t>
  </si>
  <si>
    <t>Zach Wilson</t>
  </si>
  <si>
    <t>Chris Tyree</t>
  </si>
  <si>
    <t>Kalif Raymond</t>
  </si>
  <si>
    <t>D'Ernest Johnson</t>
  </si>
  <si>
    <t>Marcus Mariota</t>
  </si>
  <si>
    <t>Gardner Minshew II</t>
  </si>
  <si>
    <t>Lucky Jackson</t>
  </si>
  <si>
    <t>Darnell Washington</t>
  </si>
  <si>
    <t>Sam Howell</t>
  </si>
  <si>
    <t>Julian Hill</t>
  </si>
  <si>
    <t>Julian Fleming</t>
  </si>
  <si>
    <t>Dylan Laube</t>
  </si>
  <si>
    <t>Daniel Bellinger</t>
  </si>
  <si>
    <t>Jake Bobo</t>
  </si>
  <si>
    <t>Tyler Badie</t>
  </si>
  <si>
    <t>Marcus Yarns</t>
  </si>
  <si>
    <t>Darrynton Evans</t>
  </si>
  <si>
    <t>Julius Chestnut</t>
  </si>
  <si>
    <t>Josh Whyle</t>
  </si>
  <si>
    <t>Ronnie Rivers</t>
  </si>
  <si>
    <t>Jacoby Brissett</t>
  </si>
  <si>
    <t>Colby Parkinson</t>
  </si>
  <si>
    <t>Treylon Burks</t>
  </si>
  <si>
    <t>KhaDarel Hodge</t>
  </si>
  <si>
    <t>Andy Dalton</t>
  </si>
  <si>
    <t>Michael Carter</t>
  </si>
  <si>
    <t>Kylen Granson</t>
  </si>
  <si>
    <t>Hassan Haskins</t>
  </si>
  <si>
    <t>Ricky White III</t>
  </si>
  <si>
    <t>Jake Browning</t>
  </si>
  <si>
    <t>Xavier Hutchinson</t>
  </si>
  <si>
    <t>Nyheim Miller-Hines</t>
  </si>
  <si>
    <t>Jelani Woods</t>
  </si>
  <si>
    <t>Mo Alie-Cox</t>
  </si>
  <si>
    <t>Patrick Taylor Jr.</t>
  </si>
  <si>
    <t>Brock Wright</t>
  </si>
  <si>
    <t>Cordarrelle Patterson</t>
  </si>
  <si>
    <t>Harrison Bryant</t>
  </si>
  <si>
    <t>Adam Trautman</t>
  </si>
  <si>
    <t>Charlie Woerner</t>
  </si>
  <si>
    <t>Luke Farrell</t>
  </si>
  <si>
    <t>Platform</t>
  </si>
  <si>
    <t>Rank</t>
  </si>
  <si>
    <t>Player</t>
  </si>
  <si>
    <t>Last</t>
  </si>
  <si>
    <t>Name</t>
  </si>
  <si>
    <t>Position</t>
  </si>
  <si>
    <t>Fantasy Pros Rank</t>
  </si>
  <si>
    <t>Difference</t>
  </si>
  <si>
    <t>% Difference</t>
  </si>
  <si>
    <t>Rating</t>
  </si>
  <si>
    <t>Picked?</t>
  </si>
  <si>
    <t>Code</t>
  </si>
  <si>
    <t>Rushing Yards Prop</t>
  </si>
  <si>
    <t>Receiving Yards Prop</t>
  </si>
  <si>
    <t>Team</t>
  </si>
  <si>
    <t>Christian</t>
  </si>
  <si>
    <t>McCaffrey</t>
  </si>
  <si>
    <t>QB1</t>
  </si>
  <si>
    <t>CeeDee</t>
  </si>
  <si>
    <t>Lamb</t>
  </si>
  <si>
    <t>QB2</t>
  </si>
  <si>
    <t>Tyreek</t>
  </si>
  <si>
    <t>Hill</t>
  </si>
  <si>
    <t>QB3</t>
  </si>
  <si>
    <t>Ja'Marr</t>
  </si>
  <si>
    <t>Chase</t>
  </si>
  <si>
    <t>RB1</t>
  </si>
  <si>
    <t>Amon-Ra</t>
  </si>
  <si>
    <t>St. Brown</t>
  </si>
  <si>
    <t>RB2</t>
  </si>
  <si>
    <t>Justin</t>
  </si>
  <si>
    <t>Jefferson</t>
  </si>
  <si>
    <t>RB3</t>
  </si>
  <si>
    <t>Breece</t>
  </si>
  <si>
    <t>Hall</t>
  </si>
  <si>
    <t>RB4</t>
  </si>
  <si>
    <t>Bijan</t>
  </si>
  <si>
    <t>Robinson</t>
  </si>
  <si>
    <t>RB5</t>
  </si>
  <si>
    <t>A.J.</t>
  </si>
  <si>
    <t>Brown</t>
  </si>
  <si>
    <t>RB6</t>
  </si>
  <si>
    <t>Puka</t>
  </si>
  <si>
    <t>Nacua</t>
  </si>
  <si>
    <t>WR1</t>
  </si>
  <si>
    <t>Garrett</t>
  </si>
  <si>
    <t>Wilson</t>
  </si>
  <si>
    <t>WR2</t>
  </si>
  <si>
    <t>Saquon</t>
  </si>
  <si>
    <t>Barkley</t>
  </si>
  <si>
    <t>WR3</t>
  </si>
  <si>
    <t>Jonathan</t>
  </si>
  <si>
    <t>Taylor</t>
  </si>
  <si>
    <t>WR4</t>
  </si>
  <si>
    <t>Jahmyr</t>
  </si>
  <si>
    <t>Gibbs</t>
  </si>
  <si>
    <t>WR5</t>
  </si>
  <si>
    <t>Marvin</t>
  </si>
  <si>
    <t>Harrison Jr.</t>
  </si>
  <si>
    <t>WR6</t>
  </si>
  <si>
    <t>Drake</t>
  </si>
  <si>
    <t>London</t>
  </si>
  <si>
    <t>TE1</t>
  </si>
  <si>
    <t>Davante</t>
  </si>
  <si>
    <t>Adams</t>
  </si>
  <si>
    <t>TE2</t>
  </si>
  <si>
    <t>Kyren</t>
  </si>
  <si>
    <t>Williams</t>
  </si>
  <si>
    <t>Derrick</t>
  </si>
  <si>
    <t>Henry</t>
  </si>
  <si>
    <t>Isiah</t>
  </si>
  <si>
    <t>Pacheco</t>
  </si>
  <si>
    <t>Travis</t>
  </si>
  <si>
    <t>Etienne</t>
  </si>
  <si>
    <t>Nico</t>
  </si>
  <si>
    <t>Collins</t>
  </si>
  <si>
    <t>Brandon</t>
  </si>
  <si>
    <t>Aiyuk</t>
  </si>
  <si>
    <t>Mike</t>
  </si>
  <si>
    <t>Evans</t>
  </si>
  <si>
    <t>Cooper</t>
  </si>
  <si>
    <t>Kupp</t>
  </si>
  <si>
    <t>Chris</t>
  </si>
  <si>
    <t>Olave</t>
  </si>
  <si>
    <t>Michael</t>
  </si>
  <si>
    <t>Pittman</t>
  </si>
  <si>
    <t>Rachaad</t>
  </si>
  <si>
    <t>White</t>
  </si>
  <si>
    <t>Deebo</t>
  </si>
  <si>
    <t>Samuel Sr.</t>
  </si>
  <si>
    <t>DeVonta</t>
  </si>
  <si>
    <t>Smith</t>
  </si>
  <si>
    <t>De'Von</t>
  </si>
  <si>
    <t>Achane</t>
  </si>
  <si>
    <t>Trey</t>
  </si>
  <si>
    <t>McBride</t>
  </si>
  <si>
    <t>Sam</t>
  </si>
  <si>
    <t>LaPorta</t>
  </si>
  <si>
    <t>Kelce</t>
  </si>
  <si>
    <t>Jaylen</t>
  </si>
  <si>
    <t>Waddle</t>
  </si>
  <si>
    <t>Amari</t>
  </si>
  <si>
    <t>Malik</t>
  </si>
  <si>
    <t>Nabers</t>
  </si>
  <si>
    <t>James</t>
  </si>
  <si>
    <t>Cook</t>
  </si>
  <si>
    <t>George</t>
  </si>
  <si>
    <t>Pickens</t>
  </si>
  <si>
    <t>DK</t>
  </si>
  <si>
    <t>Metcalf</t>
  </si>
  <si>
    <t>Kenneth</t>
  </si>
  <si>
    <t>Walker III</t>
  </si>
  <si>
    <t>Josh</t>
  </si>
  <si>
    <t>Allen</t>
  </si>
  <si>
    <t>Extremely Undervalued</t>
  </si>
  <si>
    <t>DJ</t>
  </si>
  <si>
    <t>Moore</t>
  </si>
  <si>
    <t>Calvin</t>
  </si>
  <si>
    <t>Ridley</t>
  </si>
  <si>
    <t>Mark</t>
  </si>
  <si>
    <t>Andrews</t>
  </si>
  <si>
    <t>Joe</t>
  </si>
  <si>
    <t>Mixon</t>
  </si>
  <si>
    <t>Jacobs</t>
  </si>
  <si>
    <t>Kirk</t>
  </si>
  <si>
    <t>Stefon</t>
  </si>
  <si>
    <t>Diggs</t>
  </si>
  <si>
    <t>Jalen</t>
  </si>
  <si>
    <t>Hurts</t>
  </si>
  <si>
    <t>Conner</t>
  </si>
  <si>
    <t>Tee</t>
  </si>
  <si>
    <t>Higgins</t>
  </si>
  <si>
    <t>David</t>
  </si>
  <si>
    <t>Montgomery</t>
  </si>
  <si>
    <t>Patrick</t>
  </si>
  <si>
    <t>Mahomes</t>
  </si>
  <si>
    <t>Alvin</t>
  </si>
  <si>
    <t>Kamara</t>
  </si>
  <si>
    <t>Tank</t>
  </si>
  <si>
    <t>Dell</t>
  </si>
  <si>
    <t>Lamar</t>
  </si>
  <si>
    <t>Jackson</t>
  </si>
  <si>
    <t>Diontae</t>
  </si>
  <si>
    <t>Johnson</t>
  </si>
  <si>
    <t>Terry</t>
  </si>
  <si>
    <t>Mclaurin</t>
  </si>
  <si>
    <t>Godwin</t>
  </si>
  <si>
    <t>Anthony</t>
  </si>
  <si>
    <t>Richardson</t>
  </si>
  <si>
    <t>Raheem</t>
  </si>
  <si>
    <t>Mostert</t>
  </si>
  <si>
    <t>Marquise</t>
  </si>
  <si>
    <t>Zay</t>
  </si>
  <si>
    <t>Flowers</t>
  </si>
  <si>
    <t>Keenan</t>
  </si>
  <si>
    <t>Kyler</t>
  </si>
  <si>
    <t>Murray</t>
  </si>
  <si>
    <t>Dalton</t>
  </si>
  <si>
    <t>Kincaid</t>
  </si>
  <si>
    <t>Kyle</t>
  </si>
  <si>
    <t>Pitts</t>
  </si>
  <si>
    <t>C.J.</t>
  </si>
  <si>
    <t>Stroud</t>
  </si>
  <si>
    <t>Jonathon</t>
  </si>
  <si>
    <t>Brooks</t>
  </si>
  <si>
    <t>Rashee</t>
  </si>
  <si>
    <t>Rice</t>
  </si>
  <si>
    <t>Zamir</t>
  </si>
  <si>
    <t>Jayden</t>
  </si>
  <si>
    <t>Reed</t>
  </si>
  <si>
    <t>Rhamondre</t>
  </si>
  <si>
    <t>Stevenson</t>
  </si>
  <si>
    <t>D'Andre</t>
  </si>
  <si>
    <t>Swift</t>
  </si>
  <si>
    <t>Burrow</t>
  </si>
  <si>
    <t>Aaron</t>
  </si>
  <si>
    <t>Jones</t>
  </si>
  <si>
    <t>Kittle</t>
  </si>
  <si>
    <t>Warren</t>
  </si>
  <si>
    <t>Najee</t>
  </si>
  <si>
    <t>Harris</t>
  </si>
  <si>
    <t>Austin</t>
  </si>
  <si>
    <t>Ekeler</t>
  </si>
  <si>
    <t>Tony</t>
  </si>
  <si>
    <t>Pollard</t>
  </si>
  <si>
    <t>Tyjae</t>
  </si>
  <si>
    <t>Spears</t>
  </si>
  <si>
    <t>Keon</t>
  </si>
  <si>
    <t>Coleman</t>
  </si>
  <si>
    <t>Ladd</t>
  </si>
  <si>
    <t>McConkey</t>
  </si>
  <si>
    <t>Javon</t>
  </si>
  <si>
    <t>Jaxon</t>
  </si>
  <si>
    <t>Smith-Njigba</t>
  </si>
  <si>
    <t>Rome</t>
  </si>
  <si>
    <t>Odunze</t>
  </si>
  <si>
    <t>Xavier</t>
  </si>
  <si>
    <t>Worthy</t>
  </si>
  <si>
    <t>Dak</t>
  </si>
  <si>
    <t>Prescott</t>
  </si>
  <si>
    <t>Jake</t>
  </si>
  <si>
    <t>Ferguson</t>
  </si>
  <si>
    <t>Evan</t>
  </si>
  <si>
    <t>Engram</t>
  </si>
  <si>
    <t>Devin</t>
  </si>
  <si>
    <t>Singletary</t>
  </si>
  <si>
    <t>Gus</t>
  </si>
  <si>
    <t>Edwards</t>
  </si>
  <si>
    <t>Ezekiel</t>
  </si>
  <si>
    <t>Elliott</t>
  </si>
  <si>
    <t>Brian</t>
  </si>
  <si>
    <t>Khalil</t>
  </si>
  <si>
    <t>Shakir</t>
  </si>
  <si>
    <t>Jordan</t>
  </si>
  <si>
    <t>Addison</t>
  </si>
  <si>
    <t>Jameson</t>
  </si>
  <si>
    <t>Njoku</t>
  </si>
  <si>
    <t>Love</t>
  </si>
  <si>
    <t>Daniels</t>
  </si>
  <si>
    <t>Dallas</t>
  </si>
  <si>
    <t>Goedert</t>
  </si>
  <si>
    <t>DeAndre</t>
  </si>
  <si>
    <t>Hopkins</t>
  </si>
  <si>
    <t>Zack</t>
  </si>
  <si>
    <t>Moss</t>
  </si>
  <si>
    <t>Thomas Jr.</t>
  </si>
  <si>
    <t>Curtis</t>
  </si>
  <si>
    <t>Samuel</t>
  </si>
  <si>
    <t>Tyler</t>
  </si>
  <si>
    <t>Lockett</t>
  </si>
  <si>
    <t>Brock</t>
  </si>
  <si>
    <t>Purdy</t>
  </si>
  <si>
    <t>Watson</t>
  </si>
  <si>
    <t>Courtland</t>
  </si>
  <si>
    <t>Sutton</t>
  </si>
  <si>
    <t>Jared</t>
  </si>
  <si>
    <t>Goff</t>
  </si>
  <si>
    <t>Matthew</t>
  </si>
  <si>
    <t>Stafford</t>
  </si>
  <si>
    <t>Herbert</t>
  </si>
  <si>
    <t>T.J.</t>
  </si>
  <si>
    <t>Hockenson</t>
  </si>
  <si>
    <t>Blake</t>
  </si>
  <si>
    <t>Corum</t>
  </si>
  <si>
    <t>Pat</t>
  </si>
  <si>
    <t>Freiermuth</t>
  </si>
  <si>
    <t>Jahan</t>
  </si>
  <si>
    <t>Dotson</t>
  </si>
  <si>
    <t>Jermaine</t>
  </si>
  <si>
    <t>Burton</t>
  </si>
  <si>
    <t>Malachi</t>
  </si>
  <si>
    <t>Corley</t>
  </si>
  <si>
    <t>Romeo</t>
  </si>
  <si>
    <t>Doubs</t>
  </si>
  <si>
    <t>Caleb</t>
  </si>
  <si>
    <t>Trevor</t>
  </si>
  <si>
    <t>Lawrence</t>
  </si>
  <si>
    <t>Nick</t>
  </si>
  <si>
    <t>Chubb</t>
  </si>
  <si>
    <t>Bowers</t>
  </si>
  <si>
    <t>Chuba</t>
  </si>
  <si>
    <t>Hubbard</t>
  </si>
  <si>
    <t>Adonai</t>
  </si>
  <si>
    <t>Mitchell</t>
  </si>
  <si>
    <t>Dontayvion</t>
  </si>
  <si>
    <t>Wicks</t>
  </si>
  <si>
    <t>Jerry</t>
  </si>
  <si>
    <t>Jeudy</t>
  </si>
  <si>
    <t>Brandin</t>
  </si>
  <si>
    <t>Cooks</t>
  </si>
  <si>
    <t>Zach</t>
  </si>
  <si>
    <t>Charbonnet</t>
  </si>
  <si>
    <t>Schultz</t>
  </si>
  <si>
    <t>Quentin</t>
  </si>
  <si>
    <t>Johnston</t>
  </si>
  <si>
    <t>Ricky</t>
  </si>
  <si>
    <t>Pearsall</t>
  </si>
  <si>
    <t>Tua</t>
  </si>
  <si>
    <t>Tagovailoa</t>
  </si>
  <si>
    <t>Deshaun</t>
  </si>
  <si>
    <t>Rodgers</t>
  </si>
  <si>
    <t>Greg</t>
  </si>
  <si>
    <t>Dortch</t>
  </si>
  <si>
    <t>Mims Jr.</t>
  </si>
  <si>
    <t>Baker</t>
  </si>
  <si>
    <t>Mayfield</t>
  </si>
  <si>
    <t>Cole</t>
  </si>
  <si>
    <t>Kmet</t>
  </si>
  <si>
    <t>Demario</t>
  </si>
  <si>
    <t>Douglas</t>
  </si>
  <si>
    <t>Cousins</t>
  </si>
  <si>
    <t>Palmer</t>
  </si>
  <si>
    <t>Russell</t>
  </si>
  <si>
    <t>Gabe</t>
  </si>
  <si>
    <t>Davis</t>
  </si>
  <si>
    <t>Geno</t>
  </si>
  <si>
    <t>Will</t>
  </si>
  <si>
    <t>Levis</t>
  </si>
  <si>
    <t>J.J.</t>
  </si>
  <si>
    <t>McCarthy</t>
  </si>
  <si>
    <t>Roman</t>
  </si>
  <si>
    <t>Leget</t>
  </si>
  <si>
    <t>Downs</t>
  </si>
  <si>
    <t>Maye</t>
  </si>
  <si>
    <t>Derek</t>
  </si>
  <si>
    <t>Carr</t>
  </si>
  <si>
    <t>Ja'Lynn</t>
  </si>
  <si>
    <t>Polk</t>
  </si>
  <si>
    <t>Rashod</t>
  </si>
  <si>
    <t>Bateman</t>
  </si>
  <si>
    <t>Daniel</t>
  </si>
  <si>
    <t>Dustin</t>
  </si>
  <si>
    <t>Bryce</t>
  </si>
  <si>
    <t>Young</t>
  </si>
  <si>
    <t>Bo</t>
  </si>
  <si>
    <t>Nix</t>
  </si>
  <si>
    <t>Tucker</t>
  </si>
  <si>
    <t>Jakobi</t>
  </si>
  <si>
    <t>Meyers</t>
  </si>
  <si>
    <t>Harrison</t>
  </si>
  <si>
    <t>Butker</t>
  </si>
  <si>
    <t>Gardner</t>
  </si>
  <si>
    <t>Minshew</t>
  </si>
  <si>
    <t>Aubrey</t>
  </si>
  <si>
    <t>McPherson</t>
  </si>
  <si>
    <t>Wan'Dale</t>
  </si>
  <si>
    <t>Younghoe</t>
  </si>
  <si>
    <t>Koo</t>
  </si>
  <si>
    <t>Troy</t>
  </si>
  <si>
    <t>Franklin</t>
  </si>
  <si>
    <t>Cameron</t>
  </si>
  <si>
    <t>Dicker</t>
  </si>
  <si>
    <t>Moody</t>
  </si>
  <si>
    <t>Zuerlein</t>
  </si>
  <si>
    <t>Ka'imi</t>
  </si>
  <si>
    <t>Fairburn</t>
  </si>
  <si>
    <t>Adam</t>
  </si>
  <si>
    <t>Thielen</t>
  </si>
  <si>
    <t>Darnell</t>
  </si>
  <si>
    <t>Mooney</t>
  </si>
  <si>
    <t>Bass</t>
  </si>
  <si>
    <t>Carlson</t>
  </si>
  <si>
    <t>Grupe</t>
  </si>
  <si>
    <t>Jason</t>
  </si>
  <si>
    <t>Myers</t>
  </si>
  <si>
    <t>Sanders</t>
  </si>
  <si>
    <t>Badgley</t>
  </si>
  <si>
    <t>Boswell</t>
  </si>
  <si>
    <t>Matt</t>
  </si>
  <si>
    <t>Gay</t>
  </si>
  <si>
    <t>McLaughlin</t>
  </si>
  <si>
    <t>Prater</t>
  </si>
  <si>
    <t>McManus</t>
  </si>
  <si>
    <t>Folk</t>
  </si>
  <si>
    <t>Graham</t>
  </si>
  <si>
    <t>Gano</t>
  </si>
  <si>
    <t>Joshua</t>
  </si>
  <si>
    <t>Karty</t>
  </si>
  <si>
    <t>Cairo</t>
  </si>
  <si>
    <t>Santos</t>
  </si>
  <si>
    <t>Anders</t>
  </si>
  <si>
    <t>Overall Rank</t>
  </si>
  <si>
    <t>Pos Rank</t>
  </si>
  <si>
    <t>Mapped Name</t>
  </si>
  <si>
    <t>WR</t>
  </si>
  <si>
    <t>CIN</t>
  </si>
  <si>
    <t>RB</t>
  </si>
  <si>
    <t>ATL</t>
  </si>
  <si>
    <t>MIN</t>
  </si>
  <si>
    <t>PHI</t>
  </si>
  <si>
    <t>DET</t>
  </si>
  <si>
    <t>DAL</t>
  </si>
  <si>
    <t>SF</t>
  </si>
  <si>
    <t>LAR</t>
  </si>
  <si>
    <t>NYG</t>
  </si>
  <si>
    <t>LV</t>
  </si>
  <si>
    <t>MIA</t>
  </si>
  <si>
    <t>WR7</t>
  </si>
  <si>
    <t>HOU</t>
  </si>
  <si>
    <t>WR8</t>
  </si>
  <si>
    <t>JAC</t>
  </si>
  <si>
    <t>WR9</t>
  </si>
  <si>
    <t>WR10</t>
  </si>
  <si>
    <t>RB7</t>
  </si>
  <si>
    <t>IND</t>
  </si>
  <si>
    <t>RB8</t>
  </si>
  <si>
    <t>GB</t>
  </si>
  <si>
    <t>RB9</t>
  </si>
  <si>
    <t>BAL</t>
  </si>
  <si>
    <t>TE</t>
  </si>
  <si>
    <t>ARI</t>
  </si>
  <si>
    <t>RB10</t>
  </si>
  <si>
    <t>TB</t>
  </si>
  <si>
    <t>RB11</t>
  </si>
  <si>
    <t>WR11</t>
  </si>
  <si>
    <t>WR12</t>
  </si>
  <si>
    <t>WR13</t>
  </si>
  <si>
    <t>LAC</t>
  </si>
  <si>
    <t>WR14</t>
  </si>
  <si>
    <t>QB</t>
  </si>
  <si>
    <t>BUF</t>
  </si>
  <si>
    <t>WAS</t>
  </si>
  <si>
    <t>QB4</t>
  </si>
  <si>
    <t>RB12</t>
  </si>
  <si>
    <t>RB13</t>
  </si>
  <si>
    <t>WR15</t>
  </si>
  <si>
    <t>SEA</t>
  </si>
  <si>
    <t>WR16</t>
  </si>
  <si>
    <t>WR17</t>
  </si>
  <si>
    <t>NYJ</t>
  </si>
  <si>
    <t>RB14</t>
  </si>
  <si>
    <t>RB15</t>
  </si>
  <si>
    <t>QB5</t>
  </si>
  <si>
    <t>TE3</t>
  </si>
  <si>
    <t>RB16</t>
  </si>
  <si>
    <t>NO</t>
  </si>
  <si>
    <t>RB17</t>
  </si>
  <si>
    <t>CAR</t>
  </si>
  <si>
    <t>RB18</t>
  </si>
  <si>
    <t>RB19</t>
  </si>
  <si>
    <t>NE</t>
  </si>
  <si>
    <t>WR18</t>
  </si>
  <si>
    <t>WR19</t>
  </si>
  <si>
    <t>WR20</t>
  </si>
  <si>
    <t>KC</t>
  </si>
  <si>
    <t>WR21</t>
  </si>
  <si>
    <t>PIT</t>
  </si>
  <si>
    <t>WR22</t>
  </si>
  <si>
    <t>CHI</t>
  </si>
  <si>
    <t>WR23</t>
  </si>
  <si>
    <t>RB20</t>
  </si>
  <si>
    <t>RB21</t>
  </si>
  <si>
    <t>WR24</t>
  </si>
  <si>
    <t>WR25</t>
  </si>
  <si>
    <t>DEN</t>
  </si>
  <si>
    <t>WR26</t>
  </si>
  <si>
    <t>TEN</t>
  </si>
  <si>
    <t>WR27</t>
  </si>
  <si>
    <t>WR28</t>
  </si>
  <si>
    <t>WR29</t>
  </si>
  <si>
    <t>CLE</t>
  </si>
  <si>
    <t>WR30</t>
  </si>
  <si>
    <t>WR31</t>
  </si>
  <si>
    <t>TE4</t>
  </si>
  <si>
    <t>QB6</t>
  </si>
  <si>
    <t>QB7</t>
  </si>
  <si>
    <t>WR32</t>
  </si>
  <si>
    <t>WR33</t>
  </si>
  <si>
    <t>WR34</t>
  </si>
  <si>
    <t>RB22</t>
  </si>
  <si>
    <t>RB23</t>
  </si>
  <si>
    <t>TE5</t>
  </si>
  <si>
    <t>RB24</t>
  </si>
  <si>
    <t>RB25</t>
  </si>
  <si>
    <t>RB26</t>
  </si>
  <si>
    <t>WR35</t>
  </si>
  <si>
    <t>WR36</t>
  </si>
  <si>
    <t>WR37</t>
  </si>
  <si>
    <t>WR38</t>
  </si>
  <si>
    <t>WR39</t>
  </si>
  <si>
    <t>WR40</t>
  </si>
  <si>
    <t>WR41</t>
  </si>
  <si>
    <t>RB27</t>
  </si>
  <si>
    <t>RB28</t>
  </si>
  <si>
    <t>RB29</t>
  </si>
  <si>
    <t>TE6</t>
  </si>
  <si>
    <t>TE7</t>
  </si>
  <si>
    <t>TE8</t>
  </si>
  <si>
    <t>TE9</t>
  </si>
  <si>
    <t>QB8</t>
  </si>
  <si>
    <t>QB9</t>
  </si>
  <si>
    <t>QB10</t>
  </si>
  <si>
    <t>RB30</t>
  </si>
  <si>
    <t>RB31</t>
  </si>
  <si>
    <t>RB32</t>
  </si>
  <si>
    <t>RB33</t>
  </si>
  <si>
    <t>RB34</t>
  </si>
  <si>
    <t>RB35</t>
  </si>
  <si>
    <t>WR42</t>
  </si>
  <si>
    <t>WR43</t>
  </si>
  <si>
    <t>WR44</t>
  </si>
  <si>
    <t>WR45</t>
  </si>
  <si>
    <t>WR46</t>
  </si>
  <si>
    <t>WR47</t>
  </si>
  <si>
    <t>WR48</t>
  </si>
  <si>
    <t>QB11</t>
  </si>
  <si>
    <t>QB12</t>
  </si>
  <si>
    <t>QB13</t>
  </si>
  <si>
    <t>QB14</t>
  </si>
  <si>
    <t>WR49</t>
  </si>
  <si>
    <t>WR50</t>
  </si>
  <si>
    <t>WR51</t>
  </si>
  <si>
    <t>WR52</t>
  </si>
  <si>
    <t>WR53</t>
  </si>
  <si>
    <t>WR54</t>
  </si>
  <si>
    <t>TE10</t>
  </si>
  <si>
    <t>RB36</t>
  </si>
  <si>
    <t>RB37</t>
  </si>
  <si>
    <t>RB38</t>
  </si>
  <si>
    <t>RB39</t>
  </si>
  <si>
    <t>RB40</t>
  </si>
  <si>
    <t>RB41</t>
  </si>
  <si>
    <t>RB42</t>
  </si>
  <si>
    <t>QB15</t>
  </si>
  <si>
    <t>QB16</t>
  </si>
  <si>
    <t>QB17</t>
  </si>
  <si>
    <t>QB18</t>
  </si>
  <si>
    <t>TE11</t>
  </si>
  <si>
    <t>TE12</t>
  </si>
  <si>
    <t>TE13</t>
  </si>
  <si>
    <t>TE14</t>
  </si>
  <si>
    <t>TE15</t>
  </si>
  <si>
    <t>RB43</t>
  </si>
  <si>
    <t>RB44</t>
  </si>
  <si>
    <t>RB45</t>
  </si>
  <si>
    <t>RB46</t>
  </si>
  <si>
    <t>RB47</t>
  </si>
  <si>
    <t>RB48</t>
  </si>
  <si>
    <t>WR55</t>
  </si>
  <si>
    <t>WR56</t>
  </si>
  <si>
    <t>WR57</t>
  </si>
  <si>
    <t>WR58</t>
  </si>
  <si>
    <t>WR59</t>
  </si>
  <si>
    <t>TE16</t>
  </si>
  <si>
    <t>TE17</t>
  </si>
  <si>
    <t>QB19</t>
  </si>
  <si>
    <t>QB20</t>
  </si>
  <si>
    <t>QB21</t>
  </si>
  <si>
    <t>RB49</t>
  </si>
  <si>
    <t>RB50</t>
  </si>
  <si>
    <t>RB51</t>
  </si>
  <si>
    <t>RB52</t>
  </si>
  <si>
    <t>RB53</t>
  </si>
  <si>
    <t>RB54</t>
  </si>
  <si>
    <t>WR60</t>
  </si>
  <si>
    <t>WR61</t>
  </si>
  <si>
    <t>WR62</t>
  </si>
  <si>
    <t>WR63</t>
  </si>
  <si>
    <t>WR64</t>
  </si>
  <si>
    <t>WR65</t>
  </si>
  <si>
    <t>WR66</t>
  </si>
  <si>
    <t>WR67</t>
  </si>
  <si>
    <t>RB55</t>
  </si>
  <si>
    <t>RB56</t>
  </si>
  <si>
    <t>RB57</t>
  </si>
  <si>
    <t>WR68</t>
  </si>
  <si>
    <t>WR69</t>
  </si>
  <si>
    <t>TE18</t>
  </si>
  <si>
    <t>TE19</t>
  </si>
  <si>
    <t>TE20</t>
  </si>
  <si>
    <t>TE21</t>
  </si>
  <si>
    <t>DST1</t>
  </si>
  <si>
    <t>DST</t>
  </si>
  <si>
    <t>Texans D/ST</t>
  </si>
  <si>
    <t>DST2</t>
  </si>
  <si>
    <t>Steelers D/ST</t>
  </si>
  <si>
    <t>DST3</t>
  </si>
  <si>
    <t>Broncos D/ST</t>
  </si>
  <si>
    <t>DST4</t>
  </si>
  <si>
    <t>DST5</t>
  </si>
  <si>
    <t>Seahawks D/ST</t>
  </si>
  <si>
    <t>DST6</t>
  </si>
  <si>
    <t>Ravens D/ST</t>
  </si>
  <si>
    <t>DST7</t>
  </si>
  <si>
    <t>Patriots D/ST</t>
  </si>
  <si>
    <t>DST8</t>
  </si>
  <si>
    <t>Lions D/ST</t>
  </si>
  <si>
    <t>DST9</t>
  </si>
  <si>
    <t>Eagles D/ST</t>
  </si>
  <si>
    <t>DST10</t>
  </si>
  <si>
    <t>DST11</t>
  </si>
  <si>
    <t>Colts D/ST</t>
  </si>
  <si>
    <t>DST12</t>
  </si>
  <si>
    <t>Jets D/ST</t>
  </si>
  <si>
    <t>K1</t>
  </si>
  <si>
    <t>K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</si>
  <si>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</si>
  <si>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</si>
  <si>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</si>
  <si>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</si>
  <si>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</si>
  <si>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</si>
  <si>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</si>
  <si>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</si>
  <si>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</si>
  <si>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</si>
  <si>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</si>
  <si>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WR70</t>
  </si>
  <si>
    <t>WR71</t>
  </si>
  <si>
    <t>RB58</t>
  </si>
  <si>
    <t>RB59</t>
  </si>
  <si>
    <t>WR72</t>
  </si>
  <si>
    <t>QB22</t>
  </si>
  <si>
    <t>QB23</t>
  </si>
  <si>
    <t>QB24</t>
  </si>
  <si>
    <t>WR73</t>
  </si>
  <si>
    <t>WR74</t>
  </si>
  <si>
    <t>WR75</t>
  </si>
  <si>
    <t>WR76</t>
  </si>
  <si>
    <t>WR77</t>
  </si>
  <si>
    <t>TE22</t>
  </si>
  <si>
    <t>TE23</t>
  </si>
  <si>
    <t>WR78</t>
  </si>
  <si>
    <t>WR79</t>
  </si>
  <si>
    <t>WR80</t>
  </si>
  <si>
    <t>WR81</t>
  </si>
  <si>
    <t>RB60</t>
  </si>
  <si>
    <t>RB61</t>
  </si>
  <si>
    <t>RB62</t>
  </si>
  <si>
    <t>TE24</t>
  </si>
  <si>
    <t>TE25</t>
  </si>
  <si>
    <t>TE26</t>
  </si>
  <si>
    <t>QB25</t>
  </si>
  <si>
    <t>QB26</t>
  </si>
  <si>
    <t>QB27</t>
  </si>
  <si>
    <t>RB63</t>
  </si>
  <si>
    <t>RB64</t>
  </si>
  <si>
    <t>RB65</t>
  </si>
  <si>
    <t>WR82</t>
  </si>
  <si>
    <t>RB66</t>
  </si>
  <si>
    <t>RB67</t>
  </si>
  <si>
    <t>WR83</t>
  </si>
  <si>
    <t>FA</t>
  </si>
  <si>
    <t>WR84</t>
  </si>
  <si>
    <t>WR85</t>
  </si>
  <si>
    <t>WR86</t>
  </si>
  <si>
    <t>WR87</t>
  </si>
  <si>
    <t>WR88</t>
  </si>
  <si>
    <t>WR89</t>
  </si>
  <si>
    <t>WR90</t>
  </si>
  <si>
    <t>DST13</t>
  </si>
  <si>
    <t>DST14</t>
  </si>
  <si>
    <t>Buccaneers D/ST</t>
  </si>
  <si>
    <t>K13</t>
  </si>
  <si>
    <t>K14</t>
  </si>
  <si>
    <t>RB68</t>
  </si>
  <si>
    <t>RB69</t>
  </si>
  <si>
    <t>RB70</t>
  </si>
  <si>
    <t>RB71</t>
  </si>
  <si>
    <t>RB72</t>
  </si>
  <si>
    <t>RB73</t>
  </si>
  <si>
    <t>RB74</t>
  </si>
  <si>
    <t>RB75</t>
  </si>
  <si>
    <t>RB76</t>
  </si>
  <si>
    <t>RB77</t>
  </si>
  <si>
    <t>RB78</t>
  </si>
  <si>
    <t>RB79</t>
  </si>
  <si>
    <t>RB80</t>
  </si>
  <si>
    <t>WR91</t>
  </si>
  <si>
    <t>WR92</t>
  </si>
  <si>
    <t>DST15</t>
  </si>
  <si>
    <t>DST16</t>
  </si>
  <si>
    <t>Packers D/ST</t>
  </si>
  <si>
    <t>K15</t>
  </si>
  <si>
    <t>K16</t>
  </si>
  <si>
    <t>TE27</t>
  </si>
  <si>
    <t>TE28</t>
  </si>
  <si>
    <t>TE29</t>
  </si>
  <si>
    <t>WR93</t>
  </si>
  <si>
    <t>WR94</t>
  </si>
  <si>
    <t>WR95</t>
  </si>
  <si>
    <t>WR96</t>
  </si>
  <si>
    <t>RB81</t>
  </si>
  <si>
    <t>RB82</t>
  </si>
  <si>
    <t>QB28</t>
  </si>
  <si>
    <t>QB29</t>
  </si>
  <si>
    <t>QB30</t>
  </si>
  <si>
    <t>QB31</t>
  </si>
  <si>
    <t>WR97</t>
  </si>
  <si>
    <t>WR98</t>
  </si>
  <si>
    <t>WR99</t>
  </si>
  <si>
    <t>WR100</t>
  </si>
  <si>
    <t>WR101</t>
  </si>
  <si>
    <t>RB83</t>
  </si>
  <si>
    <t>RB84</t>
  </si>
  <si>
    <t>RB85</t>
  </si>
  <si>
    <t>RB86</t>
  </si>
  <si>
    <t>RB87</t>
  </si>
  <si>
    <t>RB88</t>
  </si>
  <si>
    <t>RB89</t>
  </si>
  <si>
    <t>RB90</t>
  </si>
  <si>
    <t>WR102</t>
  </si>
  <si>
    <t>DST17</t>
  </si>
  <si>
    <t>Chiefs D/ST</t>
  </si>
  <si>
    <t>DST18</t>
  </si>
  <si>
    <t>Bears D/ST</t>
  </si>
  <si>
    <t>K17</t>
  </si>
  <si>
    <t>K18</t>
  </si>
  <si>
    <t>TE30</t>
  </si>
  <si>
    <t>TE31</t>
  </si>
  <si>
    <t>TE32</t>
  </si>
  <si>
    <t>TE33</t>
  </si>
  <si>
    <t>TE34</t>
  </si>
  <si>
    <t>WR103</t>
  </si>
  <si>
    <t>WR104</t>
  </si>
  <si>
    <t>QB32</t>
  </si>
  <si>
    <t>DST19</t>
  </si>
  <si>
    <t>Rams D/ST</t>
  </si>
  <si>
    <t>DST20</t>
  </si>
  <si>
    <t>49ers D/ST</t>
  </si>
  <si>
    <t>DST21</t>
  </si>
  <si>
    <t>DST22</t>
  </si>
  <si>
    <t>Chargers D/ST</t>
  </si>
  <si>
    <t>First Last</t>
  </si>
  <si>
    <t>N/A</t>
  </si>
  <si>
    <t>Chris Godwin Jr.</t>
  </si>
  <si>
    <t>Bye</t>
  </si>
  <si>
    <t>Name Clean</t>
  </si>
  <si>
    <t>Ja'Marr ChaseWR - CIN</t>
  </si>
  <si>
    <t>Bijan RobinsonRB - ATL</t>
  </si>
  <si>
    <t>CeeDee LambWR - DAL</t>
  </si>
  <si>
    <t>Justin JeffersonWR - MINQ</t>
  </si>
  <si>
    <t>Jahmyr GibbsRB - DET</t>
  </si>
  <si>
    <t>Saquon BarkleyRB - PHI</t>
  </si>
  <si>
    <t>Malik NabersWR - NYGQ</t>
  </si>
  <si>
    <t>Puka NacuaWR - LAR</t>
  </si>
  <si>
    <t>Amon-Ra St. BrownWR - DET</t>
  </si>
  <si>
    <t>Brian Thomas Jr.WR - JAX</t>
  </si>
  <si>
    <t>De'Von AchaneRB - MIAQ</t>
  </si>
  <si>
    <t>Derrick HenryRB - BAL</t>
  </si>
  <si>
    <t>A.J. BrownWR - PHIQ</t>
  </si>
  <si>
    <t>Ashton JeantyRB - LV</t>
  </si>
  <si>
    <t>Nico CollinsWR - HOU</t>
  </si>
  <si>
    <t>Christian McCaffreyRB - SF</t>
  </si>
  <si>
    <t>Chase BrownRB - CIN</t>
  </si>
  <si>
    <t>Drake LondonWR - ATL</t>
  </si>
  <si>
    <t>Brock BowersTE - LV</t>
  </si>
  <si>
    <t>Ladd McConkeyWR - LAC</t>
  </si>
  <si>
    <t>Bucky IrvingRB - TB</t>
  </si>
  <si>
    <t>Jonathan TaylorRB - IND</t>
  </si>
  <si>
    <t>Kyren WilliamsRB - LAR</t>
  </si>
  <si>
    <t>Josh JacobsRB - GB</t>
  </si>
  <si>
    <t>Terry McLaurinWR - WAS</t>
  </si>
  <si>
    <t>Trey McBrideTE - ARI</t>
  </si>
  <si>
    <t>Breece HallRB - NYJ</t>
  </si>
  <si>
    <t>James CookRB - BUF</t>
  </si>
  <si>
    <t>Mike EvansWR - TB</t>
  </si>
  <si>
    <t>Tee HigginsWR - CIN</t>
  </si>
  <si>
    <t>Lamar JacksonQB - BALQ</t>
  </si>
  <si>
    <t>Josh AllenQB - BUF</t>
  </si>
  <si>
    <t>Garrett WilsonWR - NYJ</t>
  </si>
  <si>
    <t>Jayden DanielsQB - WAS</t>
  </si>
  <si>
    <t>Jaxon Smith-NjigbaWR - SEA</t>
  </si>
  <si>
    <t>DJ MooreWR - CHI</t>
  </si>
  <si>
    <t>Tyreek HillWR - MIAQ</t>
  </si>
  <si>
    <t>Marvin Harrison Jr.WR - ARI</t>
  </si>
  <si>
    <t>Jalen HurtsQB - PHI</t>
  </si>
  <si>
    <t>TreVeyon HendersonRB - NE</t>
  </si>
  <si>
    <t>Kenneth Walker IIIRB - SEA</t>
  </si>
  <si>
    <t>Rashee RiceWR - KC</t>
  </si>
  <si>
    <t>Joe BurrowQB - CIN</t>
  </si>
  <si>
    <t>Jameson WilliamsWR - DET</t>
  </si>
  <si>
    <t>George KittleTE - SF</t>
  </si>
  <si>
    <t>Omarion HamptonRB - LAC</t>
  </si>
  <si>
    <t>James ConnerRB - ARI</t>
  </si>
  <si>
    <t>D'Andre SwiftRB - CHI</t>
  </si>
  <si>
    <t>Calvin RidleyWR - TENQ</t>
  </si>
  <si>
    <t>Travis HunterWR - JAXQ</t>
  </si>
  <si>
    <t>Tetairoa McMillanWR - CARQ</t>
  </si>
  <si>
    <t>DK MetcalfWR - PIT</t>
  </si>
  <si>
    <t>Davante AdamsWR - LAR</t>
  </si>
  <si>
    <t>Isiah PachecoRB - KC</t>
  </si>
  <si>
    <t>DeVonta SmithWR - PHIQ</t>
  </si>
  <si>
    <t>RJ HarveyRB - DEN</t>
  </si>
  <si>
    <t>Sam LaPortaTE - DET</t>
  </si>
  <si>
    <t>Courtland SuttonWR - DEN</t>
  </si>
  <si>
    <t>T.J. HockensonTE - MIN</t>
  </si>
  <si>
    <t>Alvin KamaraRB - NO</t>
  </si>
  <si>
    <t>Chuba HubbardRB - CAR</t>
  </si>
  <si>
    <t>Xavier WorthyWR - KC</t>
  </si>
  <si>
    <t>Tony PollardRB - TEN</t>
  </si>
  <si>
    <t>Mark AndrewsTE - BAL</t>
  </si>
  <si>
    <t>Zay FlowersWR - BAL</t>
  </si>
  <si>
    <t>Patrick MahomesQB - KC</t>
  </si>
  <si>
    <t>Kaleb JohnsonRB - PIT</t>
  </si>
  <si>
    <t>Rome OdunzeWR - CHI</t>
  </si>
  <si>
    <t>David MontgomeryRB - DET</t>
  </si>
  <si>
    <t>Chris OlaveWR - NO</t>
  </si>
  <si>
    <t>Aaron JonesRB - MIN</t>
  </si>
  <si>
    <t>George PickensWR - DAL</t>
  </si>
  <si>
    <t>Jaylen WaddleWR - MIA</t>
  </si>
  <si>
    <t>Emeka EgbukaWR - TB</t>
  </si>
  <si>
    <t>Justin FieldsQB - NYJ</t>
  </si>
  <si>
    <t>Baker MayfieldQB - TB</t>
  </si>
  <si>
    <t>Jordan MasonRB - MIN</t>
  </si>
  <si>
    <t>Tyler WarrenTE - IND</t>
  </si>
  <si>
    <t>Jordan AddisonWR - MINSUS</t>
  </si>
  <si>
    <t>Joe MixonRB - HOUNFI-A</t>
  </si>
  <si>
    <t>Chris Godwin Jr.WR - TBPUP</t>
  </si>
  <si>
    <t>Khalil ShakirWR - BUFQ</t>
  </si>
  <si>
    <t>Bo NixQB - DEN</t>
  </si>
  <si>
    <t>Stefon DiggsWR - NEQ</t>
  </si>
  <si>
    <t>Tyrone Tracy Jr.RB - NYG</t>
  </si>
  <si>
    <t>Cam SkatteboRB - NYG</t>
  </si>
  <si>
    <t>Kyler MurrayQB - ARI</t>
  </si>
  <si>
    <t>Jauan JenningsWR - SFQ</t>
  </si>
  <si>
    <t>Jakobi MeyersWR - LV</t>
  </si>
  <si>
    <t>Quinshon JudkinsRB - CLE</t>
  </si>
  <si>
    <t>Najee HarrisRB - LACNFI-A</t>
  </si>
  <si>
    <t>Ricky PearsallWR - SF</t>
  </si>
  <si>
    <t>Jerry JeudyWR - CLE</t>
  </si>
  <si>
    <t>Deebo Samuel Sr.WR - WAS</t>
  </si>
  <si>
    <t>Jaylen WarrenRB - PIT</t>
  </si>
  <si>
    <t>Evan EngramTE - DEN</t>
  </si>
  <si>
    <t>J.K. DobbinsRB - DEN</t>
  </si>
  <si>
    <t>Jacory Croskey-MerrittRB - WAS</t>
  </si>
  <si>
    <t>Austin EkelerRB - WAS</t>
  </si>
  <si>
    <t>Brandon AiyukWR - SFPUP</t>
  </si>
  <si>
    <t>Keon ColemanWR - BUF</t>
  </si>
  <si>
    <t>Matthew GoldenWR - GB</t>
  </si>
  <si>
    <t>Travis KelceTE - KC</t>
  </si>
  <si>
    <t>Josh DownsWR - INDQ</t>
  </si>
  <si>
    <t>Marquise BrownWR - KCQ</t>
  </si>
  <si>
    <t>Jayden ReedWR - GBQ</t>
  </si>
  <si>
    <t>Brian RobinsonRB - WAS</t>
  </si>
  <si>
    <t>Rhamondre StevensonRB - NEQ</t>
  </si>
  <si>
    <t>David NjokuTE - CLE</t>
  </si>
  <si>
    <t>Caleb WilliamsQB - CHI</t>
  </si>
  <si>
    <t>Colston LovelandTE - CHI</t>
  </si>
  <si>
    <t>Dak PrescottQB - DAL</t>
  </si>
  <si>
    <t>Jonnu SmithTE - PITQ</t>
  </si>
  <si>
    <t>Brock PurdyQB - SF</t>
  </si>
  <si>
    <t>Cooper KuppWR - SEA</t>
  </si>
  <si>
    <t>Tucker KraftTE - GB</t>
  </si>
  <si>
    <t>Jaydon BlueRB - DALQ</t>
  </si>
  <si>
    <t>Travis EtienneRB - JAX</t>
  </si>
  <si>
    <t>Rachaad WhiteRB - TBQ</t>
  </si>
  <si>
    <t>Javonte WilliamsRB - DAL</t>
  </si>
  <si>
    <t>Bhayshul TutenRB - JAX</t>
  </si>
  <si>
    <t>Braelon AllenRB - NYJ</t>
  </si>
  <si>
    <t>Tre HarrisWR - LACQ</t>
  </si>
  <si>
    <t>Christian KirkWR - HOU</t>
  </si>
  <si>
    <t>Jaleel McLaughlinRB - DEN</t>
  </si>
  <si>
    <t>Tyler AllgeierRB - ATL</t>
  </si>
  <si>
    <t>Tyjae SpearsRB - TENQ</t>
  </si>
  <si>
    <t>Zach CharbonnetRB - SEA</t>
  </si>
  <si>
    <t>Isaac GuerendoRB - SF</t>
  </si>
  <si>
    <t>Marvin Mims Jr.WR - DEN</t>
  </si>
  <si>
    <t>Darnell MooneyWR - ATLQ</t>
  </si>
  <si>
    <t>Michael PittmanWR - IND</t>
  </si>
  <si>
    <t>Jared GoffQB - DET</t>
  </si>
  <si>
    <t>Luther Burden IIIWR - CHI</t>
  </si>
  <si>
    <t>Justin HerbertQB - LAC</t>
  </si>
  <si>
    <t>Dalton KincaidTE - BUF</t>
  </si>
  <si>
    <t>Kyle WilliamsWR - NEQ</t>
  </si>
  <si>
    <t>Jalen McMillanWR - TBD</t>
  </si>
  <si>
    <t>Ray DavisRB - BUF</t>
  </si>
  <si>
    <t>Roschon JohnsonRB - CHIQ</t>
  </si>
  <si>
    <t>Trey BensonRB - ARI</t>
  </si>
  <si>
    <t>Josh PalmerWR - BUF</t>
  </si>
  <si>
    <t>Diontae JohnsonWR - CLE</t>
  </si>
  <si>
    <t>Jordan LoveQB - GBQ</t>
  </si>
  <si>
    <t>Drake MayeQB - NE</t>
  </si>
  <si>
    <t>Matthew StaffordQB - LARQ</t>
  </si>
  <si>
    <t>Jaylen WrightRB - MIAQ</t>
  </si>
  <si>
    <t>C.J. StroudQB - HOU</t>
  </si>
  <si>
    <t>Xavier LegetteWR - CAR</t>
  </si>
  <si>
    <t>Kyle PittsTE - ATL</t>
  </si>
  <si>
    <t>Darren WallerTE - MIA</t>
  </si>
  <si>
    <t>Rashod BatemanWR - BAL</t>
  </si>
  <si>
    <t>Trevor LawrenceQB - JAX</t>
  </si>
  <si>
    <t>Rashid ShaheedWR - NO</t>
  </si>
  <si>
    <t>Jack BechWR - LV</t>
  </si>
  <si>
    <t>Hunter HenryTE - NE</t>
  </si>
  <si>
    <t>Dallas GoedertTE - PHIQ</t>
  </si>
  <si>
    <t>Isaiah LikelyTE - BALQ</t>
  </si>
  <si>
    <t>Jake FergusonTE - DAL</t>
  </si>
  <si>
    <t>Romeo DoubsWR - GB</t>
  </si>
  <si>
    <t>Jayden HigginsWR - HOU</t>
  </si>
  <si>
    <t>Anthony RichardsonQB - IND</t>
  </si>
  <si>
    <t>J.J. McCarthyQB - MIN</t>
  </si>
  <si>
    <t>Blake CorumRB - LAR</t>
  </si>
  <si>
    <t>Rico DowdleRB - CAR</t>
  </si>
  <si>
    <t>Tank BigsbyRB - JAX</t>
  </si>
  <si>
    <t>DJ GiddensRB - IND</t>
  </si>
  <si>
    <t>Bryce YoungQB - CAR</t>
  </si>
  <si>
    <t>Tua TagovailoaQB - MIA</t>
  </si>
  <si>
    <t>Cam WardQB - TEN</t>
  </si>
  <si>
    <t>Chig OkonkwoTE - TEN</t>
  </si>
  <si>
    <t>Adam ThielenWR - CAR</t>
  </si>
  <si>
    <t>Alec PierceWR - IND</t>
  </si>
  <si>
    <t>Wan'Dale RobinsonWR - NYG</t>
  </si>
  <si>
    <t>Elic AyomanorWR - TEN</t>
  </si>
  <si>
    <t>Isaac TeSlaaWR - DET</t>
  </si>
  <si>
    <t>Elijah MitchellRB - KC</t>
  </si>
  <si>
    <t>MarShawn LloydRB - GBQ</t>
  </si>
  <si>
    <t>Pat FreiermuthTE - PIT</t>
  </si>
  <si>
    <t>DeAndre HopkinsWR - BALQ</t>
  </si>
  <si>
    <t>Jaylin NoelWR - HOU</t>
  </si>
  <si>
    <t>Quentin JohnstonWR - LACQ</t>
  </si>
  <si>
    <t>Geno SmithQB - LV</t>
  </si>
  <si>
    <t>Sam DarnoldQB - SEA</t>
  </si>
  <si>
    <t>Aaron RodgersQB - PIT</t>
  </si>
  <si>
    <t>Dontayvion WicksWR - GBQ</t>
  </si>
  <si>
    <t>Woody MarksRB - HOU</t>
  </si>
  <si>
    <t>Jordan JamesRB - SFQ</t>
  </si>
  <si>
    <t>Kyle MonangaiRB - CHIQ</t>
  </si>
  <si>
    <t>Elijah MooreWR - BUF</t>
  </si>
  <si>
    <t>Chris BoswellK - PIT</t>
  </si>
  <si>
    <t>Dameon PierceRB - HOU</t>
  </si>
  <si>
    <t>DeMario DouglasWR - NE</t>
  </si>
  <si>
    <t>Dylan SampsonRB - CLE</t>
  </si>
  <si>
    <t>Audric EstiméRB - DEN</t>
  </si>
  <si>
    <t>Michael Penix Jr.QB - ATL</t>
  </si>
  <si>
    <t>Cedric TillmanWR - CLEQ</t>
  </si>
  <si>
    <t>Ollie Gordon IIRB - MIA</t>
  </si>
  <si>
    <t>Russell WilsonQB - NYG</t>
  </si>
  <si>
    <t>Justice HillRB - BAL</t>
  </si>
  <si>
    <t>RK</t>
  </si>
  <si>
    <t>PLAYER NAME</t>
  </si>
  <si>
    <t>TEAM</t>
  </si>
  <si>
    <t>POS</t>
  </si>
  <si>
    <t>BYE WEEK</t>
  </si>
  <si>
    <t>SOS SEASON</t>
  </si>
  <si>
    <t>ECR VS. ADP</t>
  </si>
  <si>
    <t>3 out of 5 stars</t>
  </si>
  <si>
    <t>4 out of 5 stars</t>
  </si>
  <si>
    <t>2 out of 5 stars</t>
  </si>
  <si>
    <t>5 out of 5 stars</t>
  </si>
  <si>
    <t>1 out of 5 stars</t>
  </si>
  <si>
    <t>0 out of 5 stars</t>
  </si>
  <si>
    <t>-</t>
  </si>
  <si>
    <t>TE35</t>
  </si>
  <si>
    <t>QB33</t>
  </si>
  <si>
    <t>QB34</t>
  </si>
  <si>
    <t>WR105</t>
  </si>
  <si>
    <t>WR106</t>
  </si>
  <si>
    <t>WR107</t>
  </si>
  <si>
    <t>TE36</t>
  </si>
  <si>
    <t>TE37</t>
  </si>
  <si>
    <t>WR108</t>
  </si>
  <si>
    <t>WR109</t>
  </si>
  <si>
    <t>RB91</t>
  </si>
  <si>
    <t>RB92</t>
  </si>
  <si>
    <t>WR110</t>
  </si>
  <si>
    <t>TE38</t>
  </si>
  <si>
    <t>RB93</t>
  </si>
  <si>
    <t>WR111</t>
  </si>
  <si>
    <t>TE39</t>
  </si>
  <si>
    <t>RB94</t>
  </si>
  <si>
    <t>RB95</t>
  </si>
  <si>
    <t>WR112</t>
  </si>
  <si>
    <t>RB96</t>
  </si>
  <si>
    <t>RB97</t>
  </si>
  <si>
    <t>QB35</t>
  </si>
  <si>
    <t>TE40</t>
  </si>
  <si>
    <t>QB36</t>
  </si>
  <si>
    <t>WR113</t>
  </si>
  <si>
    <t>RB98</t>
  </si>
  <si>
    <t>WR114</t>
  </si>
  <si>
    <t>RB99</t>
  </si>
  <si>
    <t>TE41</t>
  </si>
  <si>
    <t>K19</t>
  </si>
  <si>
    <t>TE42</t>
  </si>
  <si>
    <t>WR115</t>
  </si>
  <si>
    <t>WR116</t>
  </si>
  <si>
    <t>TE43</t>
  </si>
  <si>
    <t>K20</t>
  </si>
  <si>
    <t>K21</t>
  </si>
  <si>
    <t>RB100</t>
  </si>
  <si>
    <t>WR117</t>
  </si>
  <si>
    <t>WR118</t>
  </si>
  <si>
    <t>QB37</t>
  </si>
  <si>
    <t>WR119</t>
  </si>
  <si>
    <t>RB101</t>
  </si>
  <si>
    <t>WR120</t>
  </si>
  <si>
    <t>WR121</t>
  </si>
  <si>
    <t>TE44</t>
  </si>
  <si>
    <t>WR122</t>
  </si>
  <si>
    <t>WR123</t>
  </si>
  <si>
    <t>DST23</t>
  </si>
  <si>
    <t>TE45</t>
  </si>
  <si>
    <t>K22</t>
  </si>
  <si>
    <t>TE46</t>
  </si>
  <si>
    <t>WR124</t>
  </si>
  <si>
    <t>WR125</t>
  </si>
  <si>
    <t>QB38</t>
  </si>
  <si>
    <t>WR126</t>
  </si>
  <si>
    <t>TE47</t>
  </si>
  <si>
    <t>DST24</t>
  </si>
  <si>
    <t>RB102</t>
  </si>
  <si>
    <t>WR127</t>
  </si>
  <si>
    <t>K23</t>
  </si>
  <si>
    <t>RB103</t>
  </si>
  <si>
    <t>WR128</t>
  </si>
  <si>
    <t>WR129</t>
  </si>
  <si>
    <t>WR130</t>
  </si>
  <si>
    <t>WR131</t>
  </si>
  <si>
    <t>RB104</t>
  </si>
  <si>
    <t>TE48</t>
  </si>
  <si>
    <t>QB39</t>
  </si>
  <si>
    <t>TE49</t>
  </si>
  <si>
    <t>RB105</t>
  </si>
  <si>
    <t>RB106</t>
  </si>
  <si>
    <t>WR132</t>
  </si>
  <si>
    <t>RB107</t>
  </si>
  <si>
    <t>QB40</t>
  </si>
  <si>
    <t>RB108</t>
  </si>
  <si>
    <t>QB41</t>
  </si>
  <si>
    <t>WR133</t>
  </si>
  <si>
    <t>RB109</t>
  </si>
  <si>
    <t>WR134</t>
  </si>
  <si>
    <t>WR135</t>
  </si>
  <si>
    <t>WR136</t>
  </si>
  <si>
    <t>WR137</t>
  </si>
  <si>
    <t>K24</t>
  </si>
  <si>
    <t>TE50</t>
  </si>
  <si>
    <t>RB110</t>
  </si>
  <si>
    <t>DST25</t>
  </si>
  <si>
    <t>WR138</t>
  </si>
  <si>
    <t>QB42</t>
  </si>
  <si>
    <t>TE51</t>
  </si>
  <si>
    <t>DST26</t>
  </si>
  <si>
    <t>K25</t>
  </si>
  <si>
    <t>WR139</t>
  </si>
  <si>
    <t>TE52</t>
  </si>
  <si>
    <t>WR140</t>
  </si>
  <si>
    <t>TE53</t>
  </si>
  <si>
    <t>WR141</t>
  </si>
  <si>
    <t>WR142</t>
  </si>
  <si>
    <t>K26</t>
  </si>
  <si>
    <t>TE54</t>
  </si>
  <si>
    <t>WR143</t>
  </si>
  <si>
    <t>RB111</t>
  </si>
  <si>
    <t>K27</t>
  </si>
  <si>
    <t>QB43</t>
  </si>
  <si>
    <t>K28</t>
  </si>
  <si>
    <t>RB112</t>
  </si>
  <si>
    <t>RB113</t>
  </si>
  <si>
    <t>DST27</t>
  </si>
  <si>
    <t>WR144</t>
  </si>
  <si>
    <t>QB44</t>
  </si>
  <si>
    <t>K29</t>
  </si>
  <si>
    <t>WR145</t>
  </si>
  <si>
    <t>WR146</t>
  </si>
  <si>
    <t>WR147</t>
  </si>
  <si>
    <t>WR148</t>
  </si>
  <si>
    <t>RB114</t>
  </si>
  <si>
    <t>RB115</t>
  </si>
  <si>
    <t>RB116</t>
  </si>
  <si>
    <t>George Holani</t>
  </si>
  <si>
    <t>RB117</t>
  </si>
  <si>
    <t>K30</t>
  </si>
  <si>
    <t>WR149</t>
  </si>
  <si>
    <t>QB45</t>
  </si>
  <si>
    <t>RB118</t>
  </si>
  <si>
    <t>DST28</t>
  </si>
  <si>
    <t>TE55</t>
  </si>
  <si>
    <t>RB119</t>
  </si>
  <si>
    <t>RB120</t>
  </si>
  <si>
    <t>RB121</t>
  </si>
  <si>
    <t>TE56</t>
  </si>
  <si>
    <t>WR150</t>
  </si>
  <si>
    <t>RB122</t>
  </si>
  <si>
    <t>WR151</t>
  </si>
  <si>
    <t>WR152</t>
  </si>
  <si>
    <t>QB46</t>
  </si>
  <si>
    <t>QB47</t>
  </si>
  <si>
    <t>TE57</t>
  </si>
  <si>
    <t>TE58</t>
  </si>
  <si>
    <t>RB123</t>
  </si>
  <si>
    <t>WR153</t>
  </si>
  <si>
    <t>WR154</t>
  </si>
  <si>
    <t>RB124</t>
  </si>
  <si>
    <t>QB48</t>
  </si>
  <si>
    <t>Las Vegas Raiders</t>
  </si>
  <si>
    <t>DST29</t>
  </si>
  <si>
    <t>Hunter Luepke</t>
  </si>
  <si>
    <t>RB125</t>
  </si>
  <si>
    <t>WR155</t>
  </si>
  <si>
    <t>WR156</t>
  </si>
  <si>
    <t>WR157</t>
  </si>
  <si>
    <t>WR158</t>
  </si>
  <si>
    <t>TE59</t>
  </si>
  <si>
    <t>RB126</t>
  </si>
  <si>
    <t>RB127</t>
  </si>
  <si>
    <t>WR159</t>
  </si>
  <si>
    <t>WR160</t>
  </si>
  <si>
    <t>WR161</t>
  </si>
  <si>
    <t>TE60</t>
  </si>
  <si>
    <t>TE61</t>
  </si>
  <si>
    <t>TE62</t>
  </si>
  <si>
    <t>QB49</t>
  </si>
  <si>
    <t>K31</t>
  </si>
  <si>
    <t>RB128</t>
  </si>
  <si>
    <t>RB129</t>
  </si>
  <si>
    <t>TE63</t>
  </si>
  <si>
    <t>RB130</t>
  </si>
  <si>
    <t>TE64</t>
  </si>
  <si>
    <t>WR162</t>
  </si>
  <si>
    <t>Mac Jones</t>
  </si>
  <si>
    <t>Jacksonville Jaguars</t>
  </si>
  <si>
    <t>DST30</t>
  </si>
  <si>
    <t>WR163</t>
  </si>
  <si>
    <t>RB131</t>
  </si>
  <si>
    <t>WR164</t>
  </si>
  <si>
    <t>Sione Vaki</t>
  </si>
  <si>
    <t>RB132</t>
  </si>
  <si>
    <t>TE65</t>
  </si>
  <si>
    <t>TE66</t>
  </si>
  <si>
    <t>RB133</t>
  </si>
  <si>
    <t>WR165</t>
  </si>
  <si>
    <t>WR166</t>
  </si>
  <si>
    <t>TE67</t>
  </si>
  <si>
    <t>Charlie Kolar</t>
  </si>
  <si>
    <t>TE68</t>
  </si>
  <si>
    <t>WR167</t>
  </si>
  <si>
    <t>Tennessee Titans</t>
  </si>
  <si>
    <t>RB134</t>
  </si>
  <si>
    <t>Carolina Panthers</t>
  </si>
  <si>
    <t>RB135</t>
  </si>
  <si>
    <t>Rasheen Ali</t>
  </si>
  <si>
    <t>RB136</t>
  </si>
  <si>
    <t>RB137</t>
  </si>
  <si>
    <t>TE69</t>
  </si>
  <si>
    <t>TE70</t>
  </si>
  <si>
    <t>RB138</t>
  </si>
  <si>
    <t>RB139</t>
  </si>
  <si>
    <t>TE71</t>
  </si>
  <si>
    <t>RB140</t>
  </si>
  <si>
    <t>RB141</t>
  </si>
  <si>
    <t>WR168</t>
  </si>
  <si>
    <t>TE72</t>
  </si>
  <si>
    <t>Ezekiel Elliott</t>
  </si>
  <si>
    <t>TE73</t>
  </si>
  <si>
    <t>TE74</t>
  </si>
  <si>
    <t>TE75</t>
  </si>
  <si>
    <t>TE76</t>
  </si>
  <si>
    <t>WR169</t>
  </si>
  <si>
    <t>WR170</t>
  </si>
  <si>
    <t>WR171</t>
  </si>
  <si>
    <t>TE77</t>
  </si>
  <si>
    <t>WR172</t>
  </si>
  <si>
    <t>TE78</t>
  </si>
  <si>
    <t>WR173</t>
  </si>
  <si>
    <t>Chris Blair</t>
  </si>
  <si>
    <t>WR174</t>
  </si>
  <si>
    <t>TE79</t>
  </si>
  <si>
    <t>match</t>
  </si>
  <si>
    <t xml:space="preserve">Christian McCaffrey  </t>
  </si>
  <si>
    <t xml:space="preserve">CeeDee Lamb  </t>
  </si>
  <si>
    <t xml:space="preserve">Tyreek Hill  </t>
  </si>
  <si>
    <t xml:space="preserve">Ja'Marr Chase  </t>
  </si>
  <si>
    <t xml:space="preserve">Justin Jefferson  </t>
  </si>
  <si>
    <t xml:space="preserve">Breece Hall  </t>
  </si>
  <si>
    <t xml:space="preserve">Bijan Robinson  </t>
  </si>
  <si>
    <t xml:space="preserve">A.J. Brown  </t>
  </si>
  <si>
    <t xml:space="preserve">Puka Nacua  </t>
  </si>
  <si>
    <t xml:space="preserve">Garrett Wilson  </t>
  </si>
  <si>
    <t xml:space="preserve">Saquon Barkley  </t>
  </si>
  <si>
    <t xml:space="preserve">Jonathan Taylor  </t>
  </si>
  <si>
    <t xml:space="preserve">Jahmyr Gibbs  </t>
  </si>
  <si>
    <t xml:space="preserve">Marvin Harrison Jr.  </t>
  </si>
  <si>
    <t xml:space="preserve">Drake London  </t>
  </si>
  <si>
    <t xml:space="preserve">Davante  Adams  </t>
  </si>
  <si>
    <t xml:space="preserve">Kyren Williams  </t>
  </si>
  <si>
    <t xml:space="preserve">Derrick Henry  </t>
  </si>
  <si>
    <t xml:space="preserve">Isiah Pacheco  </t>
  </si>
  <si>
    <t xml:space="preserve">Nico Collins  </t>
  </si>
  <si>
    <t xml:space="preserve">Brandon Aiyuk  </t>
  </si>
  <si>
    <t xml:space="preserve">Mike Evans  </t>
  </si>
  <si>
    <t xml:space="preserve">Cooper Kupp  </t>
  </si>
  <si>
    <t xml:space="preserve">Chris Olave  </t>
  </si>
  <si>
    <t>Michael Pittman  Jr.</t>
  </si>
  <si>
    <t xml:space="preserve">Deebo Samuel Sr.  </t>
  </si>
  <si>
    <t xml:space="preserve">DeVonta Smith  </t>
  </si>
  <si>
    <t xml:space="preserve">De'Von Achane  </t>
  </si>
  <si>
    <t xml:space="preserve">Trey McBride  </t>
  </si>
  <si>
    <t xml:space="preserve">Sam LaPorta  </t>
  </si>
  <si>
    <t xml:space="preserve">Travis Kelce  </t>
  </si>
  <si>
    <t xml:space="preserve">Jaylen Waddle  </t>
  </si>
  <si>
    <t xml:space="preserve">Amari Cooper  </t>
  </si>
  <si>
    <t xml:space="preserve">Malik Nabers  </t>
  </si>
  <si>
    <t xml:space="preserve">James Cook  </t>
  </si>
  <si>
    <t xml:space="preserve">George Pickens  </t>
  </si>
  <si>
    <t xml:space="preserve">DK Metcalf  </t>
  </si>
  <si>
    <t xml:space="preserve">Kenneth Walker III  </t>
  </si>
  <si>
    <t xml:space="preserve">DJ Moore  </t>
  </si>
  <si>
    <t xml:space="preserve">Calvin Ridley  </t>
  </si>
  <si>
    <t xml:space="preserve">Mark Andrews  </t>
  </si>
  <si>
    <t xml:space="preserve">Joe Mixon  </t>
  </si>
  <si>
    <t xml:space="preserve">Josh Jacobs  </t>
  </si>
  <si>
    <t xml:space="preserve">Christian Kirk  </t>
  </si>
  <si>
    <t xml:space="preserve">Stefon Diggs  </t>
  </si>
  <si>
    <t xml:space="preserve">James Conner  </t>
  </si>
  <si>
    <t xml:space="preserve">Tee Higgins  </t>
  </si>
  <si>
    <t xml:space="preserve">David Montgomery  </t>
  </si>
  <si>
    <t xml:space="preserve">Alvin Kamara  </t>
  </si>
  <si>
    <t xml:space="preserve">Tank Dell  </t>
  </si>
  <si>
    <t xml:space="preserve">Lamar Jackson  </t>
  </si>
  <si>
    <t xml:space="preserve">Diontae Johnson  </t>
  </si>
  <si>
    <t xml:space="preserve">Terry McLaurin  </t>
  </si>
  <si>
    <t>Terry Mclaurin</t>
  </si>
  <si>
    <t xml:space="preserve">Chris Godwin  </t>
  </si>
  <si>
    <t xml:space="preserve">Anthony Richardson  </t>
  </si>
  <si>
    <t xml:space="preserve">Raheem Mostert  </t>
  </si>
  <si>
    <t xml:space="preserve">Marquise Brown  </t>
  </si>
  <si>
    <t xml:space="preserve">Zay Flowers  </t>
  </si>
  <si>
    <t xml:space="preserve">Keenan Allen  </t>
  </si>
  <si>
    <t xml:space="preserve">Kyler Murray  </t>
  </si>
  <si>
    <t xml:space="preserve">Dalton Kincaid  </t>
  </si>
  <si>
    <t xml:space="preserve">Kyle Pitts  </t>
  </si>
  <si>
    <t xml:space="preserve">C.J. Stroud  </t>
  </si>
  <si>
    <t xml:space="preserve">Jonathon Brooks  </t>
  </si>
  <si>
    <t xml:space="preserve">Rashee Rice  </t>
  </si>
  <si>
    <t xml:space="preserve">Zamir White   </t>
  </si>
  <si>
    <t xml:space="preserve">Jayden Reed  </t>
  </si>
  <si>
    <t xml:space="preserve">Rhamondre Stevenson  </t>
  </si>
  <si>
    <t xml:space="preserve">D'Andre Swift  </t>
  </si>
  <si>
    <t xml:space="preserve">Joe Burrow  </t>
  </si>
  <si>
    <t xml:space="preserve">Aaron Jones  </t>
  </si>
  <si>
    <t xml:space="preserve">George Kittle  </t>
  </si>
  <si>
    <t xml:space="preserve">Jaylen Warren  </t>
  </si>
  <si>
    <t xml:space="preserve">Najee Harris  </t>
  </si>
  <si>
    <t xml:space="preserve">Austin Ekeler  </t>
  </si>
  <si>
    <t xml:space="preserve">Tony Pollard  </t>
  </si>
  <si>
    <t xml:space="preserve">Tyjae Spears  </t>
  </si>
  <si>
    <t xml:space="preserve">Keon Coleman  </t>
  </si>
  <si>
    <t xml:space="preserve">Ladd McConkey  </t>
  </si>
  <si>
    <t xml:space="preserve">Javonte  Williams  </t>
  </si>
  <si>
    <t xml:space="preserve"> SEA</t>
  </si>
  <si>
    <t xml:space="preserve">Rome Odunze  </t>
  </si>
  <si>
    <t xml:space="preserve">Xavier Worthy  </t>
  </si>
  <si>
    <t xml:space="preserve">Dak Prescott  </t>
  </si>
  <si>
    <t xml:space="preserve">Jake Ferguson  </t>
  </si>
  <si>
    <t xml:space="preserve">Evan Engram  </t>
  </si>
  <si>
    <t xml:space="preserve">Devin Singletary  </t>
  </si>
  <si>
    <t xml:space="preserve">Gus Edwards  </t>
  </si>
  <si>
    <t xml:space="preserve">Ezekiel Elliott  </t>
  </si>
  <si>
    <t xml:space="preserve">Khalil Shakir  </t>
  </si>
  <si>
    <t xml:space="preserve">Jordan Addison  </t>
  </si>
  <si>
    <t xml:space="preserve">Jameson Williams  </t>
  </si>
  <si>
    <t xml:space="preserve">David Njoku  </t>
  </si>
  <si>
    <t xml:space="preserve">Jordan Love  </t>
  </si>
  <si>
    <t xml:space="preserve">Jayden Daniels  </t>
  </si>
  <si>
    <t xml:space="preserve">Dallas Goedert  </t>
  </si>
  <si>
    <t xml:space="preserve">DeAndre Hopkins  </t>
  </si>
  <si>
    <t xml:space="preserve">Zack Moss  </t>
  </si>
  <si>
    <t xml:space="preserve">Chase Brown  </t>
  </si>
  <si>
    <t xml:space="preserve">Brian Thomas Jr.  </t>
  </si>
  <si>
    <t xml:space="preserve">Curtis Samuel  </t>
  </si>
  <si>
    <t xml:space="preserve">Tyler Lockett  </t>
  </si>
  <si>
    <t xml:space="preserve">Brock Purdy  </t>
  </si>
  <si>
    <t xml:space="preserve">Christian Watson  </t>
  </si>
  <si>
    <t xml:space="preserve">Courtland Sutton  </t>
  </si>
  <si>
    <t xml:space="preserve">Jared Goff  </t>
  </si>
  <si>
    <t xml:space="preserve">Matthew Stafford  </t>
  </si>
  <si>
    <t xml:space="preserve">Justin Herbert  </t>
  </si>
  <si>
    <t xml:space="preserve">T.J. Hockenson  </t>
  </si>
  <si>
    <t xml:space="preserve">Blake Corum  </t>
  </si>
  <si>
    <t xml:space="preserve">Pat Freiermuth  </t>
  </si>
  <si>
    <t xml:space="preserve">Jahan Dotson  </t>
  </si>
  <si>
    <t xml:space="preserve">Mike Williams  </t>
  </si>
  <si>
    <t>Mike Williams</t>
  </si>
  <si>
    <t xml:space="preserve">Jermaine Burton  </t>
  </si>
  <si>
    <t xml:space="preserve">Malachi Corley  </t>
  </si>
  <si>
    <t xml:space="preserve">Romeo Doubs  </t>
  </si>
  <si>
    <t xml:space="preserve">Caleb Williams  </t>
  </si>
  <si>
    <t xml:space="preserve">Trevor Lawrence  </t>
  </si>
  <si>
    <t xml:space="preserve">Nick Chubb  </t>
  </si>
  <si>
    <t xml:space="preserve">Brock Bowers  </t>
  </si>
  <si>
    <t xml:space="preserve">Chuba Hubbard  </t>
  </si>
  <si>
    <t xml:space="preserve">Adonai Mitchell  </t>
  </si>
  <si>
    <t xml:space="preserve">Dontayvion Wicks  </t>
  </si>
  <si>
    <t xml:space="preserve">Jerry Jeudy  </t>
  </si>
  <si>
    <t xml:space="preserve">Brandin Cooks  </t>
  </si>
  <si>
    <t xml:space="preserve">Zach Charbonnet  </t>
  </si>
  <si>
    <t xml:space="preserve">Dalton Schultz  </t>
  </si>
  <si>
    <t xml:space="preserve">Quentin Johnston  </t>
  </si>
  <si>
    <t xml:space="preserve">Ricky Pearsall  </t>
  </si>
  <si>
    <t xml:space="preserve">Tua Tagovailoa  </t>
  </si>
  <si>
    <t xml:space="preserve">Deshaun Watson  </t>
  </si>
  <si>
    <t xml:space="preserve">Aaron Rodgers  </t>
  </si>
  <si>
    <t xml:space="preserve">Michael Wilson  </t>
  </si>
  <si>
    <t xml:space="preserve">Greg Dortch  </t>
  </si>
  <si>
    <t xml:space="preserve">Marvin Mims Jr.  </t>
  </si>
  <si>
    <t xml:space="preserve">Baker Mayfield  </t>
  </si>
  <si>
    <t xml:space="preserve">Cole Kmet  </t>
  </si>
  <si>
    <t xml:space="preserve">Demario Douglas  </t>
  </si>
  <si>
    <t>Demario Douglas</t>
  </si>
  <si>
    <t xml:space="preserve">Kirk Cousins  </t>
  </si>
  <si>
    <t xml:space="preserve">Russell Wilson  </t>
  </si>
  <si>
    <t xml:space="preserve">Gabe Davis  </t>
  </si>
  <si>
    <t xml:space="preserve">Geno Smith  </t>
  </si>
  <si>
    <t xml:space="preserve">Will Levis  </t>
  </si>
  <si>
    <t>Will Levis</t>
  </si>
  <si>
    <t xml:space="preserve">J.J. McCarthy  </t>
  </si>
  <si>
    <t xml:space="preserve">Roman Wilson  </t>
  </si>
  <si>
    <t xml:space="preserve">Josh Downs  </t>
  </si>
  <si>
    <t xml:space="preserve">Drake Maye  </t>
  </si>
  <si>
    <t xml:space="preserve">Derek Carr  </t>
  </si>
  <si>
    <t>Derek Carr</t>
  </si>
  <si>
    <t xml:space="preserve">Ja'Lynn Polk  </t>
  </si>
  <si>
    <t xml:space="preserve">Rashod Bateman  </t>
  </si>
  <si>
    <t xml:space="preserve">Daniel Jones  </t>
  </si>
  <si>
    <t>Dustin Hopkins</t>
  </si>
  <si>
    <t xml:space="preserve">Bryce Young  </t>
  </si>
  <si>
    <t xml:space="preserve">Bo Nix  </t>
  </si>
  <si>
    <t xml:space="preserve">Jakobi Meyers  </t>
  </si>
  <si>
    <t xml:space="preserve">Wan'Dale Robinson  </t>
  </si>
  <si>
    <t xml:space="preserve">Troy Franklin  </t>
  </si>
  <si>
    <t>Greg Zuerlein</t>
  </si>
  <si>
    <t xml:space="preserve">Ka'imi Fairbairn </t>
  </si>
  <si>
    <t xml:space="preserve">Adam Thielen  </t>
  </si>
  <si>
    <t xml:space="preserve">Darnell Mooney  </t>
  </si>
  <si>
    <t xml:space="preserve">Blake Grupe </t>
  </si>
  <si>
    <t xml:space="preserve">Jason Myers </t>
  </si>
  <si>
    <t>Mike Badgley</t>
  </si>
  <si>
    <t>Anders Carlson</t>
  </si>
  <si>
    <t>Last Name</t>
  </si>
  <si>
    <t>First Name</t>
  </si>
  <si>
    <t>Pos</t>
  </si>
  <si>
    <t>Chiefs</t>
  </si>
  <si>
    <t>Bills</t>
  </si>
  <si>
    <t>Eagles</t>
  </si>
  <si>
    <t>Texans</t>
  </si>
  <si>
    <t>Packers</t>
  </si>
  <si>
    <t>Bengals</t>
  </si>
  <si>
    <t>Dolphins</t>
  </si>
  <si>
    <t>Colts</t>
  </si>
  <si>
    <t>Ravens</t>
  </si>
  <si>
    <t>Cowboys</t>
  </si>
  <si>
    <t>Cardinals</t>
  </si>
  <si>
    <t>Jaguars</t>
  </si>
  <si>
    <t>Redskins</t>
  </si>
  <si>
    <t>Bears</t>
  </si>
  <si>
    <t>49ers</t>
  </si>
  <si>
    <t>Lions</t>
  </si>
  <si>
    <t>Falcons</t>
  </si>
  <si>
    <t>Jets</t>
  </si>
  <si>
    <t>Chargers</t>
  </si>
  <si>
    <t>Giants</t>
  </si>
  <si>
    <t>Rams</t>
  </si>
  <si>
    <t>Seahawks</t>
  </si>
  <si>
    <t>Patriots</t>
  </si>
  <si>
    <t>Saints</t>
  </si>
  <si>
    <t>Browns</t>
  </si>
  <si>
    <t>Buccaneers</t>
  </si>
  <si>
    <t>Broncos</t>
  </si>
  <si>
    <t>Raiders</t>
  </si>
  <si>
    <t>Steelers</t>
  </si>
  <si>
    <t>Panthers</t>
  </si>
  <si>
    <t>Fields</t>
  </si>
  <si>
    <t>Darnold</t>
  </si>
  <si>
    <t>Vikings</t>
  </si>
  <si>
    <t>Titans</t>
  </si>
  <si>
    <t>Flacco</t>
  </si>
  <si>
    <t>Brady</t>
  </si>
  <si>
    <t>Tom</t>
  </si>
  <si>
    <t>TBA</t>
  </si>
  <si>
    <t>Walker</t>
  </si>
  <si>
    <t>Javonte</t>
  </si>
  <si>
    <t>Ford</t>
  </si>
  <si>
    <t>Jerome</t>
  </si>
  <si>
    <t>Dowdle</t>
  </si>
  <si>
    <t>Rico</t>
  </si>
  <si>
    <t>Ray</t>
  </si>
  <si>
    <t>Dobbins</t>
  </si>
  <si>
    <t>JK</t>
  </si>
  <si>
    <t>Braelon</t>
  </si>
  <si>
    <t>Benson</t>
  </si>
  <si>
    <t>Wright</t>
  </si>
  <si>
    <t>Chandler</t>
  </si>
  <si>
    <t>Ty</t>
  </si>
  <si>
    <t>Jaleel</t>
  </si>
  <si>
    <t>Allgeier</t>
  </si>
  <si>
    <t>Vidal</t>
  </si>
  <si>
    <t>Kimani</t>
  </si>
  <si>
    <t>Elijah</t>
  </si>
  <si>
    <t>Roschon</t>
  </si>
  <si>
    <t>Shipley</t>
  </si>
  <si>
    <t>Tracy</t>
  </si>
  <si>
    <t>Tyrone</t>
  </si>
  <si>
    <t>Bigsby</t>
  </si>
  <si>
    <t>Perine</t>
  </si>
  <si>
    <t>Samaje</t>
  </si>
  <si>
    <t>Keaton</t>
  </si>
  <si>
    <t>Irving</t>
  </si>
  <si>
    <t>Bucky</t>
  </si>
  <si>
    <t>Pierce</t>
  </si>
  <si>
    <t>Dameon</t>
  </si>
  <si>
    <t>Miller</t>
  </si>
  <si>
    <t>Kendre</t>
  </si>
  <si>
    <t>McKinnon</t>
  </si>
  <si>
    <t>Jerick</t>
  </si>
  <si>
    <t>Gibson</t>
  </si>
  <si>
    <t>Antonio</t>
  </si>
  <si>
    <t>Edwards-Helaire</t>
  </si>
  <si>
    <t>Clyde</t>
  </si>
  <si>
    <t>Mattison</t>
  </si>
  <si>
    <t>Alexander</t>
  </si>
  <si>
    <t>Gray</t>
  </si>
  <si>
    <t>Eric</t>
  </si>
  <si>
    <t>Justice</t>
  </si>
  <si>
    <t>Carter</t>
  </si>
  <si>
    <t>Hull</t>
  </si>
  <si>
    <t>Dillon</t>
  </si>
  <si>
    <t>Gainwell</t>
  </si>
  <si>
    <t xml:space="preserve">A.J. </t>
  </si>
  <si>
    <t>D.J.</t>
  </si>
  <si>
    <t>D.K.</t>
  </si>
  <si>
    <t>Devonta</t>
  </si>
  <si>
    <t>McLaurin</t>
  </si>
  <si>
    <t>Thomas</t>
  </si>
  <si>
    <t>Shaheed</t>
  </si>
  <si>
    <t>Rashid</t>
  </si>
  <si>
    <t>Gabriel</t>
  </si>
  <si>
    <t>Tre</t>
  </si>
  <si>
    <t>Tim</t>
  </si>
  <si>
    <t>Boyd</t>
  </si>
  <si>
    <t>Demarcus</t>
  </si>
  <si>
    <t>Mims</t>
  </si>
  <si>
    <t>Legette</t>
  </si>
  <si>
    <t>Lazard</t>
  </si>
  <si>
    <t>Slayton</t>
  </si>
  <si>
    <t>Darius</t>
  </si>
  <si>
    <t>Chark</t>
  </si>
  <si>
    <t>Devontez</t>
  </si>
  <si>
    <t>Bourne</t>
  </si>
  <si>
    <t>Kendrick</t>
  </si>
  <si>
    <t>Osborn</t>
  </si>
  <si>
    <t>K.J.</t>
  </si>
  <si>
    <t>Mingo</t>
  </si>
  <si>
    <t>Hyatt</t>
  </si>
  <si>
    <t>Jalin</t>
  </si>
  <si>
    <t>Burks</t>
  </si>
  <si>
    <t>Treylon</t>
  </si>
  <si>
    <t>Juwan</t>
  </si>
  <si>
    <t>Taysom</t>
  </si>
  <si>
    <t>Conklin</t>
  </si>
  <si>
    <t>Okonkwo</t>
  </si>
  <si>
    <t>Chig</t>
  </si>
  <si>
    <t>Otton</t>
  </si>
  <si>
    <t>Cade</t>
  </si>
  <si>
    <t>Likely</t>
  </si>
  <si>
    <t>Isaiah</t>
  </si>
  <si>
    <t>Parham</t>
  </si>
  <si>
    <t>Donald</t>
  </si>
  <si>
    <t>Hunter</t>
  </si>
  <si>
    <t>Musgrave</t>
  </si>
  <si>
    <t>Luke</t>
  </si>
  <si>
    <t>Noah</t>
  </si>
  <si>
    <t>Waller</t>
  </si>
  <si>
    <t>Darren</t>
  </si>
  <si>
    <t>Jonnu</t>
  </si>
  <si>
    <t>Kraft</t>
  </si>
  <si>
    <t>Everett</t>
  </si>
  <si>
    <t>Gerald</t>
  </si>
  <si>
    <t>Higbee</t>
  </si>
  <si>
    <t>Fant</t>
  </si>
  <si>
    <t>Granson</t>
  </si>
  <si>
    <t>Kylen</t>
  </si>
  <si>
    <t>Logan</t>
  </si>
  <si>
    <t>Ertz</t>
  </si>
  <si>
    <t>Knox</t>
  </si>
  <si>
    <t>Dawson</t>
  </si>
  <si>
    <t>Hurst</t>
  </si>
  <si>
    <t>Hayden</t>
  </si>
  <si>
    <t>Hudson</t>
  </si>
  <si>
    <t>Tanner</t>
  </si>
  <si>
    <t>Bryant</t>
  </si>
  <si>
    <t>Smythe</t>
  </si>
  <si>
    <t>Durham</t>
  </si>
  <si>
    <t>Mayer</t>
  </si>
  <si>
    <t>Washington</t>
  </si>
  <si>
    <t>Gesicki</t>
  </si>
  <si>
    <t>Dulcich</t>
  </si>
  <si>
    <t>Fairbairn</t>
  </si>
  <si>
    <t>Little</t>
  </si>
  <si>
    <t>Cam</t>
  </si>
  <si>
    <t>Reichard</t>
  </si>
  <si>
    <t>Bates</t>
  </si>
  <si>
    <t>Ryland</t>
  </si>
  <si>
    <t>Chad</t>
  </si>
  <si>
    <t>Lutz</t>
  </si>
  <si>
    <t>Wil</t>
  </si>
  <si>
    <t>Pineiro</t>
  </si>
  <si>
    <t>Eddy</t>
  </si>
  <si>
    <t>Ahmed</t>
  </si>
  <si>
    <t>Ramiz</t>
  </si>
  <si>
    <t>DEF</t>
  </si>
  <si>
    <t>Drafted?</t>
  </si>
  <si>
    <t>Pick #</t>
  </si>
  <si>
    <t>Drafted By</t>
  </si>
  <si>
    <t>Timestamp</t>
  </si>
  <si>
    <t>How this works</t>
  </si>
  <si>
    <t>ESPN Bridge</t>
  </si>
  <si>
    <t>Status</t>
  </si>
  <si>
    <t>1</t>
  </si>
  <si>
    <t>Automatic ESPN feed will write each pick into columns A:D.</t>
  </si>
  <si>
    <t>Connection</t>
  </si>
  <si>
    <t>2</t>
  </si>
  <si>
    <t>Your Rankings Master will instantly mark that player DRAFTED.</t>
  </si>
  <si>
    <t>Last Pick</t>
  </si>
  <si>
    <t>3</t>
  </si>
  <si>
    <t>Until ESPN is connected, you can type a player name in column B to test/use manually.</t>
  </si>
  <si>
    <t>League</t>
  </si>
  <si>
    <t>887910102</t>
  </si>
  <si>
    <t>4</t>
  </si>
  <si>
    <t>Do not edit the Drafted? formulas on Rankings Master.</t>
  </si>
  <si>
    <t>Season</t>
  </si>
  <si>
    <t>2026</t>
  </si>
  <si>
    <t>James Cook III</t>
  </si>
  <si>
    <t>Jeremiyah Love</t>
  </si>
  <si>
    <t>Carnell Tate</t>
  </si>
  <si>
    <t>Jadarian Price</t>
  </si>
  <si>
    <t>Kenny Gainwell</t>
  </si>
  <si>
    <t>Denzel Boston</t>
  </si>
  <si>
    <t>KC Concepcion</t>
  </si>
  <si>
    <t>De'Zhaun Stribling</t>
  </si>
  <si>
    <t>Harrison Mevis</t>
  </si>
  <si>
    <t>Kenyon Sadiq</t>
  </si>
  <si>
    <t>Makai Lemon</t>
  </si>
  <si>
    <t>Browns D/ST</t>
  </si>
  <si>
    <t>Team Name:</t>
  </si>
  <si>
    <t>Jordyn Tyson</t>
  </si>
  <si>
    <t>Germie Bernard</t>
  </si>
  <si>
    <t>Antonio Williams</t>
  </si>
  <si>
    <t>Mike Washington Jr.</t>
  </si>
  <si>
    <t>Omar Cooper Jr.</t>
  </si>
  <si>
    <t>Zachariah Branch</t>
  </si>
  <si>
    <t>Ryan Flournoy</t>
  </si>
  <si>
    <t>Chris Bell</t>
  </si>
  <si>
    <t>Jonah Coleman</t>
  </si>
  <si>
    <t>Kaelon Black</t>
  </si>
  <si>
    <t>Kaytron Allen</t>
  </si>
  <si>
    <t>Fernando Mendoza</t>
  </si>
  <si>
    <t>Nicholas Singleton</t>
  </si>
  <si>
    <t>Demond Claiborne</t>
  </si>
  <si>
    <t>Caleb Douglas</t>
  </si>
  <si>
    <t>Ja'Kobi Lane</t>
  </si>
  <si>
    <t>Ted Hurst</t>
  </si>
  <si>
    <t>Adam Randall</t>
  </si>
  <si>
    <t>LeQuint Allen</t>
  </si>
  <si>
    <t>Emmett Johnson</t>
  </si>
  <si>
    <t>Jaguars D/ST</t>
  </si>
  <si>
    <t>Oronde Gadsden</t>
  </si>
  <si>
    <t>Elijah Sarratt</t>
  </si>
  <si>
    <t>Malik Davis</t>
  </si>
  <si>
    <t>Seth McGowan</t>
  </si>
  <si>
    <t>Jawhar Jordan</t>
  </si>
  <si>
    <t>Bengals D/ST</t>
  </si>
  <si>
    <t>Trey Smack</t>
  </si>
  <si>
    <t>Jake Tonges</t>
  </si>
  <si>
    <t>Saints D/ST</t>
  </si>
  <si>
    <t>Panthers D/ST</t>
  </si>
  <si>
    <t>Ted Hurst III</t>
  </si>
  <si>
    <t>Cincinnati</t>
  </si>
  <si>
    <t>Andy Borregales</t>
  </si>
  <si>
    <t>Malachi Fields</t>
  </si>
  <si>
    <t>Eli Stowers</t>
  </si>
  <si>
    <t>Oscar Delp</t>
  </si>
  <si>
    <t>Cyrus Allen</t>
  </si>
  <si>
    <t>Skyler Bell</t>
  </si>
  <si>
    <t>Charlie Smyth</t>
  </si>
  <si>
    <t>Carson Beck</t>
  </si>
  <si>
    <t>Konata Mumpfield</t>
  </si>
  <si>
    <t>Bryce Lance</t>
  </si>
  <si>
    <t>Chris Brazzell II</t>
  </si>
  <si>
    <t>Eli Raridon</t>
  </si>
  <si>
    <t>Max Klare</t>
  </si>
  <si>
    <t>Erick All Jr.</t>
  </si>
  <si>
    <t>Brenen Thompson</t>
  </si>
  <si>
    <t>Eli Heidenreich</t>
  </si>
  <si>
    <t>Bam Knight</t>
  </si>
  <si>
    <t>Justin Joly</t>
  </si>
  <si>
    <t>Ty Simpson</t>
  </si>
  <si>
    <t>Zane Gonzalez</t>
  </si>
  <si>
    <t>Malik Benson</t>
  </si>
  <si>
    <t>Kevin Coleman Jr.</t>
  </si>
  <si>
    <t>Joey Slye</t>
  </si>
  <si>
    <t>Ryan Fitzgerald</t>
  </si>
  <si>
    <t>Zavion Thomas</t>
  </si>
  <si>
    <t>Jam Miller</t>
  </si>
  <si>
    <t>J'Mari Taylor</t>
  </si>
  <si>
    <t>CJ Daniels</t>
  </si>
  <si>
    <t>Ashton Dulin</t>
  </si>
  <si>
    <t>Cade Klubnik</t>
  </si>
  <si>
    <t>Zavier Scott</t>
  </si>
  <si>
    <t>Isaiah Williams</t>
  </si>
  <si>
    <t>Colbie Young</t>
  </si>
  <si>
    <t>Marlin Klein</t>
  </si>
  <si>
    <t>Tommy Myers</t>
  </si>
  <si>
    <t>Barion Brown</t>
  </si>
  <si>
    <t>Terrell Jennings</t>
  </si>
  <si>
    <t>Riley Leonard</t>
  </si>
  <si>
    <t>Drew Stevens</t>
  </si>
  <si>
    <t>Odell Beckham Jr.</t>
  </si>
  <si>
    <t>Xavier Smith</t>
  </si>
  <si>
    <t>Tanner Koziol</t>
  </si>
  <si>
    <t>Jalen Reagor</t>
  </si>
  <si>
    <t>Deion Burks</t>
  </si>
  <si>
    <t>Noah Whittington</t>
  </si>
  <si>
    <t>Jahdae Walker</t>
  </si>
  <si>
    <t>Jaydn Ott</t>
  </si>
  <si>
    <t>Will Kacmarek</t>
  </si>
  <si>
    <t>Nate Boerkircher</t>
  </si>
  <si>
    <t>Mitch Tinsley</t>
  </si>
  <si>
    <t>Reggie Gilliam</t>
  </si>
  <si>
    <t>Jackson Hawes</t>
  </si>
  <si>
    <t>Matt Hibner</t>
  </si>
  <si>
    <t>Michael Woods II</t>
  </si>
  <si>
    <t>Lil'Jordan Humphrey</t>
  </si>
  <si>
    <t>ESPN_Excel_Bridge_FINAL_STABLE_v2.1_TEAM\ESPN_Excel_Bridge_FINAL_STABLE_v2.1_TEAM\Start ESPN Excel Bridge.bat</t>
  </si>
  <si>
    <t>Passing Yards Prop</t>
  </si>
  <si>
    <t>JAX</t>
  </si>
  <si>
    <t>Cowboys D/ST</t>
  </si>
  <si>
    <t>Vikings D/ST</t>
  </si>
  <si>
    <t>Jacob Saylors</t>
  </si>
  <si>
    <t>Josh Williams</t>
  </si>
  <si>
    <t>Patrick Ricard</t>
  </si>
  <si>
    <t>Max Bredeson</t>
  </si>
  <si>
    <t>Dohnte Meyers</t>
  </si>
  <si>
    <t>British Brooks</t>
  </si>
  <si>
    <t>QB50</t>
  </si>
  <si>
    <t>QB51</t>
  </si>
  <si>
    <t>QB52</t>
  </si>
  <si>
    <t>Drew Sample</t>
  </si>
  <si>
    <t>Kene Nwangwu</t>
  </si>
  <si>
    <t>Reggie Virgil</t>
  </si>
  <si>
    <t>Durham Smythe</t>
  </si>
  <si>
    <t>Tyson Bagent</t>
  </si>
  <si>
    <t>Tanner Hudson</t>
  </si>
  <si>
    <t>RB142</t>
  </si>
  <si>
    <t>Trey Lance</t>
  </si>
  <si>
    <t>Mustafa is Not Like Us</t>
  </si>
  <si>
    <t>The Good, Bad and Ugly</t>
  </si>
  <si>
    <t>BEST COUNTRY IN THE WORLD</t>
  </si>
  <si>
    <t>Eight Bell Tolls</t>
  </si>
  <si>
    <t>JJetts Skatt Hurts</t>
  </si>
  <si>
    <t>Cut to the Chase</t>
  </si>
  <si>
    <t>Benjamins Bandits</t>
  </si>
  <si>
    <t>dontsaynosayYA</t>
  </si>
  <si>
    <t>Double Chubb Chocolate Cookie</t>
  </si>
  <si>
    <t>Corey Kiner</t>
  </si>
  <si>
    <t>AJ Dillon</t>
  </si>
  <si>
    <t>Ameer Abdullah</t>
  </si>
  <si>
    <t>Brittain Brown</t>
  </si>
  <si>
    <t>Scotty Miller</t>
  </si>
  <si>
    <t>Lan Larison</t>
  </si>
  <si>
    <t>RB143</t>
  </si>
  <si>
    <t>Kaden Wetjen</t>
  </si>
  <si>
    <t>Drew Allar</t>
  </si>
  <si>
    <t>Josh Cameron</t>
  </si>
  <si>
    <t>CJ Donaldson</t>
  </si>
  <si>
    <t>RB144</t>
  </si>
  <si>
    <t>Dean Connors</t>
  </si>
  <si>
    <t>RB145</t>
  </si>
  <si>
    <t>RB146</t>
  </si>
  <si>
    <t>Robert Henry Jr.</t>
  </si>
  <si>
    <t>RB147</t>
  </si>
  <si>
    <t>Jacardia Wright</t>
  </si>
  <si>
    <t>RB148</t>
  </si>
  <si>
    <t>Taylen Green</t>
  </si>
  <si>
    <t>Myles Price</t>
  </si>
  <si>
    <t>WR175</t>
  </si>
  <si>
    <t>Kendrick Law</t>
  </si>
  <si>
    <t>WR176</t>
  </si>
  <si>
    <t>WR177</t>
  </si>
  <si>
    <t>RB149</t>
  </si>
  <si>
    <t>Connected ✓ — PICKS TICKER v2.4</t>
  </si>
  <si>
    <t>#170 Vikings D/ST</t>
  </si>
  <si>
    <t>Team Afeef</t>
  </si>
  <si>
    <t>2026 NFL DraftKings Season-Long Player Lines — Summary</t>
  </si>
  <si>
    <t>*Total TD Reference is NOT a sportsbook market. It is the arithmetic sum of any available Passing TD, Rushing TD, and Receiving TD O/U lines in this workbook. Actual book TD markets are on the Touchdowns sheet.</t>
  </si>
  <si>
    <t>Passing Yds</t>
  </si>
  <si>
    <t>Rushing Yds</t>
  </si>
  <si>
    <t>Receiving Yds</t>
  </si>
  <si>
    <t>Passing TDs</t>
  </si>
  <si>
    <t>Rushing TDs</t>
  </si>
  <si>
    <t>Receiving TDs</t>
  </si>
  <si>
    <t>Total TD Reference*</t>
  </si>
  <si>
    <t>TD Markets Found</t>
  </si>
  <si>
    <t>AJ Brown</t>
  </si>
  <si>
    <t>Amon-Ra St Brown</t>
  </si>
  <si>
    <t>LVR</t>
  </si>
  <si>
    <t>Brian Thomas</t>
  </si>
  <si>
    <t>CJ Stroud</t>
  </si>
  <si>
    <t>Ceedee Lamb</t>
  </si>
  <si>
    <t>Deebo Samuel</t>
  </si>
  <si>
    <t>Devonta Smith</t>
  </si>
  <si>
    <t>Harold Fannin</t>
  </si>
  <si>
    <t>Jk Dobbins</t>
  </si>
  <si>
    <t>Kenneth Walker</t>
  </si>
  <si>
    <t>Luther Burden</t>
  </si>
  <si>
    <t>Marvin Harrison</t>
  </si>
  <si>
    <t>Michael Pittman</t>
  </si>
  <si>
    <t>Omar Cooper</t>
  </si>
  <si>
    <t>TJ Hockenson</t>
  </si>
  <si>
    <t>Travis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</si>
</sst>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Aptos Narrow"/>
    </font>
    <font>
      <b/>
      <sz val="11"/>
      <color rgb="FFFFFFFF"/>
      <name val="Aptos Narrow"/>
    </font>
    <font>
      <b/>
      <sz val="11"/>
      <color theme="1"/>
      <name val="Aptos Narrow"/>
    </font>
    <font>
      <sz val="8"/>
      <name val="Aptos Narrow"/>
    </font>
    <font>
      <u/>
      <sz val="11"/>
      <color theme="10"/>
      <name val="Aptos Narrow"/>
    </font>
    <font>
      <b/>
      <sz val="11"/>
      <color theme="1"/>
      <name val="Aptos Narrow"/>
      <family val="2"/>
    </font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1F4E78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21">
    <xf numFmtId="0" fontId="0" fillId="0" borderId="0" xfId="0"/>
    <xf numFmtId="0" fontId="0" fillId="2" borderId="0" xfId="0" applyFill="1"/>
    <xf numFmtId="16" fontId="0" fillId="0" borderId="0" xfId="0" applyNumberFormat="1"/>
    <xf numFmtId="1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1" fillId="4" borderId="0" xfId="0" applyFont="1" applyFill="1" applyAlignment="1">
      <alignment horizontal="center" wrapText="1"/>
    </xf>
    <xf numFmtId="1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8" borderId="0" xfId="1" applyFill="1"/>
    <xf numFmtId="0" fontId="5" fillId="0" borderId="0" xfId="0" applyFont="1"/>
    <xf numFmtId="0" fontId="1" fillId="3" borderId="0" xfId="0" applyFont="1" applyFill="1" applyAlignment="1">
      <alignment horizontal="center" vertical="center"/>
    </xf>
    <xf numFmtId="0" fontId="7" fillId="9" borderId="0" xfId="2" applyFont="1" applyFill="1" applyAlignment="1">
      <alignment horizontal="left" vertical="center"/>
    </xf>
    <xf numFmtId="0" fontId="6" fillId="0" borderId="0" xfId="2"/>
    <xf numFmtId="0" fontId="8" fillId="10" borderId="0" xfId="2" applyFont="1" applyFill="1" applyAlignment="1">
      <alignment vertical="center" wrapText="1"/>
    </xf>
    <xf numFmtId="0" fontId="9" fillId="11" borderId="0" xfId="2" applyFont="1" applyFill="1" applyAlignment="1">
      <alignment horizontal="center" vertical="center" wrapText="1"/>
    </xf>
    <xf numFmtId="164" fontId="6" fillId="0" borderId="0" xfId="2" applyNumberFormat="1"/>
  </cellXfs>
  <cellStyles count="3">
    <cellStyle name="Hyperlink" xfId="1" builtinId="8"/>
    <cellStyle name="Normal" xfId="0" builtinId="0"/>
    <cellStyle name="Normal 2" xfId="2" xr:uid="{A314F227-C243-4C87-8B22-B3661CEA1CC0}"/>
  </cellStyles>
  <dxfs count="23">
    <dxf>
      <fill>
        <patternFill>
          <bgColor theme="4" tint="0.79995117038483843"/>
        </patternFill>
      </fill>
    </dxf>
    <dxf>
      <fill>
        <patternFill>
          <bgColor rgb="FFFFBBA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BBAB"/>
        </patternFill>
      </fill>
    </dxf>
    <dxf>
      <fill>
        <patternFill>
          <bgColor rgb="FFFFBBAB"/>
        </patternFill>
      </fill>
    </dxf>
    <dxf>
      <fill>
        <patternFill>
          <bgColor theme="4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F7F7F"/>
      </font>
      <fill>
        <patternFill>
          <bgColor rgb="FFD9D9D9"/>
        </patternFill>
      </fill>
    </dxf>
    <dxf>
      <fill>
        <patternFill>
          <bgColor theme="4" tint="0.79995117038483843"/>
        </patternFill>
      </fill>
    </dxf>
    <dxf>
      <fill>
        <patternFill>
          <bgColor rgb="FFFFBBAB"/>
        </patternFill>
      </fill>
    </dxf>
    <dxf>
      <fill>
        <patternFill>
          <bgColor rgb="FFFFBBAB"/>
        </patternFill>
      </fill>
    </dxf>
    <dxf>
      <fill>
        <patternFill>
          <bgColor rgb="FFFFBBAB"/>
        </patternFill>
      </fill>
    </dxf>
    <dxf>
      <fill>
        <patternFill>
          <bgColor theme="4" tint="0.79995117038483843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5">
  <autoFilter ref="A1:A5" xr:uid="{00000000-0009-0000-0100-000001000000}"/>
  <tableColumns count="1">
    <tableColumn id="1" xr3:uid="{00000000-0010-0000-0000-000001000000}" name="Platfor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D1:F749">
  <autoFilter ref="D1:F749" xr:uid="{00000000-0009-0000-0100-000005000000}"/>
  <tableColumns count="3">
    <tableColumn id="1" xr3:uid="{00000000-0010-0000-0100-000001000000}" name="Fantasy Pros"/>
    <tableColumn id="2" xr3:uid="{00000000-0010-0000-0100-000002000000}" name="ESPN"/>
    <tableColumn id="3" xr3:uid="{00000000-0010-0000-0100-000003000000}" name="NFL.c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F301">
  <autoFilter ref="A1:F301" xr:uid="{00000000-0009-0000-0100-000002000000}"/>
  <tableColumns count="6">
    <tableColumn id="1" xr3:uid="{00000000-0010-0000-0200-000001000000}" name="Overall Rank"/>
    <tableColumn id="2" xr3:uid="{00000000-0010-0000-0200-000002000000}" name="Pos Rank"/>
    <tableColumn id="3" xr3:uid="{00000000-0010-0000-0200-000003000000}" name="Position"/>
    <tableColumn id="4" xr3:uid="{00000000-0010-0000-0200-000004000000}" name="Player"/>
    <tableColumn id="5" xr3:uid="{00000000-0010-0000-0200-000005000000}" name="Team"/>
    <tableColumn id="6" xr3:uid="{00000000-0010-0000-0200-000006000000}" name="Mapped Nam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1:G522">
  <autoFilter ref="A1:G522" xr:uid="{00000000-0009-0000-0100-000004000000}">
    <filterColumn colId="3">
      <filters blank="1">
        <filter val="K1"/>
        <filter val="K10"/>
        <filter val="K11"/>
        <filter val="K12"/>
        <filter val="K13"/>
        <filter val="K14"/>
        <filter val="K15"/>
        <filter val="K16"/>
        <filter val="K17"/>
        <filter val="K18"/>
        <filter val="K19"/>
        <filter val="K2"/>
        <filter val="K20"/>
        <filter val="K21"/>
        <filter val="K22"/>
        <filter val="K23"/>
        <filter val="K24"/>
        <filter val="K25"/>
        <filter val="K26"/>
        <filter val="K27"/>
        <filter val="K28"/>
        <filter val="K29"/>
        <filter val="K3"/>
        <filter val="K30"/>
        <filter val="K31"/>
        <filter val="K4"/>
        <filter val="K5"/>
        <filter val="K6"/>
        <filter val="K7"/>
        <filter val="K8"/>
        <filter val="K9"/>
      </filters>
    </filterColumn>
  </autoFilter>
  <tableColumns count="7">
    <tableColumn id="1" xr3:uid="{00000000-0010-0000-0400-000001000000}" name="RK"/>
    <tableColumn id="2" xr3:uid="{00000000-0010-0000-0400-000002000000}" name="PLAYER NAME"/>
    <tableColumn id="3" xr3:uid="{00000000-0010-0000-0400-000003000000}" name="TEAM"/>
    <tableColumn id="4" xr3:uid="{00000000-0010-0000-0400-000004000000}" name="POS"/>
    <tableColumn id="5" xr3:uid="{00000000-0010-0000-0400-000005000000}" name="BYE WEEK"/>
    <tableColumn id="6" xr3:uid="{00000000-0010-0000-0400-000006000000}" name="SOS SEASON"/>
    <tableColumn id="7" xr3:uid="{00000000-0010-0000-0400-000007000000}" name="ECR VS. AD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8C71B5-65BA-4859-9867-78E62A8AFA94}" name="PlayerSummaryTable" displayName="PlayerSummaryTable" ref="A4:K140" totalsRowShown="0">
  <autoFilter ref="A4:K140" xr:uid="{9B8C71B5-65BA-4859-9867-78E62A8AFA94}"/>
  <tableColumns count="11">
    <tableColumn id="1" xr3:uid="{89CD8E95-11F0-4893-B101-89FEA148C739}" name="Player"/>
    <tableColumn id="2" xr3:uid="{8529C0E4-1BA4-40B7-BF86-1817A2805796}" name="Pos"/>
    <tableColumn id="3" xr3:uid="{AE3CFB6A-4DBF-4CD3-B918-F58BB87D0D9B}" name="Team"/>
    <tableColumn id="4" xr3:uid="{43FDB46F-6166-4F40-A266-55F6AF93F60F}" name="Passing Yds"/>
    <tableColumn id="5" xr3:uid="{A1D72CA5-66C4-4ED9-A728-6A888AFA4322}" name="Rushing Yds"/>
    <tableColumn id="6" xr3:uid="{184A5C9C-6C8A-4CD8-80D4-A6B377D1F1D4}" name="Receiving Yds"/>
    <tableColumn id="7" xr3:uid="{3AD73C16-DBDD-4A1F-9D79-E481AD76B9AA}" name="Passing TDs"/>
    <tableColumn id="8" xr3:uid="{0E057E38-9E65-4EA8-93D0-FC825FAE2007}" name="Rushing TDs"/>
    <tableColumn id="9" xr3:uid="{DB6A9A45-ADC2-404A-B2B8-58F0121F7E3C}" name="Receiving TDs"/>
    <tableColumn id="10" xr3:uid="{FBF12B23-8060-4B94-B162-B6EEB1616489}" name="Total TD Reference*">
      <calculatedColumnFormula>IF(COUNT(G5:I5)=0,"",SUM(G5:I5))</calculatedColumnFormula>
    </tableColumn>
    <tableColumn id="11" xr3:uid="{A18382D7-316B-42B9-8DBA-13351AE301F2}" name="TD Markets Found">
      <calculatedColumnFormula>COUNT(G5:I5)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E201">
  <autoFilter ref="A1:E201" xr:uid="{00000000-0009-0000-0100-000003000000}">
    <filterColumn colId="3">
      <filters>
        <filter val="Audric Estimé"/>
      </filters>
    </filterColumn>
  </autoFilter>
  <tableColumns count="5">
    <tableColumn id="1" xr3:uid="{00000000-0010-0000-0300-000001000000}" name="Rank"/>
    <tableColumn id="2" xr3:uid="{00000000-0010-0000-0300-000002000000}" name="Name"/>
    <tableColumn id="3" xr3:uid="{00000000-0010-0000-0300-000003000000}" name="Bye"/>
    <tableColumn id="4" xr3:uid="{00000000-0010-0000-0300-000004000000}" name="Name Clean"/>
    <tableColumn id="5" xr3:uid="{00000000-0010-0000-0300-000005000000}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../AppData/Roaming/Microsoft/Excel/ESPN_Excel_Bridge_FINAL_STABLE_v2.1_TEAM/ESPN_Excel_Bridge_FINAL_STABLE_v2.1_TEAM/Start%20ESPN%20Excel%20Bridge.b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L749"/>
  <sheetViews>
    <sheetView workbookViewId="0">
      <selection activeCell="J1" sqref="J1"/>
    </sheetView>
  </sheetViews>
  <sheetFormatPr defaultRowHeight="14.5"/>
  <cols>
    <col min="1" max="1" width="10.90625" customWidth="1"/>
    <col min="4" max="4" width="21.90625" customWidth="1"/>
    <col min="5" max="5" width="19.1796875" customWidth="1"/>
    <col min="6" max="6" width="10.1796875" customWidth="1"/>
    <col min="9" max="9" width="18.08984375" customWidth="1"/>
  </cols>
  <sheetData>
    <row r="1" spans="1:12">
      <c r="A1" t="s">
        <v>0</v>
      </c>
      <c r="D1" t="s">
        <v>1</v>
      </c>
      <c r="E1" t="s">
        <v>2</v>
      </c>
      <c r="F1" t="s">
        <v>3</v>
      </c>
      <c r="I1" s="12"/>
      <c r="J1" s="13" t="s">
        <v>2104</v>
      </c>
      <c r="K1" s="12"/>
      <c r="L1" s="12"/>
    </row>
    <row r="2" spans="1:12">
      <c r="A2" t="s">
        <v>2</v>
      </c>
      <c r="D2" t="s">
        <v>4</v>
      </c>
      <c r="E2" t="s">
        <v>4</v>
      </c>
      <c r="F2" t="s">
        <v>4</v>
      </c>
    </row>
    <row r="3" spans="1:12">
      <c r="A3" t="s">
        <v>5</v>
      </c>
      <c r="D3" t="s">
        <v>6</v>
      </c>
      <c r="E3" t="s">
        <v>6</v>
      </c>
      <c r="F3" t="s">
        <v>6</v>
      </c>
    </row>
    <row r="4" spans="1:12">
      <c r="A4" t="s">
        <v>3</v>
      </c>
      <c r="D4" t="s">
        <v>7</v>
      </c>
      <c r="E4" t="s">
        <v>7</v>
      </c>
      <c r="F4" t="s">
        <v>7</v>
      </c>
    </row>
    <row r="5" spans="1:12">
      <c r="A5" t="s">
        <v>8</v>
      </c>
      <c r="D5" t="s">
        <v>9</v>
      </c>
      <c r="E5" t="s">
        <v>9</v>
      </c>
      <c r="F5" t="s">
        <v>9</v>
      </c>
    </row>
    <row r="6" spans="1:12">
      <c r="D6" t="s">
        <v>10</v>
      </c>
      <c r="E6" t="s">
        <v>10</v>
      </c>
      <c r="F6" t="s">
        <v>10</v>
      </c>
    </row>
    <row r="7" spans="1:12">
      <c r="D7" t="s">
        <v>11</v>
      </c>
      <c r="E7" t="s">
        <v>11</v>
      </c>
      <c r="F7" t="s">
        <v>11</v>
      </c>
    </row>
    <row r="8" spans="1:12">
      <c r="D8" t="s">
        <v>12</v>
      </c>
      <c r="E8" t="s">
        <v>12</v>
      </c>
      <c r="F8" t="s">
        <v>12</v>
      </c>
    </row>
    <row r="9" spans="1:12">
      <c r="D9" t="s">
        <v>13</v>
      </c>
      <c r="E9" t="s">
        <v>13</v>
      </c>
      <c r="F9" t="s">
        <v>13</v>
      </c>
    </row>
    <row r="10" spans="1:12">
      <c r="D10" t="s">
        <v>14</v>
      </c>
      <c r="E10" t="s">
        <v>14</v>
      </c>
      <c r="F10" t="s">
        <v>14</v>
      </c>
    </row>
    <row r="11" spans="1:12">
      <c r="D11" t="s">
        <v>15</v>
      </c>
      <c r="E11" t="s">
        <v>15</v>
      </c>
      <c r="F11" t="s">
        <v>15</v>
      </c>
    </row>
    <row r="12" spans="1:12">
      <c r="D12" t="s">
        <v>16</v>
      </c>
      <c r="E12" t="s">
        <v>16</v>
      </c>
      <c r="F12" t="s">
        <v>16</v>
      </c>
    </row>
    <row r="13" spans="1:12">
      <c r="D13" t="s">
        <v>17</v>
      </c>
      <c r="E13" t="s">
        <v>17</v>
      </c>
      <c r="F13" t="s">
        <v>17</v>
      </c>
    </row>
    <row r="14" spans="1:12">
      <c r="D14" t="s">
        <v>18</v>
      </c>
      <c r="E14" t="s">
        <v>18</v>
      </c>
      <c r="F14" t="s">
        <v>18</v>
      </c>
    </row>
    <row r="15" spans="1:12">
      <c r="D15" t="s">
        <v>19</v>
      </c>
      <c r="E15" t="s">
        <v>19</v>
      </c>
      <c r="F15" t="s">
        <v>19</v>
      </c>
    </row>
    <row r="16" spans="1:12">
      <c r="D16" t="s">
        <v>20</v>
      </c>
      <c r="E16" t="s">
        <v>20</v>
      </c>
      <c r="F16" t="s">
        <v>20</v>
      </c>
    </row>
    <row r="17" spans="4:6">
      <c r="D17" t="s">
        <v>21</v>
      </c>
      <c r="E17" t="s">
        <v>21</v>
      </c>
      <c r="F17" t="s">
        <v>21</v>
      </c>
    </row>
    <row r="18" spans="4:6">
      <c r="D18" t="s">
        <v>22</v>
      </c>
      <c r="E18" t="s">
        <v>22</v>
      </c>
      <c r="F18" t="s">
        <v>22</v>
      </c>
    </row>
    <row r="19" spans="4:6">
      <c r="D19" t="s">
        <v>23</v>
      </c>
      <c r="E19" t="s">
        <v>23</v>
      </c>
      <c r="F19" t="s">
        <v>23</v>
      </c>
    </row>
    <row r="20" spans="4:6">
      <c r="D20" t="s">
        <v>24</v>
      </c>
      <c r="E20" t="s">
        <v>24</v>
      </c>
      <c r="F20" t="s">
        <v>24</v>
      </c>
    </row>
    <row r="21" spans="4:6">
      <c r="D21" t="s">
        <v>25</v>
      </c>
      <c r="E21" t="s">
        <v>25</v>
      </c>
      <c r="F21" t="s">
        <v>25</v>
      </c>
    </row>
    <row r="22" spans="4:6">
      <c r="D22" t="s">
        <v>26</v>
      </c>
      <c r="E22" t="s">
        <v>26</v>
      </c>
      <c r="F22" t="s">
        <v>26</v>
      </c>
    </row>
    <row r="23" spans="4:6">
      <c r="D23" t="s">
        <v>27</v>
      </c>
      <c r="E23" t="s">
        <v>27</v>
      </c>
      <c r="F23" t="s">
        <v>27</v>
      </c>
    </row>
    <row r="24" spans="4:6">
      <c r="D24" t="s">
        <v>28</v>
      </c>
      <c r="E24" t="s">
        <v>28</v>
      </c>
      <c r="F24" t="s">
        <v>28</v>
      </c>
    </row>
    <row r="25" spans="4:6">
      <c r="D25" t="s">
        <v>29</v>
      </c>
      <c r="E25" t="s">
        <v>29</v>
      </c>
      <c r="F25" t="s">
        <v>29</v>
      </c>
    </row>
    <row r="26" spans="4:6">
      <c r="D26" t="s">
        <v>30</v>
      </c>
      <c r="E26" t="s">
        <v>30</v>
      </c>
      <c r="F26" t="s">
        <v>30</v>
      </c>
    </row>
    <row r="27" spans="4:6">
      <c r="D27" t="s">
        <v>31</v>
      </c>
      <c r="E27" t="s">
        <v>31</v>
      </c>
      <c r="F27" t="s">
        <v>31</v>
      </c>
    </row>
    <row r="28" spans="4:6">
      <c r="D28" t="s">
        <v>32</v>
      </c>
      <c r="E28" t="s">
        <v>32</v>
      </c>
      <c r="F28" t="s">
        <v>32</v>
      </c>
    </row>
    <row r="29" spans="4:6">
      <c r="D29" t="s">
        <v>33</v>
      </c>
      <c r="E29" t="s">
        <v>33</v>
      </c>
      <c r="F29" t="s">
        <v>33</v>
      </c>
    </row>
    <row r="30" spans="4:6">
      <c r="D30" t="s">
        <v>34</v>
      </c>
      <c r="E30" t="s">
        <v>34</v>
      </c>
      <c r="F30" t="s">
        <v>34</v>
      </c>
    </row>
    <row r="31" spans="4:6">
      <c r="D31" t="s">
        <v>35</v>
      </c>
      <c r="E31" t="s">
        <v>35</v>
      </c>
      <c r="F31" t="s">
        <v>35</v>
      </c>
    </row>
    <row r="32" spans="4:6">
      <c r="D32" t="s">
        <v>36</v>
      </c>
      <c r="E32" t="s">
        <v>36</v>
      </c>
      <c r="F32" t="s">
        <v>36</v>
      </c>
    </row>
    <row r="33" spans="4:6">
      <c r="D33" t="s">
        <v>37</v>
      </c>
      <c r="E33" t="s">
        <v>37</v>
      </c>
      <c r="F33" t="s">
        <v>37</v>
      </c>
    </row>
    <row r="34" spans="4:6">
      <c r="D34" t="s">
        <v>38</v>
      </c>
      <c r="E34" t="s">
        <v>38</v>
      </c>
      <c r="F34" t="s">
        <v>38</v>
      </c>
    </row>
    <row r="35" spans="4:6">
      <c r="D35" t="s">
        <v>39</v>
      </c>
      <c r="E35" t="s">
        <v>39</v>
      </c>
      <c r="F35" t="s">
        <v>39</v>
      </c>
    </row>
    <row r="36" spans="4:6">
      <c r="D36" t="s">
        <v>40</v>
      </c>
      <c r="E36" t="s">
        <v>40</v>
      </c>
      <c r="F36" t="s">
        <v>40</v>
      </c>
    </row>
    <row r="37" spans="4:6">
      <c r="D37" t="s">
        <v>41</v>
      </c>
      <c r="E37" t="s">
        <v>41</v>
      </c>
      <c r="F37" t="s">
        <v>41</v>
      </c>
    </row>
    <row r="38" spans="4:6">
      <c r="D38" t="s">
        <v>42</v>
      </c>
      <c r="E38" t="s">
        <v>42</v>
      </c>
      <c r="F38" t="s">
        <v>42</v>
      </c>
    </row>
    <row r="39" spans="4:6">
      <c r="D39" t="s">
        <v>43</v>
      </c>
      <c r="E39" t="s">
        <v>43</v>
      </c>
      <c r="F39" t="s">
        <v>43</v>
      </c>
    </row>
    <row r="40" spans="4:6">
      <c r="D40" t="s">
        <v>44</v>
      </c>
      <c r="E40" t="s">
        <v>44</v>
      </c>
      <c r="F40" t="s">
        <v>44</v>
      </c>
    </row>
    <row r="41" spans="4:6">
      <c r="D41" t="s">
        <v>45</v>
      </c>
      <c r="E41" t="s">
        <v>45</v>
      </c>
      <c r="F41" t="s">
        <v>45</v>
      </c>
    </row>
    <row r="42" spans="4:6">
      <c r="D42" t="s">
        <v>46</v>
      </c>
      <c r="E42" t="s">
        <v>46</v>
      </c>
      <c r="F42" t="s">
        <v>46</v>
      </c>
    </row>
    <row r="43" spans="4:6">
      <c r="D43" t="s">
        <v>47</v>
      </c>
      <c r="E43" t="s">
        <v>47</v>
      </c>
      <c r="F43" t="s">
        <v>47</v>
      </c>
    </row>
    <row r="44" spans="4:6">
      <c r="D44" t="s">
        <v>48</v>
      </c>
      <c r="E44" t="s">
        <v>48</v>
      </c>
      <c r="F44" t="s">
        <v>48</v>
      </c>
    </row>
    <row r="45" spans="4:6">
      <c r="D45" t="s">
        <v>49</v>
      </c>
      <c r="E45" t="s">
        <v>49</v>
      </c>
      <c r="F45" t="s">
        <v>49</v>
      </c>
    </row>
    <row r="46" spans="4:6">
      <c r="D46" t="s">
        <v>50</v>
      </c>
      <c r="E46" t="s">
        <v>50</v>
      </c>
      <c r="F46" t="s">
        <v>50</v>
      </c>
    </row>
    <row r="47" spans="4:6">
      <c r="D47" t="s">
        <v>51</v>
      </c>
      <c r="E47" t="s">
        <v>51</v>
      </c>
      <c r="F47" t="s">
        <v>51</v>
      </c>
    </row>
    <row r="48" spans="4:6">
      <c r="D48" t="s">
        <v>52</v>
      </c>
      <c r="E48" t="s">
        <v>52</v>
      </c>
      <c r="F48" t="s">
        <v>52</v>
      </c>
    </row>
    <row r="49" spans="4:6">
      <c r="D49" t="s">
        <v>53</v>
      </c>
      <c r="E49" t="s">
        <v>53</v>
      </c>
      <c r="F49" t="s">
        <v>53</v>
      </c>
    </row>
    <row r="50" spans="4:6">
      <c r="D50" t="s">
        <v>54</v>
      </c>
      <c r="E50" t="s">
        <v>54</v>
      </c>
      <c r="F50" t="s">
        <v>54</v>
      </c>
    </row>
    <row r="51" spans="4:6">
      <c r="D51" t="s">
        <v>55</v>
      </c>
      <c r="E51" t="s">
        <v>55</v>
      </c>
      <c r="F51" t="s">
        <v>55</v>
      </c>
    </row>
    <row r="52" spans="4:6">
      <c r="D52" t="s">
        <v>56</v>
      </c>
      <c r="E52" t="s">
        <v>56</v>
      </c>
      <c r="F52" t="s">
        <v>56</v>
      </c>
    </row>
    <row r="53" spans="4:6">
      <c r="D53" t="s">
        <v>57</v>
      </c>
      <c r="E53" t="s">
        <v>57</v>
      </c>
      <c r="F53" t="s">
        <v>57</v>
      </c>
    </row>
    <row r="54" spans="4:6">
      <c r="D54" t="s">
        <v>58</v>
      </c>
      <c r="E54" t="s">
        <v>58</v>
      </c>
      <c r="F54" t="s">
        <v>58</v>
      </c>
    </row>
    <row r="55" spans="4:6">
      <c r="D55" t="s">
        <v>59</v>
      </c>
      <c r="E55" t="s">
        <v>59</v>
      </c>
      <c r="F55" t="s">
        <v>59</v>
      </c>
    </row>
    <row r="56" spans="4:6">
      <c r="D56" t="s">
        <v>60</v>
      </c>
      <c r="E56" t="s">
        <v>60</v>
      </c>
      <c r="F56" t="s">
        <v>60</v>
      </c>
    </row>
    <row r="57" spans="4:6">
      <c r="D57" t="s">
        <v>61</v>
      </c>
      <c r="E57" t="s">
        <v>61</v>
      </c>
      <c r="F57" t="s">
        <v>61</v>
      </c>
    </row>
    <row r="58" spans="4:6">
      <c r="D58" t="s">
        <v>62</v>
      </c>
      <c r="E58" t="s">
        <v>62</v>
      </c>
      <c r="F58" t="s">
        <v>62</v>
      </c>
    </row>
    <row r="59" spans="4:6">
      <c r="D59" t="s">
        <v>63</v>
      </c>
      <c r="E59" t="s">
        <v>63</v>
      </c>
      <c r="F59" t="s">
        <v>63</v>
      </c>
    </row>
    <row r="60" spans="4:6">
      <c r="D60" t="s">
        <v>64</v>
      </c>
      <c r="E60" t="s">
        <v>64</v>
      </c>
      <c r="F60" t="s">
        <v>64</v>
      </c>
    </row>
    <row r="61" spans="4:6">
      <c r="D61" t="s">
        <v>65</v>
      </c>
      <c r="E61" t="s">
        <v>65</v>
      </c>
      <c r="F61" t="s">
        <v>65</v>
      </c>
    </row>
    <row r="62" spans="4:6">
      <c r="D62" t="s">
        <v>66</v>
      </c>
      <c r="E62" t="s">
        <v>66</v>
      </c>
      <c r="F62" t="s">
        <v>66</v>
      </c>
    </row>
    <row r="63" spans="4:6">
      <c r="D63" t="s">
        <v>67</v>
      </c>
      <c r="E63" t="s">
        <v>67</v>
      </c>
      <c r="F63" t="s">
        <v>67</v>
      </c>
    </row>
    <row r="64" spans="4:6">
      <c r="D64" t="s">
        <v>68</v>
      </c>
      <c r="E64" t="s">
        <v>69</v>
      </c>
      <c r="F64" t="s">
        <v>68</v>
      </c>
    </row>
    <row r="65" spans="4:6">
      <c r="D65" t="s">
        <v>70</v>
      </c>
      <c r="E65" t="s">
        <v>70</v>
      </c>
      <c r="F65" t="s">
        <v>70</v>
      </c>
    </row>
    <row r="66" spans="4:6">
      <c r="D66" t="s">
        <v>71</v>
      </c>
      <c r="E66" t="s">
        <v>71</v>
      </c>
      <c r="F66" t="s">
        <v>71</v>
      </c>
    </row>
    <row r="67" spans="4:6">
      <c r="D67" t="s">
        <v>72</v>
      </c>
      <c r="E67" t="s">
        <v>72</v>
      </c>
      <c r="F67" t="s">
        <v>72</v>
      </c>
    </row>
    <row r="68" spans="4:6">
      <c r="D68" t="s">
        <v>73</v>
      </c>
      <c r="E68" t="s">
        <v>74</v>
      </c>
      <c r="F68" t="s">
        <v>73</v>
      </c>
    </row>
    <row r="69" spans="4:6">
      <c r="D69" t="s">
        <v>75</v>
      </c>
      <c r="E69" t="s">
        <v>75</v>
      </c>
      <c r="F69" t="s">
        <v>75</v>
      </c>
    </row>
    <row r="70" spans="4:6">
      <c r="D70" t="s">
        <v>76</v>
      </c>
      <c r="E70" t="s">
        <v>76</v>
      </c>
      <c r="F70" t="s">
        <v>76</v>
      </c>
    </row>
    <row r="71" spans="4:6">
      <c r="D71" t="s">
        <v>77</v>
      </c>
      <c r="E71" t="s">
        <v>77</v>
      </c>
      <c r="F71" t="s">
        <v>77</v>
      </c>
    </row>
    <row r="72" spans="4:6">
      <c r="D72" t="s">
        <v>78</v>
      </c>
      <c r="E72" t="s">
        <v>78</v>
      </c>
      <c r="F72" t="s">
        <v>78</v>
      </c>
    </row>
    <row r="73" spans="4:6">
      <c r="D73" t="s">
        <v>79</v>
      </c>
      <c r="E73" t="s">
        <v>79</v>
      </c>
      <c r="F73" t="s">
        <v>79</v>
      </c>
    </row>
    <row r="74" spans="4:6">
      <c r="D74" t="s">
        <v>80</v>
      </c>
      <c r="E74" t="s">
        <v>80</v>
      </c>
      <c r="F74" t="s">
        <v>80</v>
      </c>
    </row>
    <row r="75" spans="4:6">
      <c r="D75" t="s">
        <v>81</v>
      </c>
      <c r="E75" t="s">
        <v>81</v>
      </c>
      <c r="F75" t="s">
        <v>81</v>
      </c>
    </row>
    <row r="76" spans="4:6">
      <c r="D76" t="s">
        <v>82</v>
      </c>
      <c r="E76" t="s">
        <v>82</v>
      </c>
      <c r="F76" t="s">
        <v>82</v>
      </c>
    </row>
    <row r="77" spans="4:6">
      <c r="D77" t="s">
        <v>83</v>
      </c>
      <c r="E77" t="s">
        <v>83</v>
      </c>
      <c r="F77" t="s">
        <v>83</v>
      </c>
    </row>
    <row r="78" spans="4:6">
      <c r="D78" t="s">
        <v>84</v>
      </c>
      <c r="E78" t="s">
        <v>84</v>
      </c>
      <c r="F78" t="s">
        <v>84</v>
      </c>
    </row>
    <row r="79" spans="4:6">
      <c r="D79" t="s">
        <v>85</v>
      </c>
      <c r="E79" t="s">
        <v>85</v>
      </c>
      <c r="F79" t="s">
        <v>85</v>
      </c>
    </row>
    <row r="80" spans="4:6">
      <c r="D80" t="s">
        <v>86</v>
      </c>
      <c r="E80" t="s">
        <v>86</v>
      </c>
      <c r="F80" t="s">
        <v>86</v>
      </c>
    </row>
    <row r="81" spans="4:6">
      <c r="D81" t="s">
        <v>87</v>
      </c>
      <c r="E81" t="s">
        <v>87</v>
      </c>
      <c r="F81" t="s">
        <v>87</v>
      </c>
    </row>
    <row r="82" spans="4:6">
      <c r="D82" t="s">
        <v>88</v>
      </c>
      <c r="E82" t="s">
        <v>88</v>
      </c>
      <c r="F82" t="s">
        <v>88</v>
      </c>
    </row>
    <row r="83" spans="4:6">
      <c r="D83" t="s">
        <v>89</v>
      </c>
      <c r="E83" t="s">
        <v>89</v>
      </c>
      <c r="F83" t="s">
        <v>89</v>
      </c>
    </row>
    <row r="84" spans="4:6">
      <c r="D84" t="s">
        <v>90</v>
      </c>
      <c r="E84" t="s">
        <v>90</v>
      </c>
      <c r="F84" t="s">
        <v>90</v>
      </c>
    </row>
    <row r="85" spans="4:6">
      <c r="D85" t="s">
        <v>91</v>
      </c>
      <c r="E85" t="s">
        <v>91</v>
      </c>
      <c r="F85" t="s">
        <v>91</v>
      </c>
    </row>
    <row r="86" spans="4:6">
      <c r="D86" t="s">
        <v>92</v>
      </c>
      <c r="E86" t="s">
        <v>92</v>
      </c>
      <c r="F86" t="s">
        <v>92</v>
      </c>
    </row>
    <row r="87" spans="4:6">
      <c r="D87" t="s">
        <v>93</v>
      </c>
      <c r="E87" t="s">
        <v>93</v>
      </c>
      <c r="F87" t="s">
        <v>93</v>
      </c>
    </row>
    <row r="88" spans="4:6">
      <c r="D88" t="s">
        <v>94</v>
      </c>
      <c r="E88" t="s">
        <v>94</v>
      </c>
      <c r="F88" t="s">
        <v>94</v>
      </c>
    </row>
    <row r="89" spans="4:6">
      <c r="D89" t="s">
        <v>95</v>
      </c>
      <c r="E89" t="s">
        <v>95</v>
      </c>
      <c r="F89" t="s">
        <v>95</v>
      </c>
    </row>
    <row r="90" spans="4:6">
      <c r="D90" t="s">
        <v>96</v>
      </c>
      <c r="E90" t="s">
        <v>96</v>
      </c>
      <c r="F90" t="s">
        <v>96</v>
      </c>
    </row>
    <row r="91" spans="4:6">
      <c r="D91" t="s">
        <v>97</v>
      </c>
      <c r="E91" t="s">
        <v>97</v>
      </c>
      <c r="F91" t="s">
        <v>97</v>
      </c>
    </row>
    <row r="92" spans="4:6">
      <c r="D92" t="s">
        <v>98</v>
      </c>
      <c r="E92" t="s">
        <v>98</v>
      </c>
      <c r="F92" t="s">
        <v>98</v>
      </c>
    </row>
    <row r="93" spans="4:6">
      <c r="D93" t="s">
        <v>99</v>
      </c>
      <c r="E93" t="s">
        <v>99</v>
      </c>
      <c r="F93" t="s">
        <v>99</v>
      </c>
    </row>
    <row r="94" spans="4:6">
      <c r="D94" t="s">
        <v>100</v>
      </c>
      <c r="E94" t="s">
        <v>100</v>
      </c>
      <c r="F94" t="s">
        <v>100</v>
      </c>
    </row>
    <row r="95" spans="4:6">
      <c r="D95" t="s">
        <v>101</v>
      </c>
      <c r="E95" t="s">
        <v>101</v>
      </c>
      <c r="F95" t="s">
        <v>101</v>
      </c>
    </row>
    <row r="96" spans="4:6">
      <c r="D96" t="s">
        <v>102</v>
      </c>
      <c r="E96" t="s">
        <v>102</v>
      </c>
      <c r="F96" t="s">
        <v>102</v>
      </c>
    </row>
    <row r="97" spans="4:6">
      <c r="D97" t="s">
        <v>103</v>
      </c>
      <c r="E97" t="s">
        <v>103</v>
      </c>
      <c r="F97" t="s">
        <v>103</v>
      </c>
    </row>
    <row r="98" spans="4:6">
      <c r="D98" t="s">
        <v>104</v>
      </c>
      <c r="E98" t="s">
        <v>104</v>
      </c>
      <c r="F98" t="s">
        <v>104</v>
      </c>
    </row>
    <row r="99" spans="4:6">
      <c r="D99" t="s">
        <v>105</v>
      </c>
      <c r="E99" t="s">
        <v>105</v>
      </c>
      <c r="F99" t="s">
        <v>105</v>
      </c>
    </row>
    <row r="100" spans="4:6">
      <c r="D100" t="s">
        <v>106</v>
      </c>
      <c r="E100" t="s">
        <v>106</v>
      </c>
      <c r="F100" t="s">
        <v>106</v>
      </c>
    </row>
    <row r="101" spans="4:6">
      <c r="D101" t="s">
        <v>107</v>
      </c>
      <c r="E101" t="s">
        <v>107</v>
      </c>
      <c r="F101" t="s">
        <v>107</v>
      </c>
    </row>
    <row r="102" spans="4:6">
      <c r="D102" t="s">
        <v>108</v>
      </c>
      <c r="E102" t="s">
        <v>108</v>
      </c>
      <c r="F102" t="s">
        <v>108</v>
      </c>
    </row>
    <row r="103" spans="4:6">
      <c r="D103" t="s">
        <v>109</v>
      </c>
      <c r="E103" t="s">
        <v>109</v>
      </c>
      <c r="F103" t="s">
        <v>109</v>
      </c>
    </row>
    <row r="104" spans="4:6">
      <c r="D104" t="s">
        <v>110</v>
      </c>
      <c r="E104" t="s">
        <v>110</v>
      </c>
      <c r="F104" t="s">
        <v>110</v>
      </c>
    </row>
    <row r="105" spans="4:6">
      <c r="D105" t="s">
        <v>111</v>
      </c>
      <c r="E105" t="s">
        <v>111</v>
      </c>
      <c r="F105" t="s">
        <v>111</v>
      </c>
    </row>
    <row r="106" spans="4:6">
      <c r="D106" t="s">
        <v>112</v>
      </c>
      <c r="E106" t="s">
        <v>112</v>
      </c>
      <c r="F106" t="s">
        <v>112</v>
      </c>
    </row>
    <row r="107" spans="4:6">
      <c r="D107" t="s">
        <v>113</v>
      </c>
      <c r="E107" t="s">
        <v>113</v>
      </c>
      <c r="F107" t="s">
        <v>113</v>
      </c>
    </row>
    <row r="108" spans="4:6">
      <c r="D108" t="s">
        <v>114</v>
      </c>
      <c r="E108" t="s">
        <v>114</v>
      </c>
      <c r="F108" t="s">
        <v>114</v>
      </c>
    </row>
    <row r="109" spans="4:6">
      <c r="D109" t="s">
        <v>115</v>
      </c>
      <c r="E109" t="s">
        <v>115</v>
      </c>
    </row>
    <row r="110" spans="4:6">
      <c r="D110" t="s">
        <v>116</v>
      </c>
      <c r="E110" t="s">
        <v>116</v>
      </c>
      <c r="F110" t="s">
        <v>116</v>
      </c>
    </row>
    <row r="111" spans="4:6">
      <c r="D111" t="s">
        <v>117</v>
      </c>
      <c r="E111" t="s">
        <v>117</v>
      </c>
      <c r="F111" t="s">
        <v>117</v>
      </c>
    </row>
    <row r="112" spans="4:6">
      <c r="D112" t="s">
        <v>118</v>
      </c>
      <c r="E112" t="s">
        <v>118</v>
      </c>
      <c r="F112" t="s">
        <v>118</v>
      </c>
    </row>
    <row r="113" spans="4:6">
      <c r="D113" t="s">
        <v>119</v>
      </c>
      <c r="E113" t="s">
        <v>119</v>
      </c>
      <c r="F113" t="s">
        <v>119</v>
      </c>
    </row>
    <row r="114" spans="4:6">
      <c r="D114" t="s">
        <v>120</v>
      </c>
      <c r="E114" t="s">
        <v>120</v>
      </c>
      <c r="F114" t="s">
        <v>120</v>
      </c>
    </row>
    <row r="115" spans="4:6">
      <c r="D115" t="s">
        <v>121</v>
      </c>
      <c r="E115" t="s">
        <v>121</v>
      </c>
      <c r="F115" t="s">
        <v>121</v>
      </c>
    </row>
    <row r="116" spans="4:6">
      <c r="D116" t="s">
        <v>122</v>
      </c>
      <c r="E116" t="s">
        <v>122</v>
      </c>
      <c r="F116" t="s">
        <v>122</v>
      </c>
    </row>
    <row r="117" spans="4:6">
      <c r="D117" t="s">
        <v>123</v>
      </c>
      <c r="E117" t="s">
        <v>123</v>
      </c>
      <c r="F117" t="s">
        <v>123</v>
      </c>
    </row>
    <row r="118" spans="4:6">
      <c r="D118" t="s">
        <v>124</v>
      </c>
      <c r="E118" t="s">
        <v>124</v>
      </c>
      <c r="F118" t="s">
        <v>124</v>
      </c>
    </row>
    <row r="119" spans="4:6">
      <c r="D119" t="s">
        <v>125</v>
      </c>
      <c r="E119" t="s">
        <v>125</v>
      </c>
      <c r="F119" t="s">
        <v>125</v>
      </c>
    </row>
    <row r="120" spans="4:6">
      <c r="D120" t="s">
        <v>126</v>
      </c>
      <c r="E120" t="s">
        <v>126</v>
      </c>
      <c r="F120" t="s">
        <v>126</v>
      </c>
    </row>
    <row r="121" spans="4:6">
      <c r="D121" t="s">
        <v>127</v>
      </c>
      <c r="E121" t="s">
        <v>127</v>
      </c>
      <c r="F121" t="s">
        <v>127</v>
      </c>
    </row>
    <row r="122" spans="4:6">
      <c r="D122" t="s">
        <v>128</v>
      </c>
      <c r="E122" t="s">
        <v>128</v>
      </c>
      <c r="F122" t="s">
        <v>128</v>
      </c>
    </row>
    <row r="123" spans="4:6">
      <c r="D123" t="s">
        <v>129</v>
      </c>
      <c r="E123" t="s">
        <v>129</v>
      </c>
      <c r="F123" t="s">
        <v>129</v>
      </c>
    </row>
    <row r="124" spans="4:6">
      <c r="D124" t="s">
        <v>130</v>
      </c>
      <c r="E124" t="s">
        <v>130</v>
      </c>
      <c r="F124" t="s">
        <v>130</v>
      </c>
    </row>
    <row r="125" spans="4:6">
      <c r="D125" t="s">
        <v>131</v>
      </c>
      <c r="E125" t="s">
        <v>131</v>
      </c>
      <c r="F125" t="s">
        <v>131</v>
      </c>
    </row>
    <row r="126" spans="4:6">
      <c r="D126" t="s">
        <v>132</v>
      </c>
      <c r="E126" t="s">
        <v>132</v>
      </c>
      <c r="F126" t="s">
        <v>132</v>
      </c>
    </row>
    <row r="127" spans="4:6">
      <c r="D127" t="s">
        <v>133</v>
      </c>
      <c r="E127" t="s">
        <v>133</v>
      </c>
      <c r="F127" t="s">
        <v>133</v>
      </c>
    </row>
    <row r="128" spans="4:6">
      <c r="D128" t="s">
        <v>134</v>
      </c>
      <c r="E128" t="s">
        <v>134</v>
      </c>
      <c r="F128" t="s">
        <v>134</v>
      </c>
    </row>
    <row r="129" spans="4:6">
      <c r="D129" t="s">
        <v>135</v>
      </c>
      <c r="E129" t="s">
        <v>136</v>
      </c>
      <c r="F129" t="s">
        <v>135</v>
      </c>
    </row>
    <row r="130" spans="4:6">
      <c r="D130" t="s">
        <v>137</v>
      </c>
      <c r="E130" t="s">
        <v>137</v>
      </c>
      <c r="F130" t="s">
        <v>137</v>
      </c>
    </row>
    <row r="131" spans="4:6">
      <c r="D131" t="s">
        <v>138</v>
      </c>
      <c r="E131" t="s">
        <v>138</v>
      </c>
      <c r="F131" t="s">
        <v>138</v>
      </c>
    </row>
    <row r="132" spans="4:6">
      <c r="D132" t="s">
        <v>139</v>
      </c>
      <c r="E132" t="s">
        <v>139</v>
      </c>
      <c r="F132" t="s">
        <v>139</v>
      </c>
    </row>
    <row r="133" spans="4:6">
      <c r="D133" t="s">
        <v>140</v>
      </c>
      <c r="E133" t="s">
        <v>140</v>
      </c>
      <c r="F133" t="s">
        <v>140</v>
      </c>
    </row>
    <row r="134" spans="4:6">
      <c r="D134" t="s">
        <v>141</v>
      </c>
      <c r="E134" t="s">
        <v>141</v>
      </c>
      <c r="F134" t="s">
        <v>141</v>
      </c>
    </row>
    <row r="135" spans="4:6">
      <c r="D135" t="s">
        <v>142</v>
      </c>
      <c r="E135" t="s">
        <v>142</v>
      </c>
      <c r="F135" t="s">
        <v>142</v>
      </c>
    </row>
    <row r="136" spans="4:6">
      <c r="D136" t="s">
        <v>143</v>
      </c>
      <c r="E136" t="s">
        <v>143</v>
      </c>
      <c r="F136" t="s">
        <v>143</v>
      </c>
    </row>
    <row r="137" spans="4:6">
      <c r="D137" t="s">
        <v>144</v>
      </c>
      <c r="E137" t="s">
        <v>144</v>
      </c>
      <c r="F137" t="s">
        <v>144</v>
      </c>
    </row>
    <row r="138" spans="4:6">
      <c r="D138" t="s">
        <v>145</v>
      </c>
      <c r="E138" t="s">
        <v>145</v>
      </c>
      <c r="F138" t="s">
        <v>145</v>
      </c>
    </row>
    <row r="139" spans="4:6">
      <c r="D139" t="s">
        <v>146</v>
      </c>
      <c r="E139" t="s">
        <v>146</v>
      </c>
      <c r="F139" t="s">
        <v>146</v>
      </c>
    </row>
    <row r="140" spans="4:6">
      <c r="D140" t="s">
        <v>147</v>
      </c>
      <c r="E140" t="s">
        <v>147</v>
      </c>
      <c r="F140" t="s">
        <v>147</v>
      </c>
    </row>
    <row r="141" spans="4:6">
      <c r="D141" t="s">
        <v>148</v>
      </c>
      <c r="E141" t="s">
        <v>148</v>
      </c>
      <c r="F141" t="s">
        <v>148</v>
      </c>
    </row>
    <row r="142" spans="4:6">
      <c r="D142" t="s">
        <v>149</v>
      </c>
      <c r="E142" t="s">
        <v>149</v>
      </c>
      <c r="F142" t="s">
        <v>149</v>
      </c>
    </row>
    <row r="143" spans="4:6">
      <c r="D143" t="s">
        <v>150</v>
      </c>
      <c r="E143" t="s">
        <v>150</v>
      </c>
      <c r="F143" t="s">
        <v>150</v>
      </c>
    </row>
    <row r="144" spans="4:6">
      <c r="D144" t="s">
        <v>151</v>
      </c>
      <c r="E144" t="s">
        <v>151</v>
      </c>
      <c r="F144" t="s">
        <v>151</v>
      </c>
    </row>
    <row r="145" spans="4:6">
      <c r="D145" t="s">
        <v>152</v>
      </c>
      <c r="E145" t="s">
        <v>152</v>
      </c>
    </row>
    <row r="146" spans="4:6">
      <c r="D146" t="s">
        <v>153</v>
      </c>
      <c r="E146" t="s">
        <v>153</v>
      </c>
    </row>
    <row r="147" spans="4:6">
      <c r="D147" t="s">
        <v>154</v>
      </c>
      <c r="E147" t="s">
        <v>154</v>
      </c>
      <c r="F147" t="s">
        <v>154</v>
      </c>
    </row>
    <row r="148" spans="4:6">
      <c r="D148" t="s">
        <v>155</v>
      </c>
      <c r="E148" t="s">
        <v>155</v>
      </c>
      <c r="F148" t="s">
        <v>155</v>
      </c>
    </row>
    <row r="149" spans="4:6">
      <c r="D149" t="s">
        <v>156</v>
      </c>
      <c r="E149" t="s">
        <v>156</v>
      </c>
      <c r="F149" t="s">
        <v>156</v>
      </c>
    </row>
    <row r="150" spans="4:6">
      <c r="D150" t="s">
        <v>157</v>
      </c>
      <c r="E150" t="s">
        <v>157</v>
      </c>
      <c r="F150" t="s">
        <v>157</v>
      </c>
    </row>
    <row r="151" spans="4:6">
      <c r="D151" t="s">
        <v>158</v>
      </c>
      <c r="E151" t="s">
        <v>158</v>
      </c>
      <c r="F151" t="s">
        <v>158</v>
      </c>
    </row>
    <row r="152" spans="4:6">
      <c r="D152" t="s">
        <v>159</v>
      </c>
      <c r="E152" t="s">
        <v>159</v>
      </c>
      <c r="F152" t="s">
        <v>159</v>
      </c>
    </row>
    <row r="153" spans="4:6">
      <c r="D153" t="s">
        <v>160</v>
      </c>
      <c r="E153" t="s">
        <v>160</v>
      </c>
      <c r="F153" t="s">
        <v>160</v>
      </c>
    </row>
    <row r="154" spans="4:6">
      <c r="D154" t="s">
        <v>161</v>
      </c>
      <c r="E154" t="s">
        <v>161</v>
      </c>
      <c r="F154" t="s">
        <v>161</v>
      </c>
    </row>
    <row r="155" spans="4:6">
      <c r="D155" t="s">
        <v>162</v>
      </c>
      <c r="E155" t="s">
        <v>162</v>
      </c>
      <c r="F155" t="s">
        <v>162</v>
      </c>
    </row>
    <row r="156" spans="4:6">
      <c r="D156" t="s">
        <v>163</v>
      </c>
      <c r="E156" t="s">
        <v>163</v>
      </c>
      <c r="F156" t="s">
        <v>163</v>
      </c>
    </row>
    <row r="157" spans="4:6">
      <c r="D157" t="s">
        <v>164</v>
      </c>
      <c r="E157" t="s">
        <v>164</v>
      </c>
      <c r="F157" t="s">
        <v>164</v>
      </c>
    </row>
    <row r="158" spans="4:6">
      <c r="D158" t="s">
        <v>165</v>
      </c>
      <c r="E158" t="s">
        <v>165</v>
      </c>
      <c r="F158" t="s">
        <v>165</v>
      </c>
    </row>
    <row r="159" spans="4:6">
      <c r="D159" t="s">
        <v>166</v>
      </c>
      <c r="E159" t="s">
        <v>166</v>
      </c>
      <c r="F159" t="s">
        <v>166</v>
      </c>
    </row>
    <row r="160" spans="4:6">
      <c r="D160" t="s">
        <v>167</v>
      </c>
    </row>
    <row r="161" spans="4:6">
      <c r="D161" t="s">
        <v>168</v>
      </c>
      <c r="E161" t="s">
        <v>168</v>
      </c>
      <c r="F161" t="s">
        <v>168</v>
      </c>
    </row>
    <row r="162" spans="4:6">
      <c r="D162" t="s">
        <v>169</v>
      </c>
      <c r="E162" t="s">
        <v>170</v>
      </c>
      <c r="F162" t="s">
        <v>169</v>
      </c>
    </row>
    <row r="163" spans="4:6">
      <c r="D163" t="s">
        <v>171</v>
      </c>
      <c r="E163" t="s">
        <v>171</v>
      </c>
    </row>
    <row r="164" spans="4:6">
      <c r="D164" t="s">
        <v>172</v>
      </c>
      <c r="E164" t="s">
        <v>172</v>
      </c>
      <c r="F164" t="s">
        <v>172</v>
      </c>
    </row>
    <row r="165" spans="4:6">
      <c r="D165" t="s">
        <v>173</v>
      </c>
      <c r="E165" t="s">
        <v>173</v>
      </c>
      <c r="F165" t="s">
        <v>173</v>
      </c>
    </row>
    <row r="166" spans="4:6">
      <c r="D166" t="s">
        <v>174</v>
      </c>
      <c r="E166" t="s">
        <v>175</v>
      </c>
      <c r="F166" t="s">
        <v>174</v>
      </c>
    </row>
    <row r="167" spans="4:6">
      <c r="D167" t="s">
        <v>176</v>
      </c>
      <c r="E167" t="s">
        <v>176</v>
      </c>
      <c r="F167" t="s">
        <v>176</v>
      </c>
    </row>
    <row r="168" spans="4:6">
      <c r="D168" t="s">
        <v>177</v>
      </c>
      <c r="E168" t="s">
        <v>177</v>
      </c>
      <c r="F168" t="s">
        <v>177</v>
      </c>
    </row>
    <row r="169" spans="4:6">
      <c r="D169" t="s">
        <v>178</v>
      </c>
      <c r="E169" t="s">
        <v>178</v>
      </c>
      <c r="F169" t="s">
        <v>178</v>
      </c>
    </row>
    <row r="170" spans="4:6">
      <c r="D170" t="s">
        <v>179</v>
      </c>
    </row>
    <row r="171" spans="4:6">
      <c r="D171" t="s">
        <v>180</v>
      </c>
      <c r="E171" t="s">
        <v>180</v>
      </c>
      <c r="F171" t="s">
        <v>180</v>
      </c>
    </row>
    <row r="172" spans="4:6">
      <c r="D172" t="s">
        <v>181</v>
      </c>
    </row>
    <row r="173" spans="4:6">
      <c r="D173" t="s">
        <v>182</v>
      </c>
    </row>
    <row r="174" spans="4:6">
      <c r="D174" t="s">
        <v>183</v>
      </c>
      <c r="E174" t="s">
        <v>183</v>
      </c>
      <c r="F174" t="s">
        <v>183</v>
      </c>
    </row>
    <row r="175" spans="4:6">
      <c r="D175" t="s">
        <v>184</v>
      </c>
      <c r="E175" t="s">
        <v>184</v>
      </c>
      <c r="F175" t="s">
        <v>184</v>
      </c>
    </row>
    <row r="176" spans="4:6">
      <c r="D176" t="s">
        <v>185</v>
      </c>
    </row>
    <row r="177" spans="4:6">
      <c r="D177" t="s">
        <v>186</v>
      </c>
      <c r="E177" t="s">
        <v>186</v>
      </c>
      <c r="F177" t="s">
        <v>186</v>
      </c>
    </row>
    <row r="178" spans="4:6">
      <c r="D178" t="s">
        <v>187</v>
      </c>
      <c r="E178" t="s">
        <v>187</v>
      </c>
    </row>
    <row r="179" spans="4:6">
      <c r="D179" t="s">
        <v>188</v>
      </c>
      <c r="E179" t="s">
        <v>188</v>
      </c>
      <c r="F179" t="s">
        <v>188</v>
      </c>
    </row>
    <row r="180" spans="4:6">
      <c r="D180" t="s">
        <v>189</v>
      </c>
      <c r="E180" t="s">
        <v>189</v>
      </c>
      <c r="F180" t="s">
        <v>189</v>
      </c>
    </row>
    <row r="181" spans="4:6">
      <c r="D181" t="s">
        <v>190</v>
      </c>
      <c r="E181" t="s">
        <v>190</v>
      </c>
      <c r="F181" t="s">
        <v>190</v>
      </c>
    </row>
    <row r="182" spans="4:6">
      <c r="D182" t="s">
        <v>191</v>
      </c>
      <c r="E182" t="s">
        <v>192</v>
      </c>
      <c r="F182" t="s">
        <v>191</v>
      </c>
    </row>
    <row r="183" spans="4:6">
      <c r="D183" t="s">
        <v>193</v>
      </c>
      <c r="E183" t="s">
        <v>193</v>
      </c>
      <c r="F183" t="s">
        <v>193</v>
      </c>
    </row>
    <row r="184" spans="4:6">
      <c r="D184" t="s">
        <v>194</v>
      </c>
    </row>
    <row r="185" spans="4:6">
      <c r="D185" t="s">
        <v>195</v>
      </c>
      <c r="E185" t="s">
        <v>195</v>
      </c>
      <c r="F185" t="s">
        <v>195</v>
      </c>
    </row>
    <row r="186" spans="4:6">
      <c r="D186" t="s">
        <v>196</v>
      </c>
      <c r="E186" t="s">
        <v>196</v>
      </c>
    </row>
    <row r="187" spans="4:6">
      <c r="D187" t="s">
        <v>197</v>
      </c>
    </row>
    <row r="188" spans="4:6">
      <c r="D188" t="s">
        <v>198</v>
      </c>
      <c r="E188" t="s">
        <v>198</v>
      </c>
    </row>
    <row r="189" spans="4:6">
      <c r="D189" t="s">
        <v>199</v>
      </c>
    </row>
    <row r="190" spans="4:6">
      <c r="D190" t="s">
        <v>200</v>
      </c>
      <c r="E190" t="s">
        <v>200</v>
      </c>
      <c r="F190" t="s">
        <v>200</v>
      </c>
    </row>
    <row r="191" spans="4:6">
      <c r="D191" t="s">
        <v>201</v>
      </c>
    </row>
    <row r="192" spans="4:6">
      <c r="D192" t="s">
        <v>202</v>
      </c>
      <c r="E192" t="s">
        <v>202</v>
      </c>
    </row>
    <row r="193" spans="4:6">
      <c r="D193" t="s">
        <v>203</v>
      </c>
      <c r="E193" t="s">
        <v>203</v>
      </c>
    </row>
    <row r="194" spans="4:6">
      <c r="D194" t="s">
        <v>204</v>
      </c>
      <c r="E194" t="s">
        <v>204</v>
      </c>
    </row>
    <row r="195" spans="4:6">
      <c r="D195" t="s">
        <v>205</v>
      </c>
      <c r="E195" t="s">
        <v>205</v>
      </c>
    </row>
    <row r="196" spans="4:6">
      <c r="D196" t="s">
        <v>206</v>
      </c>
    </row>
    <row r="197" spans="4:6">
      <c r="D197" t="s">
        <v>207</v>
      </c>
      <c r="E197" t="s">
        <v>207</v>
      </c>
    </row>
    <row r="198" spans="4:6">
      <c r="D198" t="s">
        <v>208</v>
      </c>
    </row>
    <row r="199" spans="4:6">
      <c r="D199" t="s">
        <v>209</v>
      </c>
      <c r="E199" t="s">
        <v>209</v>
      </c>
      <c r="F199" t="s">
        <v>209</v>
      </c>
    </row>
    <row r="200" spans="4:6">
      <c r="D200" t="s">
        <v>210</v>
      </c>
    </row>
    <row r="201" spans="4:6">
      <c r="D201" t="s">
        <v>211</v>
      </c>
      <c r="E201" t="s">
        <v>211</v>
      </c>
      <c r="F201" t="s">
        <v>211</v>
      </c>
    </row>
    <row r="202" spans="4:6">
      <c r="D202" t="s">
        <v>212</v>
      </c>
      <c r="E202" t="s">
        <v>212</v>
      </c>
    </row>
    <row r="203" spans="4:6">
      <c r="D203" t="s">
        <v>213</v>
      </c>
      <c r="E203" t="s">
        <v>213</v>
      </c>
    </row>
    <row r="204" spans="4:6">
      <c r="D204" t="s">
        <v>214</v>
      </c>
      <c r="E204" t="s">
        <v>214</v>
      </c>
    </row>
    <row r="205" spans="4:6">
      <c r="D205" t="s">
        <v>215</v>
      </c>
    </row>
    <row r="206" spans="4:6">
      <c r="D206" t="s">
        <v>216</v>
      </c>
      <c r="E206" t="s">
        <v>216</v>
      </c>
    </row>
    <row r="207" spans="4:6">
      <c r="D207" t="s">
        <v>217</v>
      </c>
      <c r="E207" t="s">
        <v>217</v>
      </c>
      <c r="F207" t="s">
        <v>217</v>
      </c>
    </row>
    <row r="208" spans="4:6">
      <c r="D208" t="s">
        <v>218</v>
      </c>
      <c r="E208" t="s">
        <v>218</v>
      </c>
    </row>
    <row r="209" spans="4:6">
      <c r="D209" t="s">
        <v>219</v>
      </c>
      <c r="E209" t="s">
        <v>219</v>
      </c>
    </row>
    <row r="210" spans="4:6">
      <c r="D210" t="s">
        <v>220</v>
      </c>
      <c r="E210" t="s">
        <v>221</v>
      </c>
      <c r="F210" t="s">
        <v>220</v>
      </c>
    </row>
    <row r="211" spans="4:6">
      <c r="D211" t="s">
        <v>222</v>
      </c>
      <c r="E211" t="s">
        <v>222</v>
      </c>
    </row>
    <row r="212" spans="4:6">
      <c r="D212" t="s">
        <v>223</v>
      </c>
      <c r="E212" t="s">
        <v>223</v>
      </c>
      <c r="F212" t="s">
        <v>223</v>
      </c>
    </row>
    <row r="213" spans="4:6">
      <c r="D213" t="s">
        <v>224</v>
      </c>
      <c r="E213" t="s">
        <v>224</v>
      </c>
    </row>
    <row r="214" spans="4:6">
      <c r="D214" t="s">
        <v>225</v>
      </c>
      <c r="E214" t="s">
        <v>225</v>
      </c>
    </row>
    <row r="215" spans="4:6">
      <c r="D215" t="s">
        <v>226</v>
      </c>
      <c r="E215" t="s">
        <v>226</v>
      </c>
    </row>
    <row r="216" spans="4:6">
      <c r="D216" t="s">
        <v>227</v>
      </c>
    </row>
    <row r="217" spans="4:6">
      <c r="D217" t="s">
        <v>228</v>
      </c>
      <c r="E217" t="s">
        <v>228</v>
      </c>
    </row>
    <row r="218" spans="4:6">
      <c r="D218" t="s">
        <v>229</v>
      </c>
      <c r="E218" t="s">
        <v>229</v>
      </c>
    </row>
    <row r="219" spans="4:6">
      <c r="D219" t="s">
        <v>230</v>
      </c>
      <c r="E219" t="s">
        <v>230</v>
      </c>
    </row>
    <row r="220" spans="4:6">
      <c r="D220" t="s">
        <v>231</v>
      </c>
      <c r="E220" t="s">
        <v>231</v>
      </c>
      <c r="F220" t="s">
        <v>231</v>
      </c>
    </row>
    <row r="221" spans="4:6">
      <c r="D221" t="s">
        <v>232</v>
      </c>
      <c r="E221" t="s">
        <v>232</v>
      </c>
      <c r="F221" t="s">
        <v>232</v>
      </c>
    </row>
    <row r="222" spans="4:6">
      <c r="D222" t="s">
        <v>233</v>
      </c>
      <c r="E222" t="s">
        <v>234</v>
      </c>
      <c r="F222" t="s">
        <v>233</v>
      </c>
    </row>
    <row r="223" spans="4:6">
      <c r="D223" t="s">
        <v>235</v>
      </c>
      <c r="E223" t="s">
        <v>235</v>
      </c>
    </row>
    <row r="224" spans="4:6">
      <c r="D224" t="s">
        <v>236</v>
      </c>
      <c r="E224" t="s">
        <v>236</v>
      </c>
    </row>
    <row r="225" spans="4:6">
      <c r="D225" t="s">
        <v>237</v>
      </c>
    </row>
    <row r="226" spans="4:6">
      <c r="D226" t="s">
        <v>238</v>
      </c>
      <c r="F226" t="s">
        <v>238</v>
      </c>
    </row>
    <row r="227" spans="4:6">
      <c r="D227" t="s">
        <v>239</v>
      </c>
      <c r="E227" t="s">
        <v>239</v>
      </c>
      <c r="F227" t="s">
        <v>239</v>
      </c>
    </row>
    <row r="228" spans="4:6">
      <c r="D228" t="s">
        <v>240</v>
      </c>
      <c r="E228" t="s">
        <v>240</v>
      </c>
    </row>
    <row r="229" spans="4:6">
      <c r="D229" t="s">
        <v>241</v>
      </c>
      <c r="E229" t="s">
        <v>241</v>
      </c>
    </row>
    <row r="230" spans="4:6">
      <c r="D230" t="s">
        <v>242</v>
      </c>
      <c r="E230" t="s">
        <v>242</v>
      </c>
    </row>
    <row r="231" spans="4:6">
      <c r="D231" t="s">
        <v>243</v>
      </c>
      <c r="E231" t="s">
        <v>243</v>
      </c>
    </row>
    <row r="232" spans="4:6">
      <c r="D232" t="s">
        <v>244</v>
      </c>
      <c r="E232" t="s">
        <v>244</v>
      </c>
      <c r="F232" t="s">
        <v>244</v>
      </c>
    </row>
    <row r="233" spans="4:6">
      <c r="D233" t="s">
        <v>245</v>
      </c>
      <c r="E233" t="s">
        <v>245</v>
      </c>
    </row>
    <row r="234" spans="4:6">
      <c r="D234" t="s">
        <v>246</v>
      </c>
      <c r="E234" t="s">
        <v>246</v>
      </c>
    </row>
    <row r="235" spans="4:6">
      <c r="D235" t="s">
        <v>247</v>
      </c>
      <c r="E235" t="s">
        <v>247</v>
      </c>
      <c r="F235" t="s">
        <v>247</v>
      </c>
    </row>
    <row r="236" spans="4:6">
      <c r="D236" t="s">
        <v>248</v>
      </c>
      <c r="E236" t="s">
        <v>248</v>
      </c>
    </row>
    <row r="237" spans="4:6">
      <c r="D237" t="s">
        <v>249</v>
      </c>
      <c r="E237" t="s">
        <v>249</v>
      </c>
    </row>
    <row r="238" spans="4:6">
      <c r="D238" t="s">
        <v>250</v>
      </c>
      <c r="E238" t="s">
        <v>250</v>
      </c>
    </row>
    <row r="239" spans="4:6">
      <c r="D239" t="s">
        <v>251</v>
      </c>
    </row>
    <row r="240" spans="4:6">
      <c r="D240" t="s">
        <v>252</v>
      </c>
      <c r="E240" t="s">
        <v>252</v>
      </c>
    </row>
    <row r="241" spans="4:6">
      <c r="D241" t="s">
        <v>253</v>
      </c>
      <c r="E241" t="s">
        <v>253</v>
      </c>
    </row>
    <row r="242" spans="4:6">
      <c r="D242" t="s">
        <v>254</v>
      </c>
      <c r="E242" t="s">
        <v>254</v>
      </c>
    </row>
    <row r="243" spans="4:6">
      <c r="D243" t="s">
        <v>255</v>
      </c>
      <c r="F243" t="s">
        <v>255</v>
      </c>
    </row>
    <row r="244" spans="4:6">
      <c r="D244" t="s">
        <v>256</v>
      </c>
      <c r="E244" t="s">
        <v>256</v>
      </c>
      <c r="F244" t="s">
        <v>256</v>
      </c>
    </row>
    <row r="245" spans="4:6">
      <c r="D245" t="s">
        <v>257</v>
      </c>
      <c r="E245" t="s">
        <v>257</v>
      </c>
    </row>
    <row r="246" spans="4:6">
      <c r="D246" t="s">
        <v>258</v>
      </c>
    </row>
    <row r="247" spans="4:6">
      <c r="D247" t="s">
        <v>259</v>
      </c>
      <c r="E247" t="s">
        <v>259</v>
      </c>
      <c r="F247" t="s">
        <v>259</v>
      </c>
    </row>
    <row r="248" spans="4:6">
      <c r="D248" t="s">
        <v>260</v>
      </c>
    </row>
    <row r="249" spans="4:6">
      <c r="D249" t="s">
        <v>261</v>
      </c>
      <c r="E249" t="s">
        <v>261</v>
      </c>
    </row>
    <row r="250" spans="4:6">
      <c r="D250" t="s">
        <v>262</v>
      </c>
      <c r="E250" t="s">
        <v>262</v>
      </c>
      <c r="F250" t="s">
        <v>262</v>
      </c>
    </row>
    <row r="251" spans="4:6">
      <c r="D251" t="s">
        <v>263</v>
      </c>
      <c r="E251" t="s">
        <v>263</v>
      </c>
    </row>
    <row r="252" spans="4:6">
      <c r="D252" t="s">
        <v>264</v>
      </c>
      <c r="E252" t="s">
        <v>264</v>
      </c>
      <c r="F252" t="s">
        <v>264</v>
      </c>
    </row>
    <row r="253" spans="4:6">
      <c r="D253" t="s">
        <v>265</v>
      </c>
    </row>
    <row r="254" spans="4:6">
      <c r="D254" t="s">
        <v>266</v>
      </c>
    </row>
    <row r="255" spans="4:6">
      <c r="D255" t="s">
        <v>267</v>
      </c>
      <c r="E255" t="s">
        <v>267</v>
      </c>
    </row>
    <row r="256" spans="4:6">
      <c r="D256" t="s">
        <v>268</v>
      </c>
      <c r="E256" t="s">
        <v>268</v>
      </c>
    </row>
    <row r="257" spans="4:6">
      <c r="D257" t="s">
        <v>269</v>
      </c>
      <c r="F257" t="s">
        <v>269</v>
      </c>
    </row>
    <row r="258" spans="4:6">
      <c r="D258" t="s">
        <v>270</v>
      </c>
      <c r="E258" t="s">
        <v>270</v>
      </c>
      <c r="F258" t="s">
        <v>270</v>
      </c>
    </row>
    <row r="259" spans="4:6">
      <c r="D259" t="s">
        <v>271</v>
      </c>
    </row>
    <row r="260" spans="4:6">
      <c r="D260" t="s">
        <v>272</v>
      </c>
      <c r="E260" t="s">
        <v>272</v>
      </c>
    </row>
    <row r="261" spans="4:6">
      <c r="D261" t="s">
        <v>273</v>
      </c>
      <c r="E261" t="s">
        <v>273</v>
      </c>
    </row>
    <row r="262" spans="4:6">
      <c r="D262" t="s">
        <v>274</v>
      </c>
      <c r="E262" t="s">
        <v>274</v>
      </c>
    </row>
    <row r="263" spans="4:6">
      <c r="D263" t="s">
        <v>275</v>
      </c>
      <c r="E263" t="s">
        <v>275</v>
      </c>
    </row>
    <row r="264" spans="4:6">
      <c r="D264" t="s">
        <v>276</v>
      </c>
      <c r="F264" t="s">
        <v>276</v>
      </c>
    </row>
    <row r="265" spans="4:6">
      <c r="D265" t="s">
        <v>277</v>
      </c>
      <c r="E265" t="s">
        <v>277</v>
      </c>
    </row>
    <row r="266" spans="4:6">
      <c r="D266" t="s">
        <v>278</v>
      </c>
      <c r="E266" t="s">
        <v>278</v>
      </c>
    </row>
    <row r="267" spans="4:6">
      <c r="D267" t="s">
        <v>279</v>
      </c>
      <c r="E267" t="s">
        <v>279</v>
      </c>
    </row>
    <row r="268" spans="4:6">
      <c r="D268" t="s">
        <v>280</v>
      </c>
      <c r="E268" t="s">
        <v>280</v>
      </c>
    </row>
    <row r="269" spans="4:6">
      <c r="D269" t="s">
        <v>281</v>
      </c>
    </row>
    <row r="270" spans="4:6">
      <c r="D270" t="s">
        <v>282</v>
      </c>
    </row>
    <row r="271" spans="4:6">
      <c r="D271" t="s">
        <v>283</v>
      </c>
      <c r="F271" t="s">
        <v>283</v>
      </c>
    </row>
    <row r="272" spans="4:6">
      <c r="D272" t="s">
        <v>284</v>
      </c>
    </row>
    <row r="273" spans="4:6">
      <c r="D273" t="s">
        <v>285</v>
      </c>
    </row>
    <row r="274" spans="4:6">
      <c r="D274" t="s">
        <v>286</v>
      </c>
      <c r="E274" t="s">
        <v>286</v>
      </c>
    </row>
    <row r="275" spans="4:6">
      <c r="D275" t="s">
        <v>287</v>
      </c>
      <c r="E275" t="s">
        <v>287</v>
      </c>
      <c r="F275" t="s">
        <v>287</v>
      </c>
    </row>
    <row r="276" spans="4:6">
      <c r="D276" t="s">
        <v>288</v>
      </c>
      <c r="E276" t="s">
        <v>288</v>
      </c>
    </row>
    <row r="277" spans="4:6">
      <c r="D277" t="s">
        <v>289</v>
      </c>
      <c r="E277" t="s">
        <v>289</v>
      </c>
    </row>
    <row r="278" spans="4:6">
      <c r="D278" t="s">
        <v>290</v>
      </c>
      <c r="E278" t="s">
        <v>290</v>
      </c>
    </row>
    <row r="279" spans="4:6">
      <c r="D279" t="s">
        <v>291</v>
      </c>
    </row>
    <row r="280" spans="4:6">
      <c r="D280" t="s">
        <v>292</v>
      </c>
      <c r="E280" t="s">
        <v>292</v>
      </c>
    </row>
    <row r="281" spans="4:6">
      <c r="D281" t="s">
        <v>293</v>
      </c>
    </row>
    <row r="282" spans="4:6">
      <c r="D282" t="s">
        <v>294</v>
      </c>
    </row>
    <row r="283" spans="4:6">
      <c r="D283" t="s">
        <v>295</v>
      </c>
      <c r="E283" t="s">
        <v>295</v>
      </c>
    </row>
    <row r="284" spans="4:6">
      <c r="D284" t="s">
        <v>296</v>
      </c>
    </row>
    <row r="285" spans="4:6">
      <c r="D285" t="s">
        <v>297</v>
      </c>
      <c r="E285" t="s">
        <v>297</v>
      </c>
    </row>
    <row r="286" spans="4:6">
      <c r="D286" t="s">
        <v>298</v>
      </c>
    </row>
    <row r="287" spans="4:6">
      <c r="D287" t="s">
        <v>299</v>
      </c>
    </row>
    <row r="288" spans="4:6">
      <c r="D288" t="s">
        <v>300</v>
      </c>
      <c r="F288" t="s">
        <v>300</v>
      </c>
    </row>
    <row r="289" spans="4:6">
      <c r="D289" t="s">
        <v>301</v>
      </c>
    </row>
    <row r="290" spans="4:6">
      <c r="D290" t="s">
        <v>302</v>
      </c>
      <c r="E290" t="s">
        <v>302</v>
      </c>
    </row>
    <row r="291" spans="4:6">
      <c r="D291" t="s">
        <v>303</v>
      </c>
      <c r="E291" t="s">
        <v>303</v>
      </c>
    </row>
    <row r="292" spans="4:6">
      <c r="D292" t="s">
        <v>304</v>
      </c>
    </row>
    <row r="293" spans="4:6">
      <c r="D293" t="s">
        <v>305</v>
      </c>
      <c r="E293" t="s">
        <v>305</v>
      </c>
      <c r="F293" t="s">
        <v>305</v>
      </c>
    </row>
    <row r="294" spans="4:6">
      <c r="D294" t="s">
        <v>306</v>
      </c>
    </row>
    <row r="295" spans="4:6">
      <c r="D295" t="s">
        <v>307</v>
      </c>
      <c r="F295" t="s">
        <v>307</v>
      </c>
    </row>
    <row r="296" spans="4:6">
      <c r="D296" t="s">
        <v>308</v>
      </c>
    </row>
    <row r="297" spans="4:6">
      <c r="D297" t="s">
        <v>309</v>
      </c>
      <c r="E297" t="s">
        <v>309</v>
      </c>
    </row>
    <row r="298" spans="4:6">
      <c r="D298" t="s">
        <v>310</v>
      </c>
    </row>
    <row r="299" spans="4:6">
      <c r="D299" t="s">
        <v>311</v>
      </c>
    </row>
    <row r="300" spans="4:6">
      <c r="D300" t="s">
        <v>312</v>
      </c>
    </row>
    <row r="301" spans="4:6">
      <c r="D301" t="s">
        <v>313</v>
      </c>
      <c r="E301" t="s">
        <v>313</v>
      </c>
    </row>
    <row r="302" spans="4:6">
      <c r="D302" t="s">
        <v>314</v>
      </c>
    </row>
    <row r="303" spans="4:6">
      <c r="D303" t="s">
        <v>315</v>
      </c>
    </row>
    <row r="304" spans="4:6">
      <c r="D304" t="s">
        <v>316</v>
      </c>
    </row>
    <row r="305" spans="4:5">
      <c r="D305" t="s">
        <v>317</v>
      </c>
    </row>
    <row r="306" spans="4:5">
      <c r="D306" t="s">
        <v>318</v>
      </c>
    </row>
    <row r="307" spans="4:5">
      <c r="D307" t="s">
        <v>319</v>
      </c>
      <c r="E307" t="s">
        <v>319</v>
      </c>
    </row>
    <row r="308" spans="4:5">
      <c r="D308" t="s">
        <v>320</v>
      </c>
    </row>
    <row r="309" spans="4:5">
      <c r="D309" t="s">
        <v>321</v>
      </c>
    </row>
    <row r="310" spans="4:5">
      <c r="D310" t="s">
        <v>322</v>
      </c>
    </row>
    <row r="311" spans="4:5">
      <c r="D311" t="s">
        <v>323</v>
      </c>
    </row>
    <row r="312" spans="4:5">
      <c r="D312" t="s">
        <v>324</v>
      </c>
    </row>
    <row r="313" spans="4:5">
      <c r="D313" t="s">
        <v>325</v>
      </c>
    </row>
    <row r="314" spans="4:5">
      <c r="D314" t="s">
        <v>326</v>
      </c>
      <c r="E314" t="s">
        <v>326</v>
      </c>
    </row>
    <row r="315" spans="4:5">
      <c r="D315" t="s">
        <v>327</v>
      </c>
    </row>
    <row r="316" spans="4:5">
      <c r="D316" t="s">
        <v>328</v>
      </c>
    </row>
    <row r="317" spans="4:5">
      <c r="D317" t="s">
        <v>329</v>
      </c>
    </row>
    <row r="318" spans="4:5">
      <c r="D318" t="s">
        <v>330</v>
      </c>
    </row>
    <row r="319" spans="4:5">
      <c r="D319" t="s">
        <v>331</v>
      </c>
      <c r="E319" t="s">
        <v>331</v>
      </c>
    </row>
    <row r="320" spans="4:5">
      <c r="D320" t="s">
        <v>332</v>
      </c>
      <c r="E320" t="s">
        <v>332</v>
      </c>
    </row>
    <row r="321" spans="4:6">
      <c r="D321" t="s">
        <v>333</v>
      </c>
      <c r="F321" t="s">
        <v>333</v>
      </c>
    </row>
    <row r="322" spans="4:6">
      <c r="D322" t="s">
        <v>334</v>
      </c>
    </row>
    <row r="323" spans="4:6">
      <c r="D323" t="s">
        <v>335</v>
      </c>
      <c r="E323" t="s">
        <v>335</v>
      </c>
    </row>
    <row r="324" spans="4:6">
      <c r="D324" t="s">
        <v>336</v>
      </c>
    </row>
    <row r="325" spans="4:6">
      <c r="D325" t="s">
        <v>337</v>
      </c>
      <c r="E325" t="s">
        <v>337</v>
      </c>
    </row>
    <row r="326" spans="4:6">
      <c r="D326" t="s">
        <v>338</v>
      </c>
    </row>
    <row r="327" spans="4:6">
      <c r="D327" t="s">
        <v>339</v>
      </c>
    </row>
    <row r="328" spans="4:6">
      <c r="D328" t="s">
        <v>340</v>
      </c>
      <c r="E328" t="s">
        <v>340</v>
      </c>
    </row>
    <row r="329" spans="4:6">
      <c r="D329" t="s">
        <v>341</v>
      </c>
    </row>
    <row r="330" spans="4:6">
      <c r="D330" t="s">
        <v>342</v>
      </c>
    </row>
    <row r="331" spans="4:6">
      <c r="D331" t="s">
        <v>343</v>
      </c>
    </row>
    <row r="332" spans="4:6">
      <c r="D332" t="s">
        <v>344</v>
      </c>
      <c r="E332" t="s">
        <v>344</v>
      </c>
    </row>
    <row r="333" spans="4:6">
      <c r="D333" t="s">
        <v>345</v>
      </c>
      <c r="E333" t="s">
        <v>345</v>
      </c>
    </row>
    <row r="334" spans="4:6">
      <c r="D334" t="s">
        <v>346</v>
      </c>
    </row>
    <row r="335" spans="4:6">
      <c r="D335" t="s">
        <v>347</v>
      </c>
    </row>
    <row r="336" spans="4:6">
      <c r="D336" t="s">
        <v>348</v>
      </c>
      <c r="E336" t="s">
        <v>348</v>
      </c>
    </row>
    <row r="337" spans="4:5">
      <c r="D337" t="s">
        <v>349</v>
      </c>
      <c r="E337" t="s">
        <v>349</v>
      </c>
    </row>
    <row r="338" spans="4:5">
      <c r="D338" t="s">
        <v>350</v>
      </c>
    </row>
    <row r="339" spans="4:5">
      <c r="D339" t="s">
        <v>351</v>
      </c>
      <c r="E339" t="s">
        <v>351</v>
      </c>
    </row>
    <row r="340" spans="4:5">
      <c r="D340" t="s">
        <v>352</v>
      </c>
    </row>
    <row r="341" spans="4:5">
      <c r="D341" t="s">
        <v>353</v>
      </c>
    </row>
    <row r="342" spans="4:5">
      <c r="D342" t="s">
        <v>354</v>
      </c>
    </row>
    <row r="343" spans="4:5">
      <c r="D343" t="s">
        <v>355</v>
      </c>
    </row>
    <row r="344" spans="4:5">
      <c r="D344" t="s">
        <v>356</v>
      </c>
    </row>
    <row r="345" spans="4:5">
      <c r="D345" t="s">
        <v>357</v>
      </c>
    </row>
    <row r="346" spans="4:5">
      <c r="D346" t="s">
        <v>358</v>
      </c>
    </row>
    <row r="347" spans="4:5">
      <c r="D347" t="s">
        <v>359</v>
      </c>
    </row>
    <row r="348" spans="4:5">
      <c r="D348" t="s">
        <v>360</v>
      </c>
    </row>
    <row r="349" spans="4:5">
      <c r="D349" t="s">
        <v>361</v>
      </c>
    </row>
    <row r="350" spans="4:5">
      <c r="D350" t="s">
        <v>362</v>
      </c>
    </row>
    <row r="351" spans="4:5">
      <c r="D351" t="s">
        <v>363</v>
      </c>
    </row>
    <row r="352" spans="4:5">
      <c r="D352" t="s">
        <v>364</v>
      </c>
    </row>
    <row r="353" spans="4:5">
      <c r="D353" t="s">
        <v>365</v>
      </c>
      <c r="E353" t="s">
        <v>365</v>
      </c>
    </row>
    <row r="354" spans="4:5">
      <c r="D354" t="s">
        <v>366</v>
      </c>
      <c r="E354" t="s">
        <v>366</v>
      </c>
    </row>
    <row r="355" spans="4:5">
      <c r="D355" t="s">
        <v>367</v>
      </c>
    </row>
    <row r="356" spans="4:5">
      <c r="D356" t="s">
        <v>368</v>
      </c>
    </row>
    <row r="357" spans="4:5">
      <c r="D357" t="s">
        <v>369</v>
      </c>
    </row>
    <row r="358" spans="4:5">
      <c r="D358" t="s">
        <v>370</v>
      </c>
    </row>
    <row r="359" spans="4:5">
      <c r="D359" t="s">
        <v>371</v>
      </c>
    </row>
    <row r="360" spans="4:5">
      <c r="D360" t="s">
        <v>372</v>
      </c>
    </row>
    <row r="361" spans="4:5">
      <c r="D361" t="s">
        <v>373</v>
      </c>
    </row>
    <row r="362" spans="4:5">
      <c r="D362" t="s">
        <v>374</v>
      </c>
    </row>
    <row r="363" spans="4:5">
      <c r="D363" t="s">
        <v>375</v>
      </c>
    </row>
    <row r="364" spans="4:5">
      <c r="D364" t="s">
        <v>376</v>
      </c>
    </row>
    <row r="365" spans="4:5">
      <c r="D365" t="s">
        <v>377</v>
      </c>
    </row>
    <row r="366" spans="4:5">
      <c r="D366" t="s">
        <v>378</v>
      </c>
    </row>
    <row r="367" spans="4:5">
      <c r="D367" t="s">
        <v>379</v>
      </c>
    </row>
    <row r="368" spans="4:5">
      <c r="D368" t="s">
        <v>380</v>
      </c>
    </row>
    <row r="369" spans="4:5">
      <c r="D369" t="s">
        <v>381</v>
      </c>
      <c r="E369" t="s">
        <v>381</v>
      </c>
    </row>
    <row r="370" spans="4:5">
      <c r="D370" t="s">
        <v>382</v>
      </c>
    </row>
    <row r="371" spans="4:5">
      <c r="D371" t="s">
        <v>383</v>
      </c>
    </row>
    <row r="372" spans="4:5">
      <c r="D372" t="s">
        <v>384</v>
      </c>
    </row>
    <row r="373" spans="4:5">
      <c r="D373" t="s">
        <v>385</v>
      </c>
    </row>
    <row r="374" spans="4:5">
      <c r="D374" t="s">
        <v>386</v>
      </c>
    </row>
    <row r="375" spans="4:5">
      <c r="D375" t="s">
        <v>387</v>
      </c>
    </row>
    <row r="376" spans="4:5">
      <c r="D376" t="s">
        <v>388</v>
      </c>
      <c r="E376" t="s">
        <v>388</v>
      </c>
    </row>
    <row r="377" spans="4:5">
      <c r="D377" t="s">
        <v>389</v>
      </c>
    </row>
    <row r="378" spans="4:5">
      <c r="D378" t="s">
        <v>390</v>
      </c>
    </row>
    <row r="379" spans="4:5">
      <c r="D379" t="s">
        <v>391</v>
      </c>
    </row>
    <row r="380" spans="4:5">
      <c r="D380" t="s">
        <v>392</v>
      </c>
    </row>
    <row r="381" spans="4:5">
      <c r="D381" t="s">
        <v>393</v>
      </c>
    </row>
    <row r="382" spans="4:5">
      <c r="D382" t="s">
        <v>394</v>
      </c>
    </row>
    <row r="383" spans="4:5">
      <c r="D383" t="s">
        <v>395</v>
      </c>
    </row>
    <row r="384" spans="4:5">
      <c r="D384" t="s">
        <v>396</v>
      </c>
      <c r="E384" t="s">
        <v>396</v>
      </c>
    </row>
    <row r="385" spans="4:5">
      <c r="D385" t="s">
        <v>397</v>
      </c>
    </row>
    <row r="386" spans="4:5">
      <c r="D386" t="s">
        <v>398</v>
      </c>
    </row>
    <row r="387" spans="4:5">
      <c r="D387" t="s">
        <v>399</v>
      </c>
    </row>
    <row r="388" spans="4:5">
      <c r="D388" t="s">
        <v>400</v>
      </c>
    </row>
    <row r="389" spans="4:5">
      <c r="D389" t="s">
        <v>401</v>
      </c>
      <c r="E389" t="s">
        <v>401</v>
      </c>
    </row>
    <row r="390" spans="4:5">
      <c r="D390" t="s">
        <v>402</v>
      </c>
    </row>
    <row r="391" spans="4:5">
      <c r="D391" t="s">
        <v>403</v>
      </c>
    </row>
    <row r="392" spans="4:5">
      <c r="D392" t="s">
        <v>404</v>
      </c>
    </row>
    <row r="393" spans="4:5">
      <c r="D393" t="s">
        <v>405</v>
      </c>
    </row>
    <row r="394" spans="4:5">
      <c r="D394" t="s">
        <v>406</v>
      </c>
      <c r="E394" t="s">
        <v>406</v>
      </c>
    </row>
    <row r="395" spans="4:5">
      <c r="D395" t="s">
        <v>407</v>
      </c>
    </row>
    <row r="396" spans="4:5">
      <c r="D396" t="s">
        <v>408</v>
      </c>
    </row>
    <row r="397" spans="4:5">
      <c r="D397" t="s">
        <v>409</v>
      </c>
    </row>
    <row r="398" spans="4:5">
      <c r="D398" t="s">
        <v>410</v>
      </c>
    </row>
    <row r="399" spans="4:5">
      <c r="D399" t="s">
        <v>411</v>
      </c>
    </row>
    <row r="400" spans="4:5">
      <c r="D400" t="s">
        <v>412</v>
      </c>
    </row>
    <row r="401" spans="4:5">
      <c r="D401" t="s">
        <v>413</v>
      </c>
    </row>
    <row r="402" spans="4:5">
      <c r="D402" t="s">
        <v>414</v>
      </c>
    </row>
    <row r="403" spans="4:5">
      <c r="D403" t="s">
        <v>415</v>
      </c>
    </row>
    <row r="404" spans="4:5">
      <c r="D404" t="s">
        <v>416</v>
      </c>
    </row>
    <row r="405" spans="4:5">
      <c r="D405" t="s">
        <v>417</v>
      </c>
    </row>
    <row r="406" spans="4:5">
      <c r="D406" t="s">
        <v>418</v>
      </c>
    </row>
    <row r="407" spans="4:5">
      <c r="D407" t="s">
        <v>419</v>
      </c>
    </row>
    <row r="408" spans="4:5">
      <c r="D408" t="s">
        <v>420</v>
      </c>
    </row>
    <row r="409" spans="4:5">
      <c r="D409" t="s">
        <v>421</v>
      </c>
    </row>
    <row r="410" spans="4:5">
      <c r="D410" t="s">
        <v>422</v>
      </c>
    </row>
    <row r="411" spans="4:5">
      <c r="D411" t="s">
        <v>423</v>
      </c>
    </row>
    <row r="412" spans="4:5">
      <c r="D412" t="s">
        <v>424</v>
      </c>
    </row>
    <row r="413" spans="4:5">
      <c r="D413" t="s">
        <v>425</v>
      </c>
    </row>
    <row r="414" spans="4:5">
      <c r="D414" t="s">
        <v>426</v>
      </c>
    </row>
    <row r="415" spans="4:5">
      <c r="D415" t="s">
        <v>427</v>
      </c>
      <c r="E415" t="s">
        <v>427</v>
      </c>
    </row>
    <row r="416" spans="4:5">
      <c r="D416" t="s">
        <v>428</v>
      </c>
    </row>
    <row r="417" spans="4:5">
      <c r="D417" t="s">
        <v>429</v>
      </c>
    </row>
    <row r="418" spans="4:5">
      <c r="D418" t="s">
        <v>430</v>
      </c>
    </row>
    <row r="419" spans="4:5">
      <c r="D419" t="s">
        <v>431</v>
      </c>
    </row>
    <row r="420" spans="4:5">
      <c r="D420" t="s">
        <v>432</v>
      </c>
    </row>
    <row r="421" spans="4:5">
      <c r="D421" t="s">
        <v>433</v>
      </c>
    </row>
    <row r="422" spans="4:5">
      <c r="D422" t="s">
        <v>434</v>
      </c>
    </row>
    <row r="423" spans="4:5">
      <c r="D423" t="s">
        <v>435</v>
      </c>
    </row>
    <row r="424" spans="4:5">
      <c r="D424" t="s">
        <v>436</v>
      </c>
      <c r="E424" t="s">
        <v>436</v>
      </c>
    </row>
    <row r="425" spans="4:5">
      <c r="D425" t="s">
        <v>437</v>
      </c>
    </row>
    <row r="426" spans="4:5">
      <c r="D426" t="s">
        <v>438</v>
      </c>
    </row>
    <row r="427" spans="4:5">
      <c r="D427" t="s">
        <v>439</v>
      </c>
    </row>
    <row r="428" spans="4:5">
      <c r="D428" t="s">
        <v>440</v>
      </c>
    </row>
    <row r="429" spans="4:5">
      <c r="D429" t="s">
        <v>441</v>
      </c>
    </row>
    <row r="430" spans="4:5">
      <c r="D430" t="s">
        <v>442</v>
      </c>
    </row>
    <row r="431" spans="4:5">
      <c r="D431" t="s">
        <v>443</v>
      </c>
    </row>
    <row r="432" spans="4:5">
      <c r="D432" t="s">
        <v>444</v>
      </c>
    </row>
    <row r="433" spans="4:5">
      <c r="D433" t="s">
        <v>445</v>
      </c>
    </row>
    <row r="434" spans="4:5">
      <c r="D434" t="s">
        <v>446</v>
      </c>
    </row>
    <row r="435" spans="4:5">
      <c r="D435" t="s">
        <v>447</v>
      </c>
    </row>
    <row r="436" spans="4:5">
      <c r="D436" t="s">
        <v>448</v>
      </c>
    </row>
    <row r="437" spans="4:5">
      <c r="D437" t="s">
        <v>449</v>
      </c>
    </row>
    <row r="438" spans="4:5">
      <c r="D438" t="s">
        <v>450</v>
      </c>
    </row>
    <row r="439" spans="4:5">
      <c r="D439" t="s">
        <v>451</v>
      </c>
    </row>
    <row r="440" spans="4:5">
      <c r="D440" t="s">
        <v>452</v>
      </c>
    </row>
    <row r="441" spans="4:5">
      <c r="D441" t="s">
        <v>453</v>
      </c>
    </row>
    <row r="442" spans="4:5">
      <c r="D442" t="s">
        <v>454</v>
      </c>
      <c r="E442" t="s">
        <v>454</v>
      </c>
    </row>
    <row r="443" spans="4:5">
      <c r="D443" t="s">
        <v>455</v>
      </c>
    </row>
    <row r="444" spans="4:5">
      <c r="D444" t="s">
        <v>456</v>
      </c>
    </row>
    <row r="445" spans="4:5">
      <c r="D445" t="s">
        <v>457</v>
      </c>
    </row>
    <row r="446" spans="4:5">
      <c r="D446" t="s">
        <v>458</v>
      </c>
    </row>
    <row r="447" spans="4:5">
      <c r="D447" t="s">
        <v>459</v>
      </c>
    </row>
    <row r="448" spans="4:5">
      <c r="D448" t="s">
        <v>460</v>
      </c>
    </row>
    <row r="449" spans="4:4">
      <c r="D449" t="s">
        <v>461</v>
      </c>
    </row>
    <row r="450" spans="4:4">
      <c r="D450" t="s">
        <v>462</v>
      </c>
    </row>
    <row r="451" spans="4:4">
      <c r="D451" t="s">
        <v>463</v>
      </c>
    </row>
    <row r="452" spans="4:4">
      <c r="D452" t="s">
        <v>464</v>
      </c>
    </row>
    <row r="453" spans="4:4">
      <c r="D453" t="s">
        <v>465</v>
      </c>
    </row>
    <row r="454" spans="4:4">
      <c r="D454" t="s">
        <v>466</v>
      </c>
    </row>
    <row r="455" spans="4:4">
      <c r="D455" t="s">
        <v>467</v>
      </c>
    </row>
    <row r="456" spans="4:4">
      <c r="D456" t="s">
        <v>468</v>
      </c>
    </row>
    <row r="457" spans="4:4">
      <c r="D457" t="s">
        <v>469</v>
      </c>
    </row>
    <row r="458" spans="4:4">
      <c r="D458" t="s">
        <v>470</v>
      </c>
    </row>
    <row r="459" spans="4:4">
      <c r="D459" t="s">
        <v>471</v>
      </c>
    </row>
    <row r="460" spans="4:4">
      <c r="D460" t="s">
        <v>472</v>
      </c>
    </row>
    <row r="461" spans="4:4">
      <c r="D461" t="s">
        <v>473</v>
      </c>
    </row>
    <row r="462" spans="4:4">
      <c r="D462" t="s">
        <v>474</v>
      </c>
    </row>
    <row r="463" spans="4:4">
      <c r="D463" t="s">
        <v>475</v>
      </c>
    </row>
    <row r="464" spans="4:4">
      <c r="D464" t="s">
        <v>476</v>
      </c>
    </row>
    <row r="465" spans="4:4">
      <c r="D465" t="s">
        <v>477</v>
      </c>
    </row>
    <row r="466" spans="4:4">
      <c r="D466" t="s">
        <v>478</v>
      </c>
    </row>
    <row r="467" spans="4:4">
      <c r="D467" t="s">
        <v>479</v>
      </c>
    </row>
    <row r="468" spans="4:4">
      <c r="D468" t="s">
        <v>480</v>
      </c>
    </row>
    <row r="469" spans="4:4">
      <c r="D469" t="s">
        <v>481</v>
      </c>
    </row>
    <row r="470" spans="4:4">
      <c r="D470" t="s">
        <v>482</v>
      </c>
    </row>
    <row r="471" spans="4:4">
      <c r="D471" t="s">
        <v>483</v>
      </c>
    </row>
    <row r="472" spans="4:4">
      <c r="D472" t="s">
        <v>484</v>
      </c>
    </row>
    <row r="473" spans="4:4">
      <c r="D473" t="s">
        <v>485</v>
      </c>
    </row>
    <row r="474" spans="4:4">
      <c r="D474" t="s">
        <v>486</v>
      </c>
    </row>
    <row r="475" spans="4:4">
      <c r="D475" t="s">
        <v>487</v>
      </c>
    </row>
    <row r="476" spans="4:4">
      <c r="D476" t="s">
        <v>488</v>
      </c>
    </row>
    <row r="477" spans="4:4">
      <c r="D477" t="s">
        <v>489</v>
      </c>
    </row>
    <row r="478" spans="4:4">
      <c r="D478" t="s">
        <v>490</v>
      </c>
    </row>
    <row r="479" spans="4:4">
      <c r="D479" t="s">
        <v>491</v>
      </c>
    </row>
    <row r="480" spans="4:4">
      <c r="D480" t="s">
        <v>492</v>
      </c>
    </row>
    <row r="481" spans="4:5">
      <c r="D481" t="s">
        <v>493</v>
      </c>
    </row>
    <row r="482" spans="4:5">
      <c r="D482" t="s">
        <v>494</v>
      </c>
    </row>
    <row r="483" spans="4:5">
      <c r="D483" t="s">
        <v>495</v>
      </c>
    </row>
    <row r="484" spans="4:5">
      <c r="D484" t="s">
        <v>496</v>
      </c>
    </row>
    <row r="485" spans="4:5">
      <c r="D485" t="s">
        <v>497</v>
      </c>
    </row>
    <row r="486" spans="4:5">
      <c r="D486" t="s">
        <v>498</v>
      </c>
    </row>
    <row r="487" spans="4:5">
      <c r="D487" t="s">
        <v>499</v>
      </c>
    </row>
    <row r="488" spans="4:5">
      <c r="D488" t="s">
        <v>500</v>
      </c>
    </row>
    <row r="489" spans="4:5">
      <c r="D489" t="s">
        <v>11</v>
      </c>
      <c r="E489" t="s">
        <v>11</v>
      </c>
    </row>
    <row r="490" spans="4:5">
      <c r="D490" t="s">
        <v>6</v>
      </c>
      <c r="E490" t="s">
        <v>6</v>
      </c>
    </row>
    <row r="491" spans="4:5">
      <c r="D491" t="s">
        <v>14</v>
      </c>
      <c r="E491" t="s">
        <v>14</v>
      </c>
    </row>
    <row r="492" spans="4:5">
      <c r="D492" t="s">
        <v>4</v>
      </c>
      <c r="E492" t="s">
        <v>4</v>
      </c>
    </row>
    <row r="493" spans="4:5">
      <c r="D493" t="s">
        <v>38</v>
      </c>
      <c r="E493" t="s">
        <v>38</v>
      </c>
    </row>
    <row r="494" spans="4:5">
      <c r="D494" t="s">
        <v>18</v>
      </c>
      <c r="E494" t="s">
        <v>18</v>
      </c>
    </row>
    <row r="495" spans="4:5">
      <c r="D495" t="s">
        <v>21</v>
      </c>
      <c r="E495" t="s">
        <v>21</v>
      </c>
    </row>
    <row r="496" spans="4:5">
      <c r="D496" t="s">
        <v>17</v>
      </c>
      <c r="E496" t="s">
        <v>17</v>
      </c>
    </row>
    <row r="497" spans="4:5">
      <c r="D497" t="s">
        <v>10</v>
      </c>
      <c r="E497" t="s">
        <v>10</v>
      </c>
    </row>
    <row r="498" spans="4:5">
      <c r="D498" t="s">
        <v>12</v>
      </c>
      <c r="E498" t="s">
        <v>12</v>
      </c>
    </row>
    <row r="499" spans="4:5">
      <c r="D499" t="s">
        <v>9</v>
      </c>
      <c r="E499" t="s">
        <v>9</v>
      </c>
    </row>
    <row r="500" spans="4:5">
      <c r="D500" t="s">
        <v>2003</v>
      </c>
      <c r="E500" t="s">
        <v>2003</v>
      </c>
    </row>
    <row r="501" spans="4:5">
      <c r="D501" t="s">
        <v>23</v>
      </c>
      <c r="E501" t="s">
        <v>23</v>
      </c>
    </row>
    <row r="502" spans="4:5">
      <c r="D502" t="s">
        <v>22</v>
      </c>
      <c r="E502" t="s">
        <v>22</v>
      </c>
    </row>
    <row r="503" spans="4:5">
      <c r="D503" t="s">
        <v>7</v>
      </c>
      <c r="E503" t="s">
        <v>7</v>
      </c>
    </row>
    <row r="504" spans="4:5">
      <c r="D504" t="s">
        <v>76</v>
      </c>
      <c r="E504" t="s">
        <v>76</v>
      </c>
    </row>
    <row r="505" spans="4:5">
      <c r="D505" t="s">
        <v>36</v>
      </c>
      <c r="E505" t="s">
        <v>36</v>
      </c>
    </row>
    <row r="506" spans="4:5">
      <c r="D506" t="s">
        <v>2004</v>
      </c>
      <c r="E506" t="s">
        <v>2004</v>
      </c>
    </row>
    <row r="507" spans="4:5">
      <c r="D507" t="s">
        <v>19</v>
      </c>
      <c r="E507" t="s">
        <v>19</v>
      </c>
    </row>
    <row r="508" spans="4:5">
      <c r="D508" t="s">
        <v>43</v>
      </c>
      <c r="E508" t="s">
        <v>43</v>
      </c>
    </row>
    <row r="509" spans="4:5">
      <c r="D509" t="s">
        <v>44</v>
      </c>
      <c r="E509" t="s">
        <v>44</v>
      </c>
    </row>
    <row r="510" spans="4:5">
      <c r="D510" t="s">
        <v>24</v>
      </c>
      <c r="E510" t="s">
        <v>24</v>
      </c>
    </row>
    <row r="511" spans="4:5">
      <c r="D511" t="s">
        <v>33</v>
      </c>
      <c r="E511" t="s">
        <v>33</v>
      </c>
    </row>
    <row r="512" spans="4:5">
      <c r="D512" t="s">
        <v>25</v>
      </c>
      <c r="E512" t="s">
        <v>25</v>
      </c>
    </row>
    <row r="513" spans="4:5">
      <c r="D513" t="s">
        <v>13</v>
      </c>
      <c r="E513" t="s">
        <v>13</v>
      </c>
    </row>
    <row r="514" spans="4:5">
      <c r="D514" t="s">
        <v>20</v>
      </c>
      <c r="E514" t="s">
        <v>20</v>
      </c>
    </row>
    <row r="515" spans="4:5">
      <c r="D515" t="s">
        <v>61</v>
      </c>
      <c r="E515" t="s">
        <v>61</v>
      </c>
    </row>
    <row r="516" spans="4:5">
      <c r="D516" t="s">
        <v>15</v>
      </c>
      <c r="E516" t="s">
        <v>15</v>
      </c>
    </row>
    <row r="517" spans="4:5">
      <c r="D517" t="s">
        <v>86</v>
      </c>
      <c r="E517" t="s">
        <v>86</v>
      </c>
    </row>
    <row r="518" spans="4:5">
      <c r="D518" t="s">
        <v>46</v>
      </c>
      <c r="E518" t="s">
        <v>46</v>
      </c>
    </row>
    <row r="519" spans="4:5">
      <c r="D519" t="s">
        <v>113</v>
      </c>
      <c r="E519" t="s">
        <v>113</v>
      </c>
    </row>
    <row r="520" spans="4:5">
      <c r="D520" t="s">
        <v>42</v>
      </c>
      <c r="E520" t="s">
        <v>42</v>
      </c>
    </row>
    <row r="521" spans="4:5">
      <c r="D521" t="s">
        <v>116</v>
      </c>
      <c r="E521" t="s">
        <v>116</v>
      </c>
    </row>
    <row r="522" spans="4:5">
      <c r="D522" t="s">
        <v>40</v>
      </c>
      <c r="E522" t="s">
        <v>40</v>
      </c>
    </row>
    <row r="523" spans="4:5">
      <c r="D523" t="s">
        <v>58</v>
      </c>
      <c r="E523" t="s">
        <v>58</v>
      </c>
    </row>
    <row r="524" spans="4:5">
      <c r="D524" t="s">
        <v>30</v>
      </c>
      <c r="E524" t="s">
        <v>30</v>
      </c>
    </row>
    <row r="525" spans="4:5">
      <c r="D525" t="s">
        <v>29</v>
      </c>
      <c r="E525" t="s">
        <v>29</v>
      </c>
    </row>
    <row r="526" spans="4:5">
      <c r="D526" t="s">
        <v>100</v>
      </c>
      <c r="E526" t="s">
        <v>100</v>
      </c>
    </row>
    <row r="527" spans="4:5">
      <c r="D527" t="s">
        <v>126</v>
      </c>
      <c r="E527" t="s">
        <v>126</v>
      </c>
    </row>
    <row r="528" spans="4:5">
      <c r="D528" t="s">
        <v>121</v>
      </c>
      <c r="E528" t="s">
        <v>121</v>
      </c>
    </row>
    <row r="529" spans="4:5">
      <c r="D529" t="s">
        <v>28</v>
      </c>
      <c r="E529" t="s">
        <v>28</v>
      </c>
    </row>
    <row r="530" spans="4:5">
      <c r="D530" t="s">
        <v>64</v>
      </c>
      <c r="E530" t="s">
        <v>64</v>
      </c>
    </row>
    <row r="531" spans="4:5">
      <c r="D531" t="s">
        <v>60</v>
      </c>
      <c r="E531" t="s">
        <v>60</v>
      </c>
    </row>
    <row r="532" spans="4:5">
      <c r="D532" t="s">
        <v>51</v>
      </c>
      <c r="E532" t="s">
        <v>51</v>
      </c>
    </row>
    <row r="533" spans="4:5">
      <c r="D533" t="s">
        <v>27</v>
      </c>
      <c r="E533" t="s">
        <v>27</v>
      </c>
    </row>
    <row r="534" spans="4:5">
      <c r="D534" t="s">
        <v>32</v>
      </c>
      <c r="E534" t="s">
        <v>32</v>
      </c>
    </row>
    <row r="535" spans="4:5">
      <c r="D535" t="s">
        <v>47</v>
      </c>
      <c r="E535" t="s">
        <v>47</v>
      </c>
    </row>
    <row r="536" spans="4:5">
      <c r="D536" t="s">
        <v>85</v>
      </c>
      <c r="E536" t="s">
        <v>85</v>
      </c>
    </row>
    <row r="537" spans="4:5">
      <c r="D537" t="s">
        <v>139</v>
      </c>
      <c r="E537" t="s">
        <v>139</v>
      </c>
    </row>
    <row r="538" spans="4:5">
      <c r="D538" t="s">
        <v>112</v>
      </c>
      <c r="E538" t="s">
        <v>112</v>
      </c>
    </row>
    <row r="539" spans="4:5">
      <c r="D539" t="s">
        <v>71</v>
      </c>
      <c r="E539" t="s">
        <v>71</v>
      </c>
    </row>
    <row r="540" spans="4:5">
      <c r="D540" t="s">
        <v>54</v>
      </c>
      <c r="E540" t="s">
        <v>54</v>
      </c>
    </row>
    <row r="541" spans="4:5">
      <c r="D541" t="s">
        <v>2005</v>
      </c>
      <c r="E541" t="s">
        <v>2005</v>
      </c>
    </row>
    <row r="542" spans="4:5">
      <c r="D542" t="s">
        <v>156</v>
      </c>
      <c r="E542" t="s">
        <v>156</v>
      </c>
    </row>
    <row r="543" spans="4:5">
      <c r="D543" t="s">
        <v>37</v>
      </c>
      <c r="E543" t="s">
        <v>37</v>
      </c>
    </row>
    <row r="544" spans="4:5">
      <c r="D544" t="s">
        <v>31</v>
      </c>
      <c r="E544" t="s">
        <v>31</v>
      </c>
    </row>
    <row r="545" spans="4:5">
      <c r="D545" t="s">
        <v>110</v>
      </c>
      <c r="E545" t="s">
        <v>110</v>
      </c>
    </row>
    <row r="546" spans="4:5">
      <c r="D546" t="s">
        <v>41</v>
      </c>
      <c r="E546" t="s">
        <v>41</v>
      </c>
    </row>
    <row r="547" spans="4:5">
      <c r="D547" t="s">
        <v>164</v>
      </c>
      <c r="E547" t="s">
        <v>164</v>
      </c>
    </row>
    <row r="548" spans="4:5">
      <c r="D548" t="s">
        <v>57</v>
      </c>
      <c r="E548" t="s">
        <v>57</v>
      </c>
    </row>
    <row r="549" spans="4:5">
      <c r="D549" t="s">
        <v>63</v>
      </c>
      <c r="E549" t="s">
        <v>63</v>
      </c>
    </row>
    <row r="550" spans="4:5">
      <c r="D550" t="s">
        <v>59</v>
      </c>
      <c r="E550" t="s">
        <v>59</v>
      </c>
    </row>
    <row r="551" spans="4:5">
      <c r="D551" t="s">
        <v>2006</v>
      </c>
      <c r="E551" t="s">
        <v>2006</v>
      </c>
    </row>
    <row r="552" spans="4:5">
      <c r="D552" t="s">
        <v>67</v>
      </c>
      <c r="E552" t="s">
        <v>67</v>
      </c>
    </row>
    <row r="553" spans="4:5">
      <c r="D553" t="s">
        <v>55</v>
      </c>
      <c r="E553" t="s">
        <v>55</v>
      </c>
    </row>
    <row r="554" spans="4:5">
      <c r="D554" t="s">
        <v>195</v>
      </c>
      <c r="E554" t="s">
        <v>195</v>
      </c>
    </row>
    <row r="555" spans="4:5">
      <c r="D555" t="s">
        <v>45</v>
      </c>
      <c r="E555" t="s">
        <v>45</v>
      </c>
    </row>
    <row r="556" spans="4:5">
      <c r="D556" t="s">
        <v>34</v>
      </c>
      <c r="E556" t="s">
        <v>34</v>
      </c>
    </row>
    <row r="557" spans="4:5">
      <c r="D557" t="s">
        <v>48</v>
      </c>
      <c r="E557" t="s">
        <v>48</v>
      </c>
    </row>
    <row r="558" spans="4:5">
      <c r="D558" t="s">
        <v>309</v>
      </c>
      <c r="E558" t="s">
        <v>309</v>
      </c>
    </row>
    <row r="559" spans="4:5">
      <c r="D559" t="s">
        <v>135</v>
      </c>
      <c r="E559" t="s">
        <v>135</v>
      </c>
    </row>
    <row r="560" spans="4:5">
      <c r="D560" t="s">
        <v>294</v>
      </c>
      <c r="E560" t="s">
        <v>294</v>
      </c>
    </row>
    <row r="561" spans="4:5">
      <c r="D561" t="s">
        <v>65</v>
      </c>
      <c r="E561" t="s">
        <v>65</v>
      </c>
    </row>
    <row r="562" spans="4:5">
      <c r="D562" t="s">
        <v>50</v>
      </c>
      <c r="E562" t="s">
        <v>50</v>
      </c>
    </row>
    <row r="563" spans="4:5">
      <c r="D563" t="s">
        <v>311</v>
      </c>
      <c r="E563" t="s">
        <v>311</v>
      </c>
    </row>
    <row r="564" spans="4:5">
      <c r="D564" t="s">
        <v>2016</v>
      </c>
      <c r="E564" t="s">
        <v>2016</v>
      </c>
    </row>
    <row r="565" spans="4:5">
      <c r="D565" t="s">
        <v>310</v>
      </c>
      <c r="E565" t="s">
        <v>310</v>
      </c>
    </row>
    <row r="566" spans="4:5">
      <c r="D566" t="s">
        <v>130</v>
      </c>
      <c r="E566" t="s">
        <v>130</v>
      </c>
    </row>
    <row r="567" spans="4:5">
      <c r="D567" t="s">
        <v>16</v>
      </c>
      <c r="E567" t="s">
        <v>16</v>
      </c>
    </row>
    <row r="568" spans="4:5">
      <c r="D568" t="s">
        <v>119</v>
      </c>
      <c r="E568" t="s">
        <v>119</v>
      </c>
    </row>
    <row r="569" spans="4:5">
      <c r="D569" t="s">
        <v>2013</v>
      </c>
      <c r="E569" t="s">
        <v>2013</v>
      </c>
    </row>
    <row r="570" spans="4:5">
      <c r="D570" t="s">
        <v>123</v>
      </c>
      <c r="E570" t="s">
        <v>123</v>
      </c>
    </row>
    <row r="571" spans="4:5">
      <c r="D571" t="s">
        <v>88</v>
      </c>
      <c r="E571" t="s">
        <v>88</v>
      </c>
    </row>
    <row r="572" spans="4:5">
      <c r="D572" t="s">
        <v>80</v>
      </c>
      <c r="E572" t="s">
        <v>80</v>
      </c>
    </row>
    <row r="573" spans="4:5">
      <c r="D573" t="s">
        <v>96</v>
      </c>
      <c r="E573" t="s">
        <v>96</v>
      </c>
    </row>
    <row r="574" spans="4:5">
      <c r="D574" t="s">
        <v>162</v>
      </c>
      <c r="E574" t="s">
        <v>162</v>
      </c>
    </row>
    <row r="575" spans="4:5">
      <c r="D575" t="s">
        <v>104</v>
      </c>
      <c r="E575" t="s">
        <v>104</v>
      </c>
    </row>
    <row r="576" spans="4:5">
      <c r="D576" t="s">
        <v>222</v>
      </c>
      <c r="E576" t="s">
        <v>222</v>
      </c>
    </row>
    <row r="577" spans="4:5">
      <c r="D577" t="s">
        <v>103</v>
      </c>
      <c r="E577" t="s">
        <v>103</v>
      </c>
    </row>
    <row r="578" spans="4:5">
      <c r="D578" t="s">
        <v>89</v>
      </c>
      <c r="E578" t="s">
        <v>89</v>
      </c>
    </row>
    <row r="579" spans="4:5">
      <c r="D579" t="s">
        <v>56</v>
      </c>
      <c r="E579" t="s">
        <v>56</v>
      </c>
    </row>
    <row r="580" spans="4:5">
      <c r="D580" t="s">
        <v>176</v>
      </c>
      <c r="E580" t="s">
        <v>176</v>
      </c>
    </row>
    <row r="581" spans="4:5">
      <c r="D581" t="s">
        <v>102</v>
      </c>
      <c r="E581" t="s">
        <v>102</v>
      </c>
    </row>
    <row r="582" spans="4:5">
      <c r="D582" t="s">
        <v>68</v>
      </c>
      <c r="E582" t="s">
        <v>69</v>
      </c>
    </row>
    <row r="583" spans="4:5">
      <c r="D583" t="s">
        <v>159</v>
      </c>
      <c r="E583" t="s">
        <v>159</v>
      </c>
    </row>
    <row r="584" spans="4:5">
      <c r="D584" t="s">
        <v>109</v>
      </c>
      <c r="E584" t="s">
        <v>109</v>
      </c>
    </row>
    <row r="585" spans="4:5">
      <c r="D585" t="s">
        <v>95</v>
      </c>
      <c r="E585" t="s">
        <v>95</v>
      </c>
    </row>
    <row r="586" spans="4:5">
      <c r="D586" t="s">
        <v>115</v>
      </c>
      <c r="E586" t="s">
        <v>115</v>
      </c>
    </row>
    <row r="587" spans="4:5">
      <c r="D587" t="s">
        <v>49</v>
      </c>
      <c r="E587" t="s">
        <v>49</v>
      </c>
    </row>
    <row r="588" spans="4:5">
      <c r="D588" t="s">
        <v>2007</v>
      </c>
      <c r="E588" t="s">
        <v>2007</v>
      </c>
    </row>
    <row r="589" spans="4:5">
      <c r="D589" t="s">
        <v>26</v>
      </c>
      <c r="E589" t="s">
        <v>26</v>
      </c>
    </row>
    <row r="590" spans="4:5">
      <c r="D590" t="s">
        <v>97</v>
      </c>
      <c r="E590" t="s">
        <v>97</v>
      </c>
    </row>
    <row r="591" spans="4:5">
      <c r="D591" t="s">
        <v>128</v>
      </c>
      <c r="E591" t="s">
        <v>128</v>
      </c>
    </row>
    <row r="592" spans="4:5">
      <c r="D592" t="s">
        <v>72</v>
      </c>
      <c r="E592" t="s">
        <v>72</v>
      </c>
    </row>
    <row r="593" spans="4:5">
      <c r="D593" t="s">
        <v>434</v>
      </c>
      <c r="E593" t="s">
        <v>434</v>
      </c>
    </row>
    <row r="594" spans="4:5">
      <c r="D594" t="s">
        <v>73</v>
      </c>
      <c r="E594" t="s">
        <v>73</v>
      </c>
    </row>
    <row r="595" spans="4:5">
      <c r="D595" t="s">
        <v>138</v>
      </c>
      <c r="E595" t="s">
        <v>138</v>
      </c>
    </row>
    <row r="596" spans="4:5">
      <c r="D596" t="s">
        <v>217</v>
      </c>
      <c r="E596" t="s">
        <v>217</v>
      </c>
    </row>
    <row r="597" spans="4:5">
      <c r="D597" t="s">
        <v>91</v>
      </c>
      <c r="E597" t="s">
        <v>91</v>
      </c>
    </row>
    <row r="598" spans="4:5">
      <c r="D598" t="s">
        <v>144</v>
      </c>
      <c r="E598" t="s">
        <v>144</v>
      </c>
    </row>
    <row r="599" spans="4:5">
      <c r="D599" t="s">
        <v>2012</v>
      </c>
      <c r="E599" t="s">
        <v>2012</v>
      </c>
    </row>
    <row r="600" spans="4:5">
      <c r="D600" t="s">
        <v>200</v>
      </c>
      <c r="E600" t="s">
        <v>200</v>
      </c>
    </row>
    <row r="601" spans="4:5">
      <c r="D601" t="s">
        <v>98</v>
      </c>
      <c r="E601" t="s">
        <v>98</v>
      </c>
    </row>
    <row r="602" spans="4:5">
      <c r="D602" t="s">
        <v>117</v>
      </c>
      <c r="E602" t="s">
        <v>117</v>
      </c>
    </row>
    <row r="603" spans="4:5">
      <c r="D603" t="s">
        <v>263</v>
      </c>
      <c r="E603" t="s">
        <v>263</v>
      </c>
    </row>
    <row r="604" spans="4:5">
      <c r="D604" t="s">
        <v>125</v>
      </c>
      <c r="E604" t="s">
        <v>125</v>
      </c>
    </row>
    <row r="605" spans="4:5">
      <c r="D605" t="s">
        <v>163</v>
      </c>
      <c r="E605" t="s">
        <v>163</v>
      </c>
    </row>
    <row r="606" spans="4:5">
      <c r="D606" t="s">
        <v>155</v>
      </c>
      <c r="E606" t="s">
        <v>155</v>
      </c>
    </row>
    <row r="607" spans="4:5">
      <c r="D607" t="s">
        <v>81</v>
      </c>
      <c r="E607" t="s">
        <v>81</v>
      </c>
    </row>
    <row r="608" spans="4:5">
      <c r="D608" t="s">
        <v>183</v>
      </c>
      <c r="E608" t="s">
        <v>183</v>
      </c>
    </row>
    <row r="609" spans="4:5">
      <c r="D609" t="s">
        <v>66</v>
      </c>
      <c r="E609" t="s">
        <v>66</v>
      </c>
    </row>
    <row r="610" spans="4:5">
      <c r="D610" t="s">
        <v>247</v>
      </c>
      <c r="E610" t="s">
        <v>247</v>
      </c>
    </row>
    <row r="611" spans="4:5">
      <c r="D611" t="s">
        <v>114</v>
      </c>
      <c r="E611" t="s">
        <v>114</v>
      </c>
    </row>
    <row r="612" spans="4:5">
      <c r="D612" t="s">
        <v>122</v>
      </c>
      <c r="E612" t="s">
        <v>122</v>
      </c>
    </row>
    <row r="613" spans="4:5">
      <c r="D613" t="s">
        <v>2009</v>
      </c>
      <c r="E613" t="s">
        <v>2009</v>
      </c>
    </row>
    <row r="614" spans="4:5">
      <c r="D614" t="s">
        <v>94</v>
      </c>
      <c r="E614" t="s">
        <v>94</v>
      </c>
    </row>
    <row r="615" spans="4:5">
      <c r="D615" t="s">
        <v>1206</v>
      </c>
      <c r="E615" t="s">
        <v>1206</v>
      </c>
    </row>
    <row r="616" spans="4:5">
      <c r="D616" t="s">
        <v>165</v>
      </c>
      <c r="E616" t="s">
        <v>165</v>
      </c>
    </row>
    <row r="617" spans="4:5">
      <c r="D617" t="s">
        <v>168</v>
      </c>
      <c r="E617" t="s">
        <v>168</v>
      </c>
    </row>
    <row r="618" spans="4:5">
      <c r="D618" t="s">
        <v>216</v>
      </c>
      <c r="E618" t="s">
        <v>216</v>
      </c>
    </row>
    <row r="619" spans="4:5">
      <c r="D619" t="s">
        <v>87</v>
      </c>
      <c r="E619" t="s">
        <v>87</v>
      </c>
    </row>
    <row r="620" spans="4:5">
      <c r="D620" t="s">
        <v>140</v>
      </c>
      <c r="E620" t="s">
        <v>140</v>
      </c>
    </row>
    <row r="621" spans="4:5">
      <c r="D621" t="s">
        <v>84</v>
      </c>
      <c r="E621" t="s">
        <v>84</v>
      </c>
    </row>
    <row r="622" spans="4:5">
      <c r="D622" t="s">
        <v>303</v>
      </c>
      <c r="E622" t="s">
        <v>303</v>
      </c>
    </row>
    <row r="623" spans="4:5">
      <c r="D623" t="s">
        <v>105</v>
      </c>
      <c r="E623" t="s">
        <v>105</v>
      </c>
    </row>
    <row r="624" spans="4:5">
      <c r="D624" t="s">
        <v>290</v>
      </c>
      <c r="E624" t="s">
        <v>290</v>
      </c>
    </row>
    <row r="625" spans="4:5">
      <c r="D625" t="s">
        <v>92</v>
      </c>
      <c r="E625" t="s">
        <v>92</v>
      </c>
    </row>
    <row r="626" spans="4:5">
      <c r="D626" t="s">
        <v>70</v>
      </c>
      <c r="E626" t="s">
        <v>70</v>
      </c>
    </row>
    <row r="627" spans="4:5">
      <c r="D627" t="s">
        <v>53</v>
      </c>
      <c r="E627" t="s">
        <v>53</v>
      </c>
    </row>
    <row r="628" spans="4:5">
      <c r="D628" t="s">
        <v>336</v>
      </c>
      <c r="E628" t="s">
        <v>336</v>
      </c>
    </row>
    <row r="629" spans="4:5">
      <c r="D629" t="s">
        <v>78</v>
      </c>
      <c r="E629" t="s">
        <v>78</v>
      </c>
    </row>
    <row r="630" spans="4:5">
      <c r="D630" t="s">
        <v>106</v>
      </c>
      <c r="E630" t="s">
        <v>106</v>
      </c>
    </row>
    <row r="631" spans="4:5">
      <c r="D631" t="s">
        <v>178</v>
      </c>
      <c r="E631" t="s">
        <v>178</v>
      </c>
    </row>
    <row r="632" spans="4:5">
      <c r="D632" t="s">
        <v>62</v>
      </c>
      <c r="E632" t="s">
        <v>62</v>
      </c>
    </row>
    <row r="633" spans="4:5">
      <c r="D633" t="s">
        <v>2008</v>
      </c>
      <c r="E633" t="s">
        <v>2008</v>
      </c>
    </row>
    <row r="634" spans="4:5">
      <c r="D634" t="s">
        <v>79</v>
      </c>
      <c r="E634" t="s">
        <v>79</v>
      </c>
    </row>
    <row r="635" spans="4:5">
      <c r="D635" t="s">
        <v>230</v>
      </c>
      <c r="E635" t="s">
        <v>230</v>
      </c>
    </row>
    <row r="636" spans="4:5">
      <c r="D636" t="s">
        <v>2010</v>
      </c>
      <c r="E636" t="s">
        <v>2010</v>
      </c>
    </row>
    <row r="637" spans="4:5">
      <c r="D637" t="s">
        <v>77</v>
      </c>
      <c r="E637" t="s">
        <v>77</v>
      </c>
    </row>
    <row r="638" spans="4:5">
      <c r="D638" t="s">
        <v>453</v>
      </c>
      <c r="E638" t="s">
        <v>453</v>
      </c>
    </row>
    <row r="639" spans="4:5">
      <c r="D639" t="s">
        <v>2017</v>
      </c>
      <c r="E639" t="s">
        <v>2017</v>
      </c>
    </row>
    <row r="640" spans="4:5">
      <c r="D640" t="s">
        <v>2018</v>
      </c>
      <c r="E640" t="s">
        <v>2018</v>
      </c>
    </row>
    <row r="641" spans="4:5">
      <c r="D641" t="s">
        <v>292</v>
      </c>
      <c r="E641" t="s">
        <v>292</v>
      </c>
    </row>
    <row r="642" spans="4:5">
      <c r="D642" t="s">
        <v>134</v>
      </c>
      <c r="E642" t="s">
        <v>134</v>
      </c>
    </row>
    <row r="643" spans="4:5">
      <c r="D643" t="s">
        <v>83</v>
      </c>
      <c r="E643" t="s">
        <v>83</v>
      </c>
    </row>
    <row r="644" spans="4:5">
      <c r="D644" t="s">
        <v>2019</v>
      </c>
      <c r="E644" t="s">
        <v>2019</v>
      </c>
    </row>
    <row r="645" spans="4:5">
      <c r="D645" t="s">
        <v>142</v>
      </c>
      <c r="E645" t="s">
        <v>142</v>
      </c>
    </row>
    <row r="646" spans="4:5">
      <c r="D646" t="s">
        <v>166</v>
      </c>
      <c r="E646" t="s">
        <v>166</v>
      </c>
    </row>
    <row r="647" spans="4:5">
      <c r="D647" t="s">
        <v>314</v>
      </c>
      <c r="E647" t="s">
        <v>314</v>
      </c>
    </row>
    <row r="648" spans="4:5">
      <c r="D648" t="s">
        <v>196</v>
      </c>
      <c r="E648" t="s">
        <v>196</v>
      </c>
    </row>
    <row r="649" spans="4:5">
      <c r="D649" t="s">
        <v>297</v>
      </c>
      <c r="E649" t="s">
        <v>297</v>
      </c>
    </row>
    <row r="650" spans="4:5">
      <c r="D650" t="s">
        <v>2020</v>
      </c>
      <c r="E650" t="s">
        <v>2020</v>
      </c>
    </row>
    <row r="651" spans="4:5">
      <c r="D651" t="s">
        <v>146</v>
      </c>
      <c r="E651" t="s">
        <v>146</v>
      </c>
    </row>
    <row r="652" spans="4:5">
      <c r="D652" t="s">
        <v>99</v>
      </c>
      <c r="E652" t="s">
        <v>99</v>
      </c>
    </row>
    <row r="653" spans="4:5">
      <c r="D653" t="s">
        <v>383</v>
      </c>
      <c r="E653" t="s">
        <v>383</v>
      </c>
    </row>
    <row r="654" spans="4:5">
      <c r="D654" t="s">
        <v>132</v>
      </c>
      <c r="E654" t="s">
        <v>132</v>
      </c>
    </row>
    <row r="655" spans="4:5">
      <c r="D655" t="s">
        <v>147</v>
      </c>
      <c r="E655" t="s">
        <v>147</v>
      </c>
    </row>
    <row r="656" spans="4:5">
      <c r="D656" t="s">
        <v>235</v>
      </c>
      <c r="E656" t="s">
        <v>235</v>
      </c>
    </row>
    <row r="657" spans="4:5">
      <c r="D657" t="s">
        <v>167</v>
      </c>
      <c r="E657" t="s">
        <v>1058</v>
      </c>
    </row>
    <row r="658" spans="4:5">
      <c r="D658" t="s">
        <v>194</v>
      </c>
      <c r="E658" t="s">
        <v>1054</v>
      </c>
    </row>
    <row r="659" spans="4:5">
      <c r="D659" t="s">
        <v>182</v>
      </c>
      <c r="E659" t="s">
        <v>1056</v>
      </c>
    </row>
    <row r="660" spans="4:5">
      <c r="D660" t="s">
        <v>208</v>
      </c>
      <c r="E660" t="s">
        <v>1061</v>
      </c>
    </row>
    <row r="661" spans="4:5">
      <c r="D661" t="s">
        <v>206</v>
      </c>
      <c r="E661" t="s">
        <v>1198</v>
      </c>
    </row>
    <row r="662" spans="4:5">
      <c r="D662" t="s">
        <v>181</v>
      </c>
      <c r="E662" t="s">
        <v>1063</v>
      </c>
    </row>
    <row r="663" spans="4:5">
      <c r="D663" t="s">
        <v>179</v>
      </c>
      <c r="E663" t="s">
        <v>1069</v>
      </c>
    </row>
    <row r="664" spans="4:5">
      <c r="D664" t="s">
        <v>293</v>
      </c>
      <c r="E664" t="s">
        <v>2014</v>
      </c>
    </row>
    <row r="665" spans="4:5">
      <c r="D665" t="s">
        <v>323</v>
      </c>
      <c r="E665" t="s">
        <v>1065</v>
      </c>
    </row>
    <row r="666" spans="4:5">
      <c r="D666" t="s">
        <v>201</v>
      </c>
      <c r="E666" t="s">
        <v>1067</v>
      </c>
    </row>
    <row r="667" spans="4:5">
      <c r="D667" t="s">
        <v>199</v>
      </c>
      <c r="E667" t="s">
        <v>1184</v>
      </c>
    </row>
    <row r="668" spans="4:5">
      <c r="D668" t="s">
        <v>210</v>
      </c>
      <c r="E668" t="s">
        <v>1203</v>
      </c>
    </row>
    <row r="669" spans="4:5">
      <c r="D669" t="s">
        <v>198</v>
      </c>
      <c r="E669" t="s">
        <v>198</v>
      </c>
    </row>
    <row r="670" spans="4:5">
      <c r="D670" t="s">
        <v>203</v>
      </c>
      <c r="E670" t="s">
        <v>203</v>
      </c>
    </row>
    <row r="671" spans="4:5">
      <c r="D671" t="s">
        <v>335</v>
      </c>
      <c r="E671" t="s">
        <v>335</v>
      </c>
    </row>
    <row r="672" spans="4:5">
      <c r="D672" t="s">
        <v>2011</v>
      </c>
      <c r="E672" t="s">
        <v>2011</v>
      </c>
    </row>
    <row r="673" spans="4:5">
      <c r="D673" t="s">
        <v>214</v>
      </c>
      <c r="E673" t="s">
        <v>214</v>
      </c>
    </row>
    <row r="674" spans="4:5">
      <c r="D674" t="s">
        <v>380</v>
      </c>
      <c r="E674" t="s">
        <v>380</v>
      </c>
    </row>
    <row r="675" spans="4:5">
      <c r="D675" t="s">
        <v>225</v>
      </c>
      <c r="E675" t="s">
        <v>225</v>
      </c>
    </row>
    <row r="676" spans="4:5">
      <c r="D676" t="s">
        <v>361</v>
      </c>
      <c r="E676" t="s">
        <v>361</v>
      </c>
    </row>
    <row r="677" spans="4:5">
      <c r="D677" t="s">
        <v>202</v>
      </c>
      <c r="E677" t="s">
        <v>202</v>
      </c>
    </row>
    <row r="678" spans="4:5">
      <c r="D678" t="s">
        <v>319</v>
      </c>
      <c r="E678" t="s">
        <v>319</v>
      </c>
    </row>
    <row r="679" spans="4:5">
      <c r="D679" t="s">
        <v>406</v>
      </c>
      <c r="E679" t="s">
        <v>406</v>
      </c>
    </row>
    <row r="680" spans="4:5">
      <c r="D680" t="s">
        <v>316</v>
      </c>
      <c r="E680" t="s">
        <v>316</v>
      </c>
    </row>
    <row r="681" spans="4:5">
      <c r="D681" t="s">
        <v>287</v>
      </c>
      <c r="E681" t="s">
        <v>287</v>
      </c>
    </row>
    <row r="682" spans="4:5">
      <c r="D682" t="s">
        <v>254</v>
      </c>
      <c r="E682" t="s">
        <v>254</v>
      </c>
    </row>
    <row r="683" spans="4:5">
      <c r="D683" t="s">
        <v>52</v>
      </c>
      <c r="E683" t="s">
        <v>52</v>
      </c>
    </row>
    <row r="684" spans="4:5">
      <c r="D684" t="s">
        <v>239</v>
      </c>
      <c r="E684" t="s">
        <v>239</v>
      </c>
    </row>
    <row r="685" spans="4:5">
      <c r="D685" t="s">
        <v>2021</v>
      </c>
      <c r="E685" t="s">
        <v>2021</v>
      </c>
    </row>
    <row r="686" spans="4:5">
      <c r="D686" t="s">
        <v>118</v>
      </c>
      <c r="E686" t="s">
        <v>118</v>
      </c>
    </row>
    <row r="687" spans="4:5">
      <c r="D687" t="s">
        <v>191</v>
      </c>
      <c r="E687" t="s">
        <v>191</v>
      </c>
    </row>
    <row r="688" spans="4:5">
      <c r="D688" t="s">
        <v>124</v>
      </c>
      <c r="E688" t="s">
        <v>124</v>
      </c>
    </row>
    <row r="689" spans="4:5">
      <c r="D689" t="s">
        <v>2022</v>
      </c>
      <c r="E689" t="s">
        <v>2022</v>
      </c>
    </row>
    <row r="690" spans="4:5">
      <c r="D690" t="s">
        <v>300</v>
      </c>
      <c r="E690" t="s">
        <v>300</v>
      </c>
    </row>
    <row r="691" spans="4:5">
      <c r="D691" t="s">
        <v>2023</v>
      </c>
      <c r="E691" t="s">
        <v>2023</v>
      </c>
    </row>
    <row r="692" spans="4:5">
      <c r="D692" t="s">
        <v>2024</v>
      </c>
      <c r="E692" t="s">
        <v>2024</v>
      </c>
    </row>
    <row r="693" spans="4:5">
      <c r="D693" t="s">
        <v>2025</v>
      </c>
      <c r="E693" t="s">
        <v>2025</v>
      </c>
    </row>
    <row r="694" spans="4:5">
      <c r="D694" t="s">
        <v>2026</v>
      </c>
      <c r="E694" t="s">
        <v>2026</v>
      </c>
    </row>
    <row r="695" spans="4:5">
      <c r="D695" t="s">
        <v>364</v>
      </c>
      <c r="E695" t="s">
        <v>364</v>
      </c>
    </row>
    <row r="696" spans="4:5">
      <c r="D696" t="s">
        <v>377</v>
      </c>
      <c r="E696" t="s">
        <v>377</v>
      </c>
    </row>
    <row r="697" spans="4:5">
      <c r="D697" t="s">
        <v>220</v>
      </c>
      <c r="E697" t="s">
        <v>220</v>
      </c>
    </row>
    <row r="698" spans="4:5">
      <c r="D698" t="s">
        <v>2027</v>
      </c>
      <c r="E698" t="s">
        <v>2027</v>
      </c>
    </row>
    <row r="699" spans="4:5">
      <c r="D699" t="s">
        <v>2028</v>
      </c>
      <c r="E699" t="s">
        <v>2028</v>
      </c>
    </row>
    <row r="700" spans="4:5">
      <c r="D700" t="s">
        <v>2029</v>
      </c>
      <c r="E700" t="s">
        <v>2029</v>
      </c>
    </row>
    <row r="701" spans="4:5">
      <c r="D701" t="s">
        <v>312</v>
      </c>
      <c r="E701" t="s">
        <v>312</v>
      </c>
    </row>
    <row r="702" spans="4:5">
      <c r="D702" t="s">
        <v>291</v>
      </c>
      <c r="E702" t="s">
        <v>291</v>
      </c>
    </row>
    <row r="703" spans="4:5">
      <c r="D703" t="s">
        <v>2030</v>
      </c>
      <c r="E703" t="s">
        <v>2030</v>
      </c>
    </row>
    <row r="704" spans="4:5">
      <c r="D704" t="s">
        <v>282</v>
      </c>
      <c r="E704" t="s">
        <v>282</v>
      </c>
    </row>
    <row r="705" spans="4:5">
      <c r="D705" t="s">
        <v>2031</v>
      </c>
      <c r="E705" t="s">
        <v>2031</v>
      </c>
    </row>
    <row r="706" spans="4:5">
      <c r="D706" t="s">
        <v>2047</v>
      </c>
      <c r="E706" t="s">
        <v>2032</v>
      </c>
    </row>
    <row r="707" spans="4:5">
      <c r="D707" t="s">
        <v>271</v>
      </c>
      <c r="E707" t="s">
        <v>1133</v>
      </c>
    </row>
    <row r="708" spans="4:5">
      <c r="D708" t="s">
        <v>215</v>
      </c>
      <c r="E708" t="s">
        <v>1153</v>
      </c>
    </row>
    <row r="709" spans="4:5">
      <c r="D709" t="s">
        <v>2033</v>
      </c>
      <c r="E709" t="s">
        <v>2033</v>
      </c>
    </row>
    <row r="710" spans="4:5">
      <c r="D710" t="s">
        <v>374</v>
      </c>
      <c r="E710" t="s">
        <v>2034</v>
      </c>
    </row>
    <row r="711" spans="4:5">
      <c r="D711" t="s">
        <v>1541</v>
      </c>
      <c r="E711" t="s">
        <v>1541</v>
      </c>
    </row>
    <row r="712" spans="4:5">
      <c r="D712" t="s">
        <v>2035</v>
      </c>
      <c r="E712" t="s">
        <v>2035</v>
      </c>
    </row>
    <row r="713" spans="4:5">
      <c r="D713" t="s">
        <v>238</v>
      </c>
      <c r="E713" t="s">
        <v>238</v>
      </c>
    </row>
    <row r="714" spans="4:5">
      <c r="D714" t="s">
        <v>367</v>
      </c>
      <c r="E714" t="s">
        <v>367</v>
      </c>
    </row>
    <row r="715" spans="4:5">
      <c r="D715" t="s">
        <v>1592</v>
      </c>
      <c r="E715" t="s">
        <v>2036</v>
      </c>
    </row>
    <row r="716" spans="4:5">
      <c r="D716" t="s">
        <v>394</v>
      </c>
      <c r="E716" t="s">
        <v>1072</v>
      </c>
    </row>
    <row r="717" spans="4:5">
      <c r="D717" t="s">
        <v>413</v>
      </c>
      <c r="E717" t="s">
        <v>413</v>
      </c>
    </row>
    <row r="718" spans="4:5">
      <c r="D718" t="s">
        <v>325</v>
      </c>
      <c r="E718" t="s">
        <v>2037</v>
      </c>
    </row>
    <row r="719" spans="4:5">
      <c r="D719" t="s">
        <v>449</v>
      </c>
      <c r="E719" t="s">
        <v>449</v>
      </c>
    </row>
    <row r="720" spans="4:5">
      <c r="D720" t="s">
        <v>296</v>
      </c>
      <c r="E720" t="s">
        <v>296</v>
      </c>
    </row>
    <row r="721" spans="4:5">
      <c r="D721" t="s">
        <v>2038</v>
      </c>
      <c r="E721" t="s">
        <v>2038</v>
      </c>
    </row>
    <row r="722" spans="4:5">
      <c r="D722" t="s">
        <v>2039</v>
      </c>
      <c r="E722" t="s">
        <v>2039</v>
      </c>
    </row>
    <row r="723" spans="4:5">
      <c r="D723" t="s">
        <v>322</v>
      </c>
      <c r="E723" t="s">
        <v>322</v>
      </c>
    </row>
    <row r="724" spans="4:5">
      <c r="D724" t="s">
        <v>480</v>
      </c>
      <c r="E724" t="s">
        <v>480</v>
      </c>
    </row>
    <row r="725" spans="4:5">
      <c r="D725" t="s">
        <v>438</v>
      </c>
      <c r="E725" t="s">
        <v>438</v>
      </c>
    </row>
    <row r="726" spans="4:5">
      <c r="D726" t="s">
        <v>482</v>
      </c>
      <c r="E726" t="s">
        <v>482</v>
      </c>
    </row>
    <row r="727" spans="4:5">
      <c r="D727" t="s">
        <v>451</v>
      </c>
      <c r="E727" t="s">
        <v>451</v>
      </c>
    </row>
    <row r="728" spans="4:5">
      <c r="D728" t="s">
        <v>398</v>
      </c>
      <c r="E728" t="s">
        <v>398</v>
      </c>
    </row>
    <row r="729" spans="4:5">
      <c r="D729" t="s">
        <v>281</v>
      </c>
      <c r="E729" t="s">
        <v>281</v>
      </c>
    </row>
    <row r="730" spans="4:5">
      <c r="D730" t="s">
        <v>474</v>
      </c>
      <c r="E730" t="s">
        <v>474</v>
      </c>
    </row>
    <row r="731" spans="4:5">
      <c r="D731" t="s">
        <v>2040</v>
      </c>
      <c r="E731" t="s">
        <v>2040</v>
      </c>
    </row>
    <row r="732" spans="4:5">
      <c r="D732" t="s">
        <v>2041</v>
      </c>
      <c r="E732" t="s">
        <v>2041</v>
      </c>
    </row>
    <row r="733" spans="4:5">
      <c r="D733" t="s">
        <v>2048</v>
      </c>
      <c r="E733" t="s">
        <v>2042</v>
      </c>
    </row>
    <row r="734" spans="4:5">
      <c r="D734" t="s">
        <v>306</v>
      </c>
      <c r="E734" t="s">
        <v>1186</v>
      </c>
    </row>
    <row r="735" spans="4:5">
      <c r="D735" t="s">
        <v>2043</v>
      </c>
      <c r="E735" t="s">
        <v>2043</v>
      </c>
    </row>
    <row r="736" spans="4:5">
      <c r="D736" t="s">
        <v>2044</v>
      </c>
      <c r="E736" t="s">
        <v>2044</v>
      </c>
    </row>
    <row r="737" spans="4:5">
      <c r="D737" t="s">
        <v>379</v>
      </c>
      <c r="E737" t="s">
        <v>379</v>
      </c>
    </row>
    <row r="738" spans="4:5">
      <c r="D738" t="s">
        <v>237</v>
      </c>
      <c r="E738" t="s">
        <v>1200</v>
      </c>
    </row>
    <row r="739" spans="4:5">
      <c r="D739" t="s">
        <v>227</v>
      </c>
      <c r="E739" t="s">
        <v>1074</v>
      </c>
    </row>
    <row r="740" spans="4:5">
      <c r="D740" t="s">
        <v>419</v>
      </c>
      <c r="E740" t="s">
        <v>2045</v>
      </c>
    </row>
    <row r="741" spans="4:5">
      <c r="D741" t="s">
        <v>1610</v>
      </c>
      <c r="E741" t="s">
        <v>2046</v>
      </c>
    </row>
    <row r="742" spans="4:5">
      <c r="D742" t="str">
        <f>Table5[[#This Row],[ESPN]]</f>
        <v>Tre' Harris</v>
      </c>
      <c r="E742" t="s">
        <v>174</v>
      </c>
    </row>
    <row r="743" spans="4:5">
      <c r="D743" t="s">
        <v>374</v>
      </c>
      <c r="E743" t="s">
        <v>374</v>
      </c>
    </row>
    <row r="744" spans="4:5">
      <c r="D744" t="s">
        <v>2050</v>
      </c>
      <c r="E744" t="s">
        <v>2050</v>
      </c>
    </row>
    <row r="745" spans="4:5">
      <c r="D745" t="s">
        <v>2047</v>
      </c>
      <c r="E745" t="s">
        <v>2047</v>
      </c>
    </row>
    <row r="746" spans="4:5">
      <c r="D746" t="s">
        <v>378</v>
      </c>
      <c r="E746" t="s">
        <v>378</v>
      </c>
    </row>
    <row r="747" spans="4:5">
      <c r="D747" t="s">
        <v>2053</v>
      </c>
      <c r="E747" t="s">
        <v>2053</v>
      </c>
    </row>
    <row r="748" spans="4:5">
      <c r="D748" t="s">
        <v>2107</v>
      </c>
      <c r="E748" t="s">
        <v>2107</v>
      </c>
    </row>
    <row r="749" spans="4:5">
      <c r="D749" t="s">
        <v>2108</v>
      </c>
      <c r="E749" t="s">
        <v>2108</v>
      </c>
    </row>
  </sheetData>
  <hyperlinks>
    <hyperlink ref="J1" r:id="rId1" xr:uid="{DB4E0F5E-FCA8-40D5-8477-A7F580915E3F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F301"/>
  <sheetViews>
    <sheetView zoomScale="80" zoomScaleNormal="80" workbookViewId="0">
      <selection activeCell="D243" sqref="D243"/>
    </sheetView>
  </sheetViews>
  <sheetFormatPr defaultRowHeight="14.5"/>
  <cols>
    <col min="1" max="1" width="13.36328125" customWidth="1"/>
    <col min="2" max="2" width="10.453125" customWidth="1"/>
    <col min="3" max="3" width="9.6328125" customWidth="1"/>
    <col min="4" max="4" width="19.1796875" customWidth="1"/>
    <col min="6" max="6" width="15.1796875" style="10" customWidth="1"/>
  </cols>
  <sheetData>
    <row r="1" spans="1:6">
      <c r="A1" t="s">
        <v>862</v>
      </c>
      <c r="B1" t="s">
        <v>863</v>
      </c>
      <c r="C1" t="s">
        <v>506</v>
      </c>
      <c r="D1" t="s">
        <v>503</v>
      </c>
      <c r="E1" t="s">
        <v>515</v>
      </c>
      <c r="F1" s="10" t="s">
        <v>864</v>
      </c>
    </row>
    <row r="2" spans="1:6">
      <c r="A2">
        <v>1</v>
      </c>
      <c r="B2" t="s">
        <v>527</v>
      </c>
      <c r="C2" t="s">
        <v>867</v>
      </c>
      <c r="D2" t="s">
        <v>11</v>
      </c>
      <c r="E2" t="s">
        <v>871</v>
      </c>
      <c r="F2" s="10" t="str">
        <f>INDEX(Table5[Fantasy Pros],MATCH(Table2[[#This Row],[Player]],Table5[ESPN],0))</f>
        <v>Jahmyr Gibbs</v>
      </c>
    </row>
    <row r="3" spans="1:6">
      <c r="A3">
        <v>2</v>
      </c>
      <c r="B3" t="s">
        <v>530</v>
      </c>
      <c r="C3" t="s">
        <v>867</v>
      </c>
      <c r="D3" t="s">
        <v>6</v>
      </c>
      <c r="E3" t="s">
        <v>868</v>
      </c>
      <c r="F3" s="10" t="str">
        <f>INDEX(Table5[Fantasy Pros],MATCH(Table2[[#This Row],[Player]],Table5[ESPN],0))</f>
        <v>Bijan Robinson</v>
      </c>
    </row>
    <row r="4" spans="1:6">
      <c r="A4">
        <v>3</v>
      </c>
      <c r="B4" t="s">
        <v>545</v>
      </c>
      <c r="C4" t="s">
        <v>865</v>
      </c>
      <c r="D4" t="s">
        <v>4</v>
      </c>
      <c r="E4" t="s">
        <v>866</v>
      </c>
      <c r="F4" s="10" t="str">
        <f>INDEX(Table5[Fantasy Pros],MATCH(Table2[[#This Row],[Player]],Table5[ESPN],0))</f>
        <v>Ja'Marr Chase</v>
      </c>
    </row>
    <row r="5" spans="1:6">
      <c r="A5">
        <v>4</v>
      </c>
      <c r="B5" t="s">
        <v>548</v>
      </c>
      <c r="C5" t="s">
        <v>865</v>
      </c>
      <c r="D5" t="s">
        <v>14</v>
      </c>
      <c r="E5" t="s">
        <v>874</v>
      </c>
      <c r="F5" s="10" t="str">
        <f>INDEX(Table5[Fantasy Pros],MATCH(Table2[[#This Row],[Player]],Table5[ESPN],0))</f>
        <v>Puka Nacua</v>
      </c>
    </row>
    <row r="6" spans="1:6">
      <c r="A6">
        <v>5</v>
      </c>
      <c r="B6" t="s">
        <v>551</v>
      </c>
      <c r="C6" t="s">
        <v>865</v>
      </c>
      <c r="D6" t="s">
        <v>38</v>
      </c>
      <c r="E6" t="s">
        <v>907</v>
      </c>
      <c r="F6" s="10" t="str">
        <f>INDEX(Table5[Fantasy Pros],MATCH(Table2[[#This Row],[Player]],Table5[ESPN],0))</f>
        <v>Jaxon Smith-Njigba</v>
      </c>
    </row>
    <row r="7" spans="1:6">
      <c r="A7">
        <v>6</v>
      </c>
      <c r="B7" t="s">
        <v>533</v>
      </c>
      <c r="C7" t="s">
        <v>867</v>
      </c>
      <c r="D7" t="s">
        <v>18</v>
      </c>
      <c r="E7" t="s">
        <v>873</v>
      </c>
      <c r="F7" s="10" t="str">
        <f>INDEX(Table5[Fantasy Pros],MATCH(Table2[[#This Row],[Player]],Table5[ESPN],0))</f>
        <v>Christian McCaffrey</v>
      </c>
    </row>
    <row r="8" spans="1:6">
      <c r="A8">
        <v>7</v>
      </c>
      <c r="B8" t="s">
        <v>536</v>
      </c>
      <c r="C8" t="s">
        <v>867</v>
      </c>
      <c r="D8" t="s">
        <v>21</v>
      </c>
      <c r="E8" t="s">
        <v>885</v>
      </c>
      <c r="F8" s="10" t="str">
        <f>INDEX(Table5[Fantasy Pros],MATCH(Table2[[#This Row],[Player]],Table5[ESPN],0))</f>
        <v>Jonathan Taylor</v>
      </c>
    </row>
    <row r="9" spans="1:6">
      <c r="A9">
        <v>8</v>
      </c>
      <c r="B9" t="s">
        <v>554</v>
      </c>
      <c r="C9" t="s">
        <v>865</v>
      </c>
      <c r="D9" t="s">
        <v>17</v>
      </c>
      <c r="E9" t="s">
        <v>871</v>
      </c>
      <c r="F9" s="10" t="str">
        <f>INDEX(Table5[Fantasy Pros],MATCH(Table2[[#This Row],[Player]],Table5[ESPN],0))</f>
        <v>Amon-Ra St. Brown</v>
      </c>
    </row>
    <row r="10" spans="1:6">
      <c r="A10">
        <v>9</v>
      </c>
      <c r="B10" t="s">
        <v>557</v>
      </c>
      <c r="C10" t="s">
        <v>865</v>
      </c>
      <c r="D10" t="s">
        <v>10</v>
      </c>
      <c r="E10" t="s">
        <v>872</v>
      </c>
      <c r="F10" s="10" t="str">
        <f>INDEX(Table5[Fantasy Pros],MATCH(Table2[[#This Row],[Player]],Table5[ESPN],0))</f>
        <v>CeeDee Lamb</v>
      </c>
    </row>
    <row r="11" spans="1:6">
      <c r="A11">
        <v>10</v>
      </c>
      <c r="B11" t="s">
        <v>560</v>
      </c>
      <c r="C11" t="s">
        <v>865</v>
      </c>
      <c r="D11" t="s">
        <v>9</v>
      </c>
      <c r="E11" t="s">
        <v>869</v>
      </c>
      <c r="F11" s="10" t="str">
        <f>INDEX(Table5[Fantasy Pros],MATCH(Table2[[#This Row],[Player]],Table5[ESPN],0))</f>
        <v>Justin Jefferson</v>
      </c>
    </row>
    <row r="12" spans="1:6">
      <c r="A12">
        <v>11</v>
      </c>
      <c r="B12" t="s">
        <v>539</v>
      </c>
      <c r="C12" t="s">
        <v>867</v>
      </c>
      <c r="D12" t="s">
        <v>12</v>
      </c>
      <c r="E12" t="s">
        <v>889</v>
      </c>
      <c r="F12" s="10" t="str">
        <f>INDEX(Table5[Fantasy Pros],MATCH(Table2[[#This Row],[Player]],Table5[ESPN],0))</f>
        <v>Derrick Henry</v>
      </c>
    </row>
    <row r="13" spans="1:6">
      <c r="A13">
        <v>12</v>
      </c>
      <c r="B13" t="s">
        <v>542</v>
      </c>
      <c r="C13" t="s">
        <v>867</v>
      </c>
      <c r="D13" t="s">
        <v>2003</v>
      </c>
      <c r="E13" t="s">
        <v>901</v>
      </c>
      <c r="F13" s="10" t="str">
        <f>INDEX(Table5[Fantasy Pros],MATCH(Table2[[#This Row],[Player]],Table5[ESPN],0))</f>
        <v>James Cook III</v>
      </c>
    </row>
    <row r="14" spans="1:6">
      <c r="A14">
        <v>13</v>
      </c>
      <c r="B14" t="s">
        <v>884</v>
      </c>
      <c r="C14" t="s">
        <v>867</v>
      </c>
      <c r="D14" t="s">
        <v>23</v>
      </c>
      <c r="E14" t="s">
        <v>877</v>
      </c>
      <c r="F14" s="10" t="str">
        <f>INDEX(Table5[Fantasy Pros],MATCH(Table2[[#This Row],[Player]],Table5[ESPN],0))</f>
        <v>De'Von Achane</v>
      </c>
    </row>
    <row r="15" spans="1:6">
      <c r="A15">
        <v>14</v>
      </c>
      <c r="B15" t="s">
        <v>878</v>
      </c>
      <c r="C15" t="s">
        <v>865</v>
      </c>
      <c r="D15" t="s">
        <v>22</v>
      </c>
      <c r="E15" t="s">
        <v>868</v>
      </c>
      <c r="F15" s="10" t="str">
        <f>INDEX(Table5[Fantasy Pros],MATCH(Table2[[#This Row],[Player]],Table5[ESPN],0))</f>
        <v>Drake London</v>
      </c>
    </row>
    <row r="16" spans="1:6">
      <c r="A16">
        <v>15</v>
      </c>
      <c r="B16" t="s">
        <v>886</v>
      </c>
      <c r="C16" t="s">
        <v>867</v>
      </c>
      <c r="D16" t="s">
        <v>7</v>
      </c>
      <c r="E16" t="s">
        <v>870</v>
      </c>
      <c r="F16" s="10" t="str">
        <f>INDEX(Table5[Fantasy Pros],MATCH(Table2[[#This Row],[Player]],Table5[ESPN],0))</f>
        <v>Saquon Barkley</v>
      </c>
    </row>
    <row r="17" spans="1:6">
      <c r="A17">
        <v>16</v>
      </c>
      <c r="B17" t="s">
        <v>888</v>
      </c>
      <c r="C17" t="s">
        <v>867</v>
      </c>
      <c r="D17" t="s">
        <v>19</v>
      </c>
      <c r="E17" t="s">
        <v>876</v>
      </c>
      <c r="F17" s="10" t="str">
        <f>INDEX(Table5[Fantasy Pros],MATCH(Table2[[#This Row],[Player]],Table5[ESPN],0))</f>
        <v>Ashton Jeanty</v>
      </c>
    </row>
    <row r="18" spans="1:6">
      <c r="A18">
        <v>17</v>
      </c>
      <c r="B18" t="s">
        <v>892</v>
      </c>
      <c r="C18" t="s">
        <v>867</v>
      </c>
      <c r="D18" t="s">
        <v>2004</v>
      </c>
      <c r="E18" t="s">
        <v>891</v>
      </c>
      <c r="F18" s="10" t="str">
        <f>INDEX(Table5[Fantasy Pros],MATCH(Table2[[#This Row],[Player]],Table5[ESPN],0))</f>
        <v>Jeremiyah Love</v>
      </c>
    </row>
    <row r="19" spans="1:6">
      <c r="A19">
        <v>18</v>
      </c>
      <c r="B19" t="s">
        <v>894</v>
      </c>
      <c r="C19" t="s">
        <v>867</v>
      </c>
      <c r="D19" t="s">
        <v>44</v>
      </c>
      <c r="E19" t="s">
        <v>925</v>
      </c>
      <c r="F19" s="10" t="str">
        <f>INDEX(Table5[Fantasy Pros],MATCH(Table2[[#This Row],[Player]],Table5[ESPN],0))</f>
        <v>Kenneth Walker III</v>
      </c>
    </row>
    <row r="20" spans="1:6">
      <c r="A20">
        <v>19</v>
      </c>
      <c r="B20" t="s">
        <v>904</v>
      </c>
      <c r="C20" t="s">
        <v>867</v>
      </c>
      <c r="D20" t="s">
        <v>43</v>
      </c>
      <c r="E20" t="s">
        <v>898</v>
      </c>
      <c r="F20" s="10" t="str">
        <f>INDEX(Table5[Fantasy Pros],MATCH(Table2[[#This Row],[Player]],Table5[ESPN],0))</f>
        <v>Omarion Hampton</v>
      </c>
    </row>
    <row r="21" spans="1:6">
      <c r="A21">
        <v>20</v>
      </c>
      <c r="B21" t="s">
        <v>563</v>
      </c>
      <c r="C21" t="s">
        <v>890</v>
      </c>
      <c r="D21" t="s">
        <v>36</v>
      </c>
      <c r="E21" t="s">
        <v>891</v>
      </c>
      <c r="F21" s="10" t="str">
        <f>INDEX(Table5[Fantasy Pros],MATCH(Table2[[#This Row],[Player]],Table5[ESPN],0))</f>
        <v>Trey McBride</v>
      </c>
    </row>
    <row r="22" spans="1:6">
      <c r="A22">
        <v>21</v>
      </c>
      <c r="B22" t="s">
        <v>566</v>
      </c>
      <c r="C22" t="s">
        <v>890</v>
      </c>
      <c r="D22" t="s">
        <v>25</v>
      </c>
      <c r="E22" t="s">
        <v>876</v>
      </c>
      <c r="F22" s="10" t="str">
        <f>INDEX(Table5[Fantasy Pros],MATCH(Table2[[#This Row],[Player]],Table5[ESPN],0))</f>
        <v>Brock Bowers</v>
      </c>
    </row>
    <row r="23" spans="1:6">
      <c r="A23">
        <v>22</v>
      </c>
      <c r="B23" t="s">
        <v>905</v>
      </c>
      <c r="C23" t="s">
        <v>867</v>
      </c>
      <c r="D23" t="s">
        <v>46</v>
      </c>
      <c r="E23" t="s">
        <v>910</v>
      </c>
      <c r="F23" s="10" t="str">
        <f>INDEX(Table5[Fantasy Pros],MATCH(Table2[[#This Row],[Player]],Table5[ESPN],0))</f>
        <v>Breece Hall</v>
      </c>
    </row>
    <row r="24" spans="1:6">
      <c r="A24">
        <v>23</v>
      </c>
      <c r="B24" t="s">
        <v>911</v>
      </c>
      <c r="C24" t="s">
        <v>867</v>
      </c>
      <c r="D24" t="s">
        <v>33</v>
      </c>
      <c r="E24" t="s">
        <v>866</v>
      </c>
      <c r="F24" s="10" t="str">
        <f>INDEX(Table5[Fantasy Pros],MATCH(Table2[[#This Row],[Player]],Table5[ESPN],0))</f>
        <v>Chase Brown</v>
      </c>
    </row>
    <row r="25" spans="1:6">
      <c r="A25">
        <v>24</v>
      </c>
      <c r="B25" t="s">
        <v>880</v>
      </c>
      <c r="C25" t="s">
        <v>865</v>
      </c>
      <c r="D25" t="s">
        <v>76</v>
      </c>
      <c r="E25" t="s">
        <v>925</v>
      </c>
      <c r="F25" s="10" t="str">
        <f>INDEX(Table5[Fantasy Pros],MATCH(Table2[[#This Row],[Player]],Table5[ESPN],0))</f>
        <v>Rashee Rice</v>
      </c>
    </row>
    <row r="26" spans="1:6">
      <c r="A26">
        <v>25</v>
      </c>
      <c r="B26" t="s">
        <v>882</v>
      </c>
      <c r="C26" t="s">
        <v>865</v>
      </c>
      <c r="D26" t="s">
        <v>13</v>
      </c>
      <c r="E26" t="s">
        <v>879</v>
      </c>
      <c r="F26" s="10" t="str">
        <f>INDEX(Table5[Fantasy Pros],MATCH(Table2[[#This Row],[Player]],Table5[ESPN],0))</f>
        <v>Nico Collins</v>
      </c>
    </row>
    <row r="27" spans="1:6">
      <c r="A27">
        <v>26</v>
      </c>
      <c r="B27" t="s">
        <v>883</v>
      </c>
      <c r="C27" t="s">
        <v>865</v>
      </c>
      <c r="D27" t="s">
        <v>20</v>
      </c>
      <c r="E27" t="s">
        <v>921</v>
      </c>
      <c r="F27" s="10" t="str">
        <f>INDEX(Table5[Fantasy Pros],MATCH(Table2[[#This Row],[Player]],Table5[ESPN],0))</f>
        <v>A.J. Brown</v>
      </c>
    </row>
    <row r="28" spans="1:6">
      <c r="A28">
        <v>27</v>
      </c>
      <c r="B28" t="s">
        <v>895</v>
      </c>
      <c r="C28" t="s">
        <v>865</v>
      </c>
      <c r="D28" t="s">
        <v>86</v>
      </c>
      <c r="E28" t="s">
        <v>916</v>
      </c>
      <c r="F28" s="10" t="str">
        <f>INDEX(Table5[Fantasy Pros],MATCH(Table2[[#This Row],[Player]],Table5[ESPN],0))</f>
        <v>Chris Olave</v>
      </c>
    </row>
    <row r="29" spans="1:6">
      <c r="A29">
        <v>28</v>
      </c>
      <c r="B29" t="s">
        <v>896</v>
      </c>
      <c r="C29" t="s">
        <v>865</v>
      </c>
      <c r="D29" t="s">
        <v>61</v>
      </c>
      <c r="E29" t="s">
        <v>872</v>
      </c>
      <c r="F29" s="10" t="str">
        <f>INDEX(Table5[Fantasy Pros],MATCH(Table2[[#This Row],[Player]],Table5[ESPN],0))</f>
        <v>George Pickens</v>
      </c>
    </row>
    <row r="30" spans="1:6">
      <c r="A30">
        <v>29</v>
      </c>
      <c r="B30" t="s">
        <v>897</v>
      </c>
      <c r="C30" t="s">
        <v>865</v>
      </c>
      <c r="D30" t="s">
        <v>15</v>
      </c>
      <c r="E30" t="s">
        <v>875</v>
      </c>
      <c r="F30" s="10" t="str">
        <f>INDEX(Table5[Fantasy Pros],MATCH(Table2[[#This Row],[Player]],Table5[ESPN],0))</f>
        <v>Malik Nabers</v>
      </c>
    </row>
    <row r="31" spans="1:6">
      <c r="A31">
        <v>30</v>
      </c>
      <c r="B31" t="s">
        <v>912</v>
      </c>
      <c r="C31" t="s">
        <v>867</v>
      </c>
      <c r="D31" t="s">
        <v>113</v>
      </c>
      <c r="E31" t="s">
        <v>872</v>
      </c>
      <c r="F31" s="10" t="str">
        <f>INDEX(Table5[Fantasy Pros],MATCH(Table2[[#This Row],[Player]],Table5[ESPN],0))</f>
        <v>Javonte Williams</v>
      </c>
    </row>
    <row r="32" spans="1:6">
      <c r="A32">
        <v>31</v>
      </c>
      <c r="B32" t="s">
        <v>899</v>
      </c>
      <c r="C32" t="s">
        <v>865</v>
      </c>
      <c r="D32" t="s">
        <v>40</v>
      </c>
      <c r="E32" t="s">
        <v>874</v>
      </c>
      <c r="F32" s="10" t="str">
        <f>INDEX(Table5[Fantasy Pros],MATCH(Table2[[#This Row],[Player]],Table5[ESPN],0))</f>
        <v>Davante Adams</v>
      </c>
    </row>
    <row r="33" spans="1:6">
      <c r="A33">
        <v>32</v>
      </c>
      <c r="B33" t="s">
        <v>915</v>
      </c>
      <c r="C33" t="s">
        <v>867</v>
      </c>
      <c r="D33" t="s">
        <v>100</v>
      </c>
      <c r="E33" t="s">
        <v>916</v>
      </c>
      <c r="F33" s="10" t="str">
        <f>INDEX(Table5[Fantasy Pros],MATCH(Table2[[#This Row],[Player]],Table5[ESPN],0))</f>
        <v>Travis Etienne Jr.</v>
      </c>
    </row>
    <row r="34" spans="1:6">
      <c r="A34">
        <v>33</v>
      </c>
      <c r="B34" t="s">
        <v>906</v>
      </c>
      <c r="C34" t="s">
        <v>865</v>
      </c>
      <c r="D34" t="s">
        <v>58</v>
      </c>
      <c r="E34" t="s">
        <v>889</v>
      </c>
      <c r="F34" s="10" t="str">
        <f>INDEX(Table5[Fantasy Pros],MATCH(Table2[[#This Row],[Player]],Table5[ESPN],0))</f>
        <v>Zay Flowers</v>
      </c>
    </row>
    <row r="35" spans="1:6">
      <c r="A35">
        <v>34</v>
      </c>
      <c r="B35" t="s">
        <v>908</v>
      </c>
      <c r="C35" t="s">
        <v>865</v>
      </c>
      <c r="D35" t="s">
        <v>116</v>
      </c>
      <c r="E35" t="s">
        <v>893</v>
      </c>
      <c r="F35" s="10" t="str">
        <f>INDEX(Table5[Fantasy Pros],MATCH(Table2[[#This Row],[Player]],Table5[ESPN],0))</f>
        <v>Emeka Egbuka</v>
      </c>
    </row>
    <row r="36" spans="1:6">
      <c r="A36">
        <v>35</v>
      </c>
      <c r="B36" t="s">
        <v>909</v>
      </c>
      <c r="C36" t="s">
        <v>865</v>
      </c>
      <c r="D36" t="s">
        <v>64</v>
      </c>
      <c r="E36" t="s">
        <v>918</v>
      </c>
      <c r="F36" s="10" t="str">
        <f>INDEX(Table5[Fantasy Pros],MATCH(Table2[[#This Row],[Player]],Table5[ESPN],0))</f>
        <v>Tetairoa McMillan</v>
      </c>
    </row>
    <row r="37" spans="1:6">
      <c r="A37">
        <v>36</v>
      </c>
      <c r="B37" t="s">
        <v>518</v>
      </c>
      <c r="C37" t="s">
        <v>900</v>
      </c>
      <c r="D37" t="s">
        <v>30</v>
      </c>
      <c r="E37" t="s">
        <v>901</v>
      </c>
      <c r="F37" s="10" t="str">
        <f>INDEX(Table5[Fantasy Pros],MATCH(Table2[[#This Row],[Player]],Table5[ESPN],0))</f>
        <v>Josh Allen</v>
      </c>
    </row>
    <row r="38" spans="1:6">
      <c r="A38">
        <v>37</v>
      </c>
      <c r="B38" t="s">
        <v>917</v>
      </c>
      <c r="C38" t="s">
        <v>867</v>
      </c>
      <c r="D38" t="s">
        <v>29</v>
      </c>
      <c r="E38" t="s">
        <v>874</v>
      </c>
      <c r="F38" s="10" t="str">
        <f>INDEX(Table5[Fantasy Pros],MATCH(Table2[[#This Row],[Player]],Table5[ESPN],0))</f>
        <v>Kyren Williams</v>
      </c>
    </row>
    <row r="39" spans="1:6">
      <c r="A39">
        <v>38</v>
      </c>
      <c r="B39" t="s">
        <v>919</v>
      </c>
      <c r="C39" t="s">
        <v>867</v>
      </c>
      <c r="D39" t="s">
        <v>126</v>
      </c>
      <c r="E39" t="s">
        <v>941</v>
      </c>
      <c r="F39" s="10" t="str">
        <f>INDEX(Table5[Fantasy Pros],MATCH(Table2[[#This Row],[Player]],Table5[ESPN],0))</f>
        <v>Quinshon Judkins</v>
      </c>
    </row>
    <row r="40" spans="1:6">
      <c r="A40">
        <v>39</v>
      </c>
      <c r="B40" t="s">
        <v>920</v>
      </c>
      <c r="C40" t="s">
        <v>867</v>
      </c>
      <c r="D40" t="s">
        <v>121</v>
      </c>
      <c r="E40" t="s">
        <v>875</v>
      </c>
      <c r="F40" s="10" t="str">
        <f>INDEX(Table5[Fantasy Pros],MATCH(Table2[[#This Row],[Player]],Table5[ESPN],0))</f>
        <v>Cam Skattebo</v>
      </c>
    </row>
    <row r="41" spans="1:6">
      <c r="A41">
        <v>40</v>
      </c>
      <c r="B41" t="s">
        <v>931</v>
      </c>
      <c r="C41" t="s">
        <v>867</v>
      </c>
      <c r="D41" t="s">
        <v>28</v>
      </c>
      <c r="E41" t="s">
        <v>893</v>
      </c>
      <c r="F41" s="10" t="str">
        <f>INDEX(Table5[Fantasy Pros],MATCH(Table2[[#This Row],[Player]],Table5[ESPN],0))</f>
        <v>Bucky Irving</v>
      </c>
    </row>
    <row r="42" spans="1:6">
      <c r="A42">
        <v>41</v>
      </c>
      <c r="B42" t="s">
        <v>932</v>
      </c>
      <c r="C42" t="s">
        <v>867</v>
      </c>
      <c r="D42" t="s">
        <v>63</v>
      </c>
      <c r="E42" t="s">
        <v>929</v>
      </c>
      <c r="F42" s="10" t="str">
        <f>INDEX(Table5[Fantasy Pros],MATCH(Table2[[#This Row],[Player]],Table5[ESPN],0))</f>
        <v>D'Andre Swift</v>
      </c>
    </row>
    <row r="43" spans="1:6">
      <c r="A43">
        <v>42</v>
      </c>
      <c r="B43" t="s">
        <v>922</v>
      </c>
      <c r="C43" t="s">
        <v>865</v>
      </c>
      <c r="D43" t="s">
        <v>42</v>
      </c>
      <c r="E43" t="s">
        <v>910</v>
      </c>
      <c r="F43" s="10" t="str">
        <f>INDEX(Table5[Fantasy Pros],MATCH(Table2[[#This Row],[Player]],Table5[ESPN],0))</f>
        <v>Garrett Wilson</v>
      </c>
    </row>
    <row r="44" spans="1:6">
      <c r="A44">
        <v>43</v>
      </c>
      <c r="B44" t="s">
        <v>923</v>
      </c>
      <c r="C44" t="s">
        <v>865</v>
      </c>
      <c r="D44" t="s">
        <v>60</v>
      </c>
      <c r="E44" t="s">
        <v>870</v>
      </c>
      <c r="F44" s="10" t="str">
        <f>INDEX(Table5[Fantasy Pros],MATCH(Table2[[#This Row],[Player]],Table5[ESPN],0))</f>
        <v>DeVonta Smith</v>
      </c>
    </row>
    <row r="45" spans="1:6">
      <c r="A45">
        <v>44</v>
      </c>
      <c r="B45" t="s">
        <v>924</v>
      </c>
      <c r="C45" t="s">
        <v>865</v>
      </c>
      <c r="D45" t="s">
        <v>85</v>
      </c>
      <c r="E45" t="s">
        <v>929</v>
      </c>
      <c r="F45" s="10" t="str">
        <f>INDEX(Table5[Fantasy Pros],MATCH(Table2[[#This Row],[Player]],Table5[ESPN],0))</f>
        <v>Rome Odunze</v>
      </c>
    </row>
    <row r="46" spans="1:6">
      <c r="A46">
        <v>45</v>
      </c>
      <c r="B46" t="s">
        <v>926</v>
      </c>
      <c r="C46" t="s">
        <v>865</v>
      </c>
      <c r="D46" t="s">
        <v>32</v>
      </c>
      <c r="E46" t="s">
        <v>866</v>
      </c>
      <c r="F46" s="10" t="str">
        <f>INDEX(Table5[Fantasy Pros],MATCH(Table2[[#This Row],[Player]],Table5[ESPN],0))</f>
        <v>Tee Higgins</v>
      </c>
    </row>
    <row r="47" spans="1:6">
      <c r="A47">
        <v>46</v>
      </c>
      <c r="B47" t="s">
        <v>928</v>
      </c>
      <c r="C47" t="s">
        <v>865</v>
      </c>
      <c r="D47" t="s">
        <v>47</v>
      </c>
      <c r="E47" t="s">
        <v>902</v>
      </c>
      <c r="F47" s="10" t="str">
        <f>INDEX(Table5[Fantasy Pros],MATCH(Table2[[#This Row],[Player]],Table5[ESPN],0))</f>
        <v>Terry McLaurin</v>
      </c>
    </row>
    <row r="48" spans="1:6">
      <c r="A48">
        <v>47</v>
      </c>
      <c r="B48" t="s">
        <v>930</v>
      </c>
      <c r="C48" t="s">
        <v>865</v>
      </c>
      <c r="D48" t="s">
        <v>27</v>
      </c>
      <c r="E48" t="s">
        <v>898</v>
      </c>
      <c r="F48" s="10" t="str">
        <f>INDEX(Table5[Fantasy Pros],MATCH(Table2[[#This Row],[Player]],Table5[ESPN],0))</f>
        <v>Ladd McConkey</v>
      </c>
    </row>
    <row r="49" spans="1:6">
      <c r="A49">
        <v>48</v>
      </c>
      <c r="B49" t="s">
        <v>933</v>
      </c>
      <c r="C49" t="s">
        <v>865</v>
      </c>
      <c r="D49" t="s">
        <v>51</v>
      </c>
      <c r="E49" t="s">
        <v>871</v>
      </c>
      <c r="F49" s="10" t="str">
        <f>INDEX(Table5[Fantasy Pros],MATCH(Table2[[#This Row],[Player]],Table5[ESPN],0))</f>
        <v>Jameson Williams</v>
      </c>
    </row>
    <row r="50" spans="1:6">
      <c r="A50">
        <v>49</v>
      </c>
      <c r="B50" t="s">
        <v>914</v>
      </c>
      <c r="C50" t="s">
        <v>890</v>
      </c>
      <c r="D50" t="s">
        <v>139</v>
      </c>
      <c r="E50" t="s">
        <v>929</v>
      </c>
      <c r="F50" s="10" t="str">
        <f>INDEX(Table5[Fantasy Pros],MATCH(Table2[[#This Row],[Player]],Table5[ESPN],0))</f>
        <v>Colston Loveland</v>
      </c>
    </row>
    <row r="51" spans="1:6">
      <c r="A51">
        <v>50</v>
      </c>
      <c r="B51" t="s">
        <v>944</v>
      </c>
      <c r="C51" t="s">
        <v>890</v>
      </c>
      <c r="D51" t="s">
        <v>112</v>
      </c>
      <c r="E51" t="s">
        <v>885</v>
      </c>
      <c r="F51" s="10" t="str">
        <f>INDEX(Table5[Fantasy Pros],MATCH(Table2[[#This Row],[Player]],Table5[ESPN],0))</f>
        <v>Tyler Warren</v>
      </c>
    </row>
    <row r="52" spans="1:6">
      <c r="A52">
        <v>51</v>
      </c>
      <c r="B52" t="s">
        <v>934</v>
      </c>
      <c r="C52" t="s">
        <v>865</v>
      </c>
      <c r="D52" t="s">
        <v>71</v>
      </c>
      <c r="E52" t="s">
        <v>935</v>
      </c>
      <c r="F52" s="10" t="str">
        <f>INDEX(Table5[Fantasy Pros],MATCH(Table2[[#This Row],[Player]],Table5[ESPN],0))</f>
        <v>Jaylen Waddle</v>
      </c>
    </row>
    <row r="53" spans="1:6">
      <c r="A53">
        <v>52</v>
      </c>
      <c r="B53" t="s">
        <v>936</v>
      </c>
      <c r="C53" t="s">
        <v>865</v>
      </c>
      <c r="D53" t="s">
        <v>54</v>
      </c>
      <c r="E53" t="s">
        <v>901</v>
      </c>
      <c r="F53" s="10" t="str">
        <f>INDEX(Table5[Fantasy Pros],MATCH(Table2[[#This Row],[Player]],Table5[ESPN],0))</f>
        <v>DJ Moore</v>
      </c>
    </row>
    <row r="54" spans="1:6">
      <c r="A54">
        <v>53</v>
      </c>
      <c r="B54" t="s">
        <v>938</v>
      </c>
      <c r="C54" t="s">
        <v>865</v>
      </c>
      <c r="D54" t="s">
        <v>156</v>
      </c>
      <c r="E54" t="s">
        <v>929</v>
      </c>
      <c r="F54" s="10" t="str">
        <f>INDEX(Table5[Fantasy Pros],MATCH(Table2[[#This Row],[Player]],Table5[ESPN],0))</f>
        <v>Luther Burden III</v>
      </c>
    </row>
    <row r="55" spans="1:6">
      <c r="A55">
        <v>54</v>
      </c>
      <c r="B55" t="s">
        <v>939</v>
      </c>
      <c r="C55" t="s">
        <v>865</v>
      </c>
      <c r="D55" t="s">
        <v>55</v>
      </c>
      <c r="E55" t="s">
        <v>935</v>
      </c>
      <c r="F55" s="10" t="str">
        <f>INDEX(Table5[Fantasy Pros],MATCH(Table2[[#This Row],[Player]],Table5[ESPN],0))</f>
        <v>Courtland Sutton</v>
      </c>
    </row>
    <row r="56" spans="1:6">
      <c r="A56">
        <v>55</v>
      </c>
      <c r="B56" t="s">
        <v>521</v>
      </c>
      <c r="C56" t="s">
        <v>900</v>
      </c>
      <c r="D56" t="s">
        <v>37</v>
      </c>
      <c r="E56" t="s">
        <v>902</v>
      </c>
      <c r="F56" s="10" t="str">
        <f>INDEX(Table5[Fantasy Pros],MATCH(Table2[[#This Row],[Player]],Table5[ESPN],0))</f>
        <v>Jayden Daniels</v>
      </c>
    </row>
    <row r="57" spans="1:6">
      <c r="A57">
        <v>56</v>
      </c>
      <c r="B57" t="s">
        <v>524</v>
      </c>
      <c r="C57" t="s">
        <v>900</v>
      </c>
      <c r="D57" t="s">
        <v>31</v>
      </c>
      <c r="E57" t="s">
        <v>889</v>
      </c>
      <c r="F57" s="10" t="str">
        <f>INDEX(Table5[Fantasy Pros],MATCH(Table2[[#This Row],[Player]],Table5[ESPN],0))</f>
        <v>Lamar Jackson</v>
      </c>
    </row>
    <row r="58" spans="1:6">
      <c r="A58">
        <v>57</v>
      </c>
      <c r="B58" t="s">
        <v>903</v>
      </c>
      <c r="C58" t="s">
        <v>900</v>
      </c>
      <c r="D58" t="s">
        <v>110</v>
      </c>
      <c r="E58" t="s">
        <v>921</v>
      </c>
      <c r="F58" s="10" t="str">
        <f>INDEX(Table5[Fantasy Pros],MATCH(Table2[[#This Row],[Player]],Table5[ESPN],0))</f>
        <v>Drake Maye</v>
      </c>
    </row>
    <row r="59" spans="1:6">
      <c r="A59">
        <v>58</v>
      </c>
      <c r="B59" t="s">
        <v>913</v>
      </c>
      <c r="C59" t="s">
        <v>900</v>
      </c>
      <c r="D59" t="s">
        <v>41</v>
      </c>
      <c r="E59" t="s">
        <v>870</v>
      </c>
      <c r="F59" s="10" t="str">
        <f>INDEX(Table5[Fantasy Pros],MATCH(Table2[[#This Row],[Player]],Table5[ESPN],0))</f>
        <v>Jalen Hurts</v>
      </c>
    </row>
    <row r="60" spans="1:6">
      <c r="A60">
        <v>59</v>
      </c>
      <c r="B60" t="s">
        <v>950</v>
      </c>
      <c r="C60" t="s">
        <v>867</v>
      </c>
      <c r="D60" t="s">
        <v>164</v>
      </c>
      <c r="E60" t="s">
        <v>2106</v>
      </c>
      <c r="F60" s="10" t="str">
        <f>INDEX(Table5[Fantasy Pros],MATCH(Table2[[#This Row],[Player]],Table5[ESPN],0))</f>
        <v>Bhayshul Tuten</v>
      </c>
    </row>
    <row r="61" spans="1:6">
      <c r="A61">
        <v>60</v>
      </c>
      <c r="B61" t="s">
        <v>951</v>
      </c>
      <c r="C61" t="s">
        <v>867</v>
      </c>
      <c r="D61" t="s">
        <v>59</v>
      </c>
      <c r="E61" t="s">
        <v>879</v>
      </c>
      <c r="F61" s="10" t="str">
        <f>INDEX(Table5[Fantasy Pros],MATCH(Table2[[#This Row],[Player]],Table5[ESPN],0))</f>
        <v>David Montgomery</v>
      </c>
    </row>
    <row r="62" spans="1:6">
      <c r="A62">
        <v>61</v>
      </c>
      <c r="B62" t="s">
        <v>953</v>
      </c>
      <c r="C62" t="s">
        <v>867</v>
      </c>
      <c r="D62" t="s">
        <v>2006</v>
      </c>
      <c r="E62" t="s">
        <v>907</v>
      </c>
      <c r="F62" s="10" t="str">
        <f>INDEX(Table5[Fantasy Pros],MATCH(Table2[[#This Row],[Player]],Table5[ESPN],0))</f>
        <v>Jadarian Price</v>
      </c>
    </row>
    <row r="63" spans="1:6">
      <c r="A63">
        <v>62</v>
      </c>
      <c r="B63" t="s">
        <v>954</v>
      </c>
      <c r="C63" t="s">
        <v>867</v>
      </c>
      <c r="D63" t="s">
        <v>109</v>
      </c>
      <c r="E63" t="s">
        <v>921</v>
      </c>
      <c r="F63" s="10" t="str">
        <f>INDEX(Table5[Fantasy Pros],MATCH(Table2[[#This Row],[Player]],Table5[ESPN],0))</f>
        <v>Rhamondre Stevenson</v>
      </c>
    </row>
    <row r="64" spans="1:6">
      <c r="A64">
        <v>63</v>
      </c>
      <c r="B64" t="s">
        <v>955</v>
      </c>
      <c r="C64" t="s">
        <v>867</v>
      </c>
      <c r="D64" t="s">
        <v>159</v>
      </c>
      <c r="E64" t="s">
        <v>927</v>
      </c>
      <c r="F64" s="10" t="str">
        <f>INDEX(Table5[Fantasy Pros],MATCH(Table2[[#This Row],[Player]],Table5[ESPN],0))</f>
        <v>Rico Dowdle</v>
      </c>
    </row>
    <row r="65" spans="1:6">
      <c r="A65">
        <v>64</v>
      </c>
      <c r="B65" t="s">
        <v>963</v>
      </c>
      <c r="C65" t="s">
        <v>867</v>
      </c>
      <c r="D65" t="s">
        <v>95</v>
      </c>
      <c r="E65" t="s">
        <v>927</v>
      </c>
      <c r="F65" s="10" t="str">
        <f>INDEX(Table5[Fantasy Pros],MATCH(Table2[[#This Row],[Player]],Table5[ESPN],0))</f>
        <v>Jaylen Warren</v>
      </c>
    </row>
    <row r="66" spans="1:6">
      <c r="A66">
        <v>65</v>
      </c>
      <c r="B66" t="s">
        <v>940</v>
      </c>
      <c r="C66" t="s">
        <v>865</v>
      </c>
      <c r="D66" t="s">
        <v>2005</v>
      </c>
      <c r="E66" t="s">
        <v>937</v>
      </c>
      <c r="F66" s="10" t="str">
        <f>INDEX(Table5[Fantasy Pros],MATCH(Table2[[#This Row],[Player]],Table5[ESPN],0))</f>
        <v>Carnell Tate</v>
      </c>
    </row>
    <row r="67" spans="1:6">
      <c r="A67">
        <v>66</v>
      </c>
      <c r="B67" t="s">
        <v>942</v>
      </c>
      <c r="C67" t="s">
        <v>865</v>
      </c>
      <c r="D67" t="s">
        <v>48</v>
      </c>
      <c r="E67" t="s">
        <v>927</v>
      </c>
      <c r="F67" s="10" t="str">
        <f>INDEX(Table5[Fantasy Pros],MATCH(Table2[[#This Row],[Player]],Table5[ESPN],0))</f>
        <v>DK Metcalf</v>
      </c>
    </row>
    <row r="68" spans="1:6">
      <c r="A68">
        <v>67</v>
      </c>
      <c r="B68" t="s">
        <v>943</v>
      </c>
      <c r="C68" t="s">
        <v>865</v>
      </c>
      <c r="D68" t="s">
        <v>45</v>
      </c>
      <c r="E68" t="s">
        <v>891</v>
      </c>
      <c r="F68" s="10" t="str">
        <f>INDEX(Table5[Fantasy Pros],MATCH(Table2[[#This Row],[Player]],Table5[ESPN],0))</f>
        <v>Marvin Harrison Jr.</v>
      </c>
    </row>
    <row r="69" spans="1:6">
      <c r="A69">
        <v>68</v>
      </c>
      <c r="B69" t="s">
        <v>947</v>
      </c>
      <c r="C69" t="s">
        <v>865</v>
      </c>
      <c r="D69" t="s">
        <v>195</v>
      </c>
      <c r="E69" t="s">
        <v>885</v>
      </c>
      <c r="F69" s="10" t="str">
        <f>INDEX(Table5[Fantasy Pros],MATCH(Table2[[#This Row],[Player]],Table5[ESPN],0))</f>
        <v>Alec Pierce</v>
      </c>
    </row>
    <row r="70" spans="1:6">
      <c r="A70">
        <v>69</v>
      </c>
      <c r="B70" t="s">
        <v>948</v>
      </c>
      <c r="C70" t="s">
        <v>865</v>
      </c>
      <c r="D70" t="s">
        <v>309</v>
      </c>
      <c r="E70" t="s">
        <v>887</v>
      </c>
      <c r="F70" s="10" t="str">
        <f>INDEX(Table5[Fantasy Pros],MATCH(Table2[[#This Row],[Player]],Table5[ESPN],0))</f>
        <v>Christian Watson</v>
      </c>
    </row>
    <row r="71" spans="1:6">
      <c r="A71">
        <v>70</v>
      </c>
      <c r="B71" t="s">
        <v>949</v>
      </c>
      <c r="C71" t="s">
        <v>865</v>
      </c>
      <c r="D71" t="s">
        <v>310</v>
      </c>
      <c r="E71" t="s">
        <v>2106</v>
      </c>
      <c r="F71" s="10" t="str">
        <f>INDEX(Table5[Fantasy Pros],MATCH(Table2[[#This Row],[Player]],Table5[ESPN],0))</f>
        <v>Parker Washington</v>
      </c>
    </row>
    <row r="72" spans="1:6">
      <c r="A72">
        <v>71</v>
      </c>
      <c r="B72" t="s">
        <v>952</v>
      </c>
      <c r="C72" t="s">
        <v>890</v>
      </c>
      <c r="D72" t="s">
        <v>135</v>
      </c>
      <c r="E72" t="s">
        <v>868</v>
      </c>
      <c r="F72" s="10" t="str">
        <f>INDEX(Table5[Fantasy Pros],MATCH(Table2[[#This Row],[Player]],Table5[ESPN],0))</f>
        <v>Kyle Pitts Sr.</v>
      </c>
    </row>
    <row r="73" spans="1:6">
      <c r="A73">
        <v>72</v>
      </c>
      <c r="B73" t="s">
        <v>966</v>
      </c>
      <c r="C73" t="s">
        <v>890</v>
      </c>
      <c r="D73" t="s">
        <v>294</v>
      </c>
      <c r="E73" t="s">
        <v>941</v>
      </c>
      <c r="F73" s="10" t="str">
        <f>INDEX(Table5[Fantasy Pros],MATCH(Table2[[#This Row],[Player]],Table5[ESPN],0))</f>
        <v>Harold Fannin Jr.</v>
      </c>
    </row>
    <row r="74" spans="1:6">
      <c r="A74">
        <v>73</v>
      </c>
      <c r="B74" t="s">
        <v>967</v>
      </c>
      <c r="C74" t="s">
        <v>890</v>
      </c>
      <c r="D74" t="s">
        <v>65</v>
      </c>
      <c r="E74" t="s">
        <v>871</v>
      </c>
      <c r="F74" s="10" t="str">
        <f>INDEX(Table5[Fantasy Pros],MATCH(Table2[[#This Row],[Player]],Table5[ESPN],0))</f>
        <v>Sam LaPorta</v>
      </c>
    </row>
    <row r="75" spans="1:6">
      <c r="A75">
        <v>74</v>
      </c>
      <c r="B75" t="s">
        <v>945</v>
      </c>
      <c r="C75" t="s">
        <v>900</v>
      </c>
      <c r="D75" t="s">
        <v>50</v>
      </c>
      <c r="E75" t="s">
        <v>866</v>
      </c>
      <c r="F75" s="10" t="str">
        <f>INDEX(Table5[Fantasy Pros],MATCH(Table2[[#This Row],[Player]],Table5[ESPN],0))</f>
        <v>Joe Burrow</v>
      </c>
    </row>
    <row r="76" spans="1:6">
      <c r="A76">
        <v>75</v>
      </c>
      <c r="B76" t="s">
        <v>946</v>
      </c>
      <c r="C76" t="s">
        <v>900</v>
      </c>
      <c r="D76" t="s">
        <v>311</v>
      </c>
      <c r="E76" t="s">
        <v>875</v>
      </c>
      <c r="F76" s="10" t="str">
        <f>INDEX(Table5[Fantasy Pros],MATCH(Table2[[#This Row],[Player]],Table5[ESPN],0))</f>
        <v>Jaxson Dart</v>
      </c>
    </row>
    <row r="77" spans="1:6">
      <c r="A77">
        <v>76</v>
      </c>
      <c r="B77" t="s">
        <v>956</v>
      </c>
      <c r="C77" t="s">
        <v>865</v>
      </c>
      <c r="D77" t="s">
        <v>34</v>
      </c>
      <c r="E77" t="s">
        <v>873</v>
      </c>
      <c r="F77" s="10" t="str">
        <f>INDEX(Table5[Fantasy Pros],MATCH(Table2[[#This Row],[Player]],Table5[ESPN],0))</f>
        <v>Mike Evans</v>
      </c>
    </row>
    <row r="78" spans="1:6">
      <c r="A78">
        <v>77</v>
      </c>
      <c r="B78" t="s">
        <v>957</v>
      </c>
      <c r="C78" t="s">
        <v>865</v>
      </c>
      <c r="D78" t="s">
        <v>130</v>
      </c>
      <c r="E78" t="s">
        <v>927</v>
      </c>
      <c r="F78" s="10" t="str">
        <f>INDEX(Table5[Fantasy Pros],MATCH(Table2[[#This Row],[Player]],Table5[ESPN],0))</f>
        <v>Michael Pittman Jr.</v>
      </c>
    </row>
    <row r="79" spans="1:6">
      <c r="A79">
        <v>78</v>
      </c>
      <c r="B79" t="s">
        <v>958</v>
      </c>
      <c r="C79" t="s">
        <v>865</v>
      </c>
      <c r="D79" t="s">
        <v>16</v>
      </c>
      <c r="E79" t="s">
        <v>2106</v>
      </c>
      <c r="F79" s="10" t="str">
        <f>INDEX(Table5[Fantasy Pros],MATCH(Table2[[#This Row],[Player]],Table5[ESPN],0))</f>
        <v>Brian Thomas Jr.</v>
      </c>
    </row>
    <row r="80" spans="1:6">
      <c r="A80">
        <v>79</v>
      </c>
      <c r="B80" t="s">
        <v>959</v>
      </c>
      <c r="C80" t="s">
        <v>865</v>
      </c>
      <c r="D80" t="s">
        <v>119</v>
      </c>
      <c r="E80" t="s">
        <v>887</v>
      </c>
      <c r="F80" s="10" t="str">
        <f>INDEX(Table5[Fantasy Pros],MATCH(Table2[[#This Row],[Player]],Table5[ESPN],0))</f>
        <v>Matthew Golden</v>
      </c>
    </row>
    <row r="81" spans="1:6">
      <c r="A81">
        <v>80</v>
      </c>
      <c r="B81" t="s">
        <v>960</v>
      </c>
      <c r="C81" t="s">
        <v>865</v>
      </c>
      <c r="D81" t="s">
        <v>89</v>
      </c>
      <c r="E81" t="s">
        <v>869</v>
      </c>
      <c r="F81" s="10" t="str">
        <f>INDEX(Table5[Fantasy Pros],MATCH(Table2[[#This Row],[Player]],Table5[ESPN],0))</f>
        <v>Jordan Addison</v>
      </c>
    </row>
    <row r="82" spans="1:6">
      <c r="A82">
        <v>81</v>
      </c>
      <c r="B82" t="s">
        <v>961</v>
      </c>
      <c r="C82" t="s">
        <v>865</v>
      </c>
      <c r="D82" t="s">
        <v>2010</v>
      </c>
      <c r="E82" t="s">
        <v>873</v>
      </c>
      <c r="F82" s="10" t="str">
        <f>INDEX(Table5[Fantasy Pros],MATCH(Table2[[#This Row],[Player]],Table5[ESPN],0))</f>
        <v>De'Zhaun Stribling</v>
      </c>
    </row>
    <row r="83" spans="1:6">
      <c r="A83">
        <v>82</v>
      </c>
      <c r="B83" t="s">
        <v>970</v>
      </c>
      <c r="C83" t="s">
        <v>900</v>
      </c>
      <c r="D83" t="s">
        <v>123</v>
      </c>
      <c r="E83" t="s">
        <v>2106</v>
      </c>
      <c r="F83" s="10" t="str">
        <f>INDEX(Table5[Fantasy Pros],MATCH(Table2[[#This Row],[Player]],Table5[ESPN],0))</f>
        <v>Trevor Lawrence</v>
      </c>
    </row>
    <row r="84" spans="1:6">
      <c r="A84">
        <v>83</v>
      </c>
      <c r="B84" t="s">
        <v>971</v>
      </c>
      <c r="C84" t="s">
        <v>900</v>
      </c>
      <c r="D84" t="s">
        <v>88</v>
      </c>
      <c r="E84" t="s">
        <v>872</v>
      </c>
      <c r="F84" s="10" t="str">
        <f>INDEX(Table5[Fantasy Pros],MATCH(Table2[[#This Row],[Player]],Table5[ESPN],0))</f>
        <v>Dak Prescott</v>
      </c>
    </row>
    <row r="85" spans="1:6">
      <c r="A85">
        <v>84</v>
      </c>
      <c r="B85" t="s">
        <v>972</v>
      </c>
      <c r="C85" t="s">
        <v>900</v>
      </c>
      <c r="D85" t="s">
        <v>80</v>
      </c>
      <c r="E85" t="s">
        <v>935</v>
      </c>
      <c r="F85" s="10" t="str">
        <f>INDEX(Table5[Fantasy Pros],MATCH(Table2[[#This Row],[Player]],Table5[ESPN],0))</f>
        <v>Bo Nix</v>
      </c>
    </row>
    <row r="86" spans="1:6">
      <c r="A86">
        <v>85</v>
      </c>
      <c r="B86" t="s">
        <v>986</v>
      </c>
      <c r="C86" t="s">
        <v>900</v>
      </c>
      <c r="D86" t="s">
        <v>96</v>
      </c>
      <c r="E86" t="s">
        <v>873</v>
      </c>
      <c r="F86" s="10" t="str">
        <f>INDEX(Table5[Fantasy Pros],MATCH(Table2[[#This Row],[Player]],Table5[ESPN],0))</f>
        <v>Brock Purdy</v>
      </c>
    </row>
    <row r="87" spans="1:6">
      <c r="A87">
        <v>86</v>
      </c>
      <c r="B87" t="s">
        <v>987</v>
      </c>
      <c r="C87" t="s">
        <v>900</v>
      </c>
      <c r="D87" t="s">
        <v>162</v>
      </c>
      <c r="E87" t="s">
        <v>874</v>
      </c>
      <c r="F87" s="10" t="str">
        <f>INDEX(Table5[Fantasy Pros],MATCH(Table2[[#This Row],[Player]],Table5[ESPN],0))</f>
        <v>Matthew Stafford</v>
      </c>
    </row>
    <row r="88" spans="1:6">
      <c r="A88">
        <v>87</v>
      </c>
      <c r="B88" t="s">
        <v>988</v>
      </c>
      <c r="C88" t="s">
        <v>900</v>
      </c>
      <c r="D88" t="s">
        <v>104</v>
      </c>
      <c r="E88" t="s">
        <v>929</v>
      </c>
      <c r="F88" s="10" t="str">
        <f>INDEX(Table5[Fantasy Pros],MATCH(Table2[[#This Row],[Player]],Table5[ESPN],0))</f>
        <v>Caleb Williams</v>
      </c>
    </row>
    <row r="89" spans="1:6">
      <c r="A89">
        <v>88</v>
      </c>
      <c r="B89" t="s">
        <v>962</v>
      </c>
      <c r="C89" t="s">
        <v>865</v>
      </c>
      <c r="D89" t="s">
        <v>222</v>
      </c>
      <c r="E89" t="s">
        <v>891</v>
      </c>
      <c r="F89" s="10" t="str">
        <f>INDEX(Table5[Fantasy Pros],MATCH(Table2[[#This Row],[Player]],Table5[ESPN],0))</f>
        <v>Michael Wilson</v>
      </c>
    </row>
    <row r="90" spans="1:6">
      <c r="A90">
        <v>89</v>
      </c>
      <c r="B90" t="s">
        <v>979</v>
      </c>
      <c r="C90" t="s">
        <v>865</v>
      </c>
      <c r="D90" t="s">
        <v>103</v>
      </c>
      <c r="E90" t="s">
        <v>2106</v>
      </c>
      <c r="F90" s="10" t="str">
        <f>INDEX(Table5[Fantasy Pros],MATCH(Table2[[#This Row],[Player]],Table5[ESPN],0))</f>
        <v>Jakobi Meyers</v>
      </c>
    </row>
    <row r="91" spans="1:6">
      <c r="A91">
        <v>90</v>
      </c>
      <c r="B91" t="s">
        <v>980</v>
      </c>
      <c r="C91" t="s">
        <v>865</v>
      </c>
      <c r="D91" t="s">
        <v>56</v>
      </c>
      <c r="E91" t="s">
        <v>925</v>
      </c>
      <c r="F91" s="10" t="str">
        <f>INDEX(Table5[Fantasy Pros],MATCH(Table2[[#This Row],[Player]],Table5[ESPN],0))</f>
        <v>Xavier Worthy</v>
      </c>
    </row>
    <row r="92" spans="1:6">
      <c r="A92">
        <v>91</v>
      </c>
      <c r="B92" t="s">
        <v>981</v>
      </c>
      <c r="C92" t="s">
        <v>865</v>
      </c>
      <c r="D92" t="s">
        <v>79</v>
      </c>
      <c r="E92" t="s">
        <v>2106</v>
      </c>
      <c r="F92" s="10" t="str">
        <f>INDEX(Table5[Fantasy Pros],MATCH(Table2[[#This Row],[Player]],Table5[ESPN],0))</f>
        <v>Travis Hunter</v>
      </c>
    </row>
    <row r="93" spans="1:6">
      <c r="A93">
        <v>92</v>
      </c>
      <c r="B93" t="s">
        <v>982</v>
      </c>
      <c r="C93" t="s">
        <v>865</v>
      </c>
      <c r="D93" t="s">
        <v>176</v>
      </c>
      <c r="E93" t="s">
        <v>898</v>
      </c>
      <c r="F93" s="10" t="str">
        <f>INDEX(Table5[Fantasy Pros],MATCH(Table2[[#This Row],[Player]],Table5[ESPN],0))</f>
        <v>Quentin Johnston</v>
      </c>
    </row>
    <row r="94" spans="1:6">
      <c r="A94">
        <v>93</v>
      </c>
      <c r="B94" t="s">
        <v>983</v>
      </c>
      <c r="C94" t="s">
        <v>865</v>
      </c>
      <c r="D94" t="s">
        <v>117</v>
      </c>
      <c r="E94" t="s">
        <v>901</v>
      </c>
      <c r="F94" s="10" t="str">
        <f>INDEX(Table5[Fantasy Pros],MATCH(Table2[[#This Row],[Player]],Table5[ESPN],0))</f>
        <v>Khalil Shakir</v>
      </c>
    </row>
    <row r="95" spans="1:6">
      <c r="A95">
        <v>94</v>
      </c>
      <c r="B95" t="s">
        <v>989</v>
      </c>
      <c r="C95" t="s">
        <v>900</v>
      </c>
      <c r="D95" t="s">
        <v>102</v>
      </c>
      <c r="E95" t="s">
        <v>898</v>
      </c>
      <c r="F95" s="10" t="str">
        <f>INDEX(Table5[Fantasy Pros],MATCH(Table2[[#This Row],[Player]],Table5[ESPN],0))</f>
        <v>Justin Herbert</v>
      </c>
    </row>
    <row r="96" spans="1:6">
      <c r="A96">
        <v>95</v>
      </c>
      <c r="B96" t="s">
        <v>1004</v>
      </c>
      <c r="C96" t="s">
        <v>900</v>
      </c>
      <c r="D96" t="s">
        <v>69</v>
      </c>
      <c r="E96" t="s">
        <v>925</v>
      </c>
      <c r="F96" s="10" t="str">
        <f>INDEX(Table5[Fantasy Pros],MATCH(Table2[[#This Row],[Player]],Table5[ESPN],0))</f>
        <v>Patrick Mahomes II</v>
      </c>
    </row>
    <row r="97" spans="1:6">
      <c r="A97">
        <v>96</v>
      </c>
      <c r="B97" t="s">
        <v>964</v>
      </c>
      <c r="C97" t="s">
        <v>867</v>
      </c>
      <c r="D97" t="s">
        <v>434</v>
      </c>
      <c r="E97" t="s">
        <v>918</v>
      </c>
      <c r="F97" s="10" t="str">
        <f>INDEX(Table5[Fantasy Pros],MATCH(Table2[[#This Row],[Player]],Table5[ESPN],0))</f>
        <v>Jonathon Brooks</v>
      </c>
    </row>
    <row r="98" spans="1:6">
      <c r="A98">
        <v>97</v>
      </c>
      <c r="B98" t="s">
        <v>965</v>
      </c>
      <c r="C98" t="s">
        <v>867</v>
      </c>
      <c r="D98" t="s">
        <v>57</v>
      </c>
      <c r="E98" t="s">
        <v>921</v>
      </c>
      <c r="F98" s="10" t="str">
        <f>INDEX(Table5[Fantasy Pros],MATCH(Table2[[#This Row],[Player]],Table5[ESPN],0))</f>
        <v>TreVeyon Henderson</v>
      </c>
    </row>
    <row r="99" spans="1:6">
      <c r="A99">
        <v>98</v>
      </c>
      <c r="B99" t="s">
        <v>973</v>
      </c>
      <c r="C99" t="s">
        <v>867</v>
      </c>
      <c r="D99" t="s">
        <v>67</v>
      </c>
      <c r="E99" t="s">
        <v>937</v>
      </c>
      <c r="F99" s="10" t="str">
        <f>INDEX(Table5[Fantasy Pros],MATCH(Table2[[#This Row],[Player]],Table5[ESPN],0))</f>
        <v>Tony Pollard</v>
      </c>
    </row>
    <row r="100" spans="1:6">
      <c r="A100">
        <v>99</v>
      </c>
      <c r="B100" t="s">
        <v>974</v>
      </c>
      <c r="C100" t="s">
        <v>867</v>
      </c>
      <c r="D100" t="s">
        <v>115</v>
      </c>
      <c r="E100" t="s">
        <v>935</v>
      </c>
      <c r="F100" s="10" t="str">
        <f>INDEX(Table5[Fantasy Pros],MATCH(Table2[[#This Row],[Player]],Table5[ESPN],0))</f>
        <v>J.K. Dobbins</v>
      </c>
    </row>
    <row r="101" spans="1:6">
      <c r="A101">
        <v>100</v>
      </c>
      <c r="B101" t="s">
        <v>975</v>
      </c>
      <c r="C101" t="s">
        <v>867</v>
      </c>
      <c r="D101" t="s">
        <v>24</v>
      </c>
      <c r="E101" t="s">
        <v>887</v>
      </c>
      <c r="F101" s="10" t="str">
        <f>INDEX(Table5[Fantasy Pros],MATCH(Table2[[#This Row],[Player]],Table5[ESPN],0))</f>
        <v>Josh Jacobs</v>
      </c>
    </row>
    <row r="102" spans="1:6">
      <c r="A102">
        <v>101</v>
      </c>
      <c r="B102" t="s">
        <v>976</v>
      </c>
      <c r="C102" t="s">
        <v>867</v>
      </c>
      <c r="D102" t="s">
        <v>2007</v>
      </c>
      <c r="E102" t="s">
        <v>893</v>
      </c>
      <c r="F102" s="10" t="str">
        <f>INDEX(Table5[Fantasy Pros],MATCH(Table2[[#This Row],[Player]],Table5[ESPN],0))</f>
        <v>Kenny Gainwell</v>
      </c>
    </row>
    <row r="103" spans="1:6">
      <c r="A103">
        <v>102</v>
      </c>
      <c r="B103" t="s">
        <v>968</v>
      </c>
      <c r="C103" t="s">
        <v>890</v>
      </c>
      <c r="D103" t="s">
        <v>26</v>
      </c>
      <c r="E103" t="s">
        <v>873</v>
      </c>
      <c r="F103" s="10" t="str">
        <f>INDEX(Table5[Fantasy Pros],MATCH(Table2[[#This Row],[Player]],Table5[ESPN],0))</f>
        <v>George Kittle</v>
      </c>
    </row>
    <row r="104" spans="1:6">
      <c r="A104">
        <v>103</v>
      </c>
      <c r="B104" t="s">
        <v>969</v>
      </c>
      <c r="C104" t="s">
        <v>890</v>
      </c>
      <c r="D104" t="s">
        <v>97</v>
      </c>
      <c r="E104" t="s">
        <v>887</v>
      </c>
      <c r="F104" s="10" t="str">
        <f>INDEX(Table5[Fantasy Pros],MATCH(Table2[[#This Row],[Player]],Table5[ESPN],0))</f>
        <v>Tucker Kraft</v>
      </c>
    </row>
    <row r="105" spans="1:6">
      <c r="A105">
        <v>104</v>
      </c>
      <c r="B105" t="s">
        <v>996</v>
      </c>
      <c r="C105" t="s">
        <v>890</v>
      </c>
      <c r="D105" t="s">
        <v>128</v>
      </c>
      <c r="E105" t="s">
        <v>870</v>
      </c>
      <c r="F105" s="10" t="str">
        <f>INDEX(Table5[Fantasy Pros],MATCH(Table2[[#This Row],[Player]],Table5[ESPN],0))</f>
        <v>Dallas Goedert</v>
      </c>
    </row>
    <row r="106" spans="1:6">
      <c r="A106">
        <v>105</v>
      </c>
      <c r="B106" t="s">
        <v>1008</v>
      </c>
      <c r="C106" t="s">
        <v>890</v>
      </c>
      <c r="D106" t="s">
        <v>91</v>
      </c>
      <c r="E106" t="s">
        <v>925</v>
      </c>
      <c r="F106" s="10" t="str">
        <f>INDEX(Table5[Fantasy Pros],MATCH(Table2[[#This Row],[Player]],Table5[ESPN],0))</f>
        <v>Travis Kelce</v>
      </c>
    </row>
    <row r="107" spans="1:6">
      <c r="A107">
        <v>106</v>
      </c>
      <c r="B107" t="s">
        <v>977</v>
      </c>
      <c r="C107" t="s">
        <v>867</v>
      </c>
      <c r="D107" t="s">
        <v>217</v>
      </c>
      <c r="E107" t="s">
        <v>929</v>
      </c>
      <c r="F107" s="10" t="str">
        <f>INDEX(Table5[Fantasy Pros],MATCH(Table2[[#This Row],[Player]],Table5[ESPN],0))</f>
        <v>Kyle Monangai</v>
      </c>
    </row>
    <row r="108" spans="1:6">
      <c r="A108">
        <v>107</v>
      </c>
      <c r="B108" t="s">
        <v>978</v>
      </c>
      <c r="C108" t="s">
        <v>867</v>
      </c>
      <c r="D108" t="s">
        <v>186</v>
      </c>
      <c r="E108" t="s">
        <v>887</v>
      </c>
      <c r="F108" s="10" t="str">
        <f>INDEX(Table5[Fantasy Pros],MATCH(Table2[[#This Row],[Player]],Table5[ESPN],0))</f>
        <v>MarShawn Lloyd</v>
      </c>
    </row>
    <row r="109" spans="1:6">
      <c r="A109">
        <v>108</v>
      </c>
      <c r="B109" t="s">
        <v>997</v>
      </c>
      <c r="C109" t="s">
        <v>867</v>
      </c>
      <c r="D109" t="s">
        <v>263</v>
      </c>
      <c r="E109" t="s">
        <v>902</v>
      </c>
      <c r="F109" s="10" t="str">
        <f>INDEX(Table5[Fantasy Pros],MATCH(Table2[[#This Row],[Player]],Table5[ESPN],0))</f>
        <v>Jacory Croskey-Merritt</v>
      </c>
    </row>
    <row r="110" spans="1:6">
      <c r="A110">
        <v>109</v>
      </c>
      <c r="B110" t="s">
        <v>998</v>
      </c>
      <c r="C110" t="s">
        <v>867</v>
      </c>
      <c r="D110" t="s">
        <v>49</v>
      </c>
      <c r="E110" t="s">
        <v>918</v>
      </c>
      <c r="F110" s="10" t="str">
        <f>INDEX(Table5[Fantasy Pros],MATCH(Table2[[#This Row],[Player]],Table5[ESPN],0))</f>
        <v>Chuba Hubbard</v>
      </c>
    </row>
    <row r="111" spans="1:6">
      <c r="A111">
        <v>110</v>
      </c>
      <c r="B111" t="s">
        <v>1009</v>
      </c>
      <c r="C111" t="s">
        <v>890</v>
      </c>
      <c r="D111" t="s">
        <v>72</v>
      </c>
      <c r="E111" t="s">
        <v>889</v>
      </c>
      <c r="F111" s="10" t="str">
        <f>INDEX(Table5[Fantasy Pros],MATCH(Table2[[#This Row],[Player]],Table5[ESPN],0))</f>
        <v>Mark Andrews</v>
      </c>
    </row>
    <row r="112" spans="1:6">
      <c r="A112">
        <v>111</v>
      </c>
      <c r="B112" t="s">
        <v>1010</v>
      </c>
      <c r="C112" t="s">
        <v>890</v>
      </c>
      <c r="D112" t="s">
        <v>144</v>
      </c>
      <c r="E112" t="s">
        <v>872</v>
      </c>
      <c r="F112" s="10" t="str">
        <f>INDEX(Table5[Fantasy Pros],MATCH(Table2[[#This Row],[Player]],Table5[ESPN],0))</f>
        <v>Jake Ferguson</v>
      </c>
    </row>
    <row r="113" spans="1:6">
      <c r="A113">
        <v>112</v>
      </c>
      <c r="B113" t="s">
        <v>1011</v>
      </c>
      <c r="C113" t="s">
        <v>890</v>
      </c>
      <c r="D113" t="s">
        <v>125</v>
      </c>
      <c r="E113" t="s">
        <v>901</v>
      </c>
      <c r="F113" s="10" t="str">
        <f>INDEX(Table5[Fantasy Pros],MATCH(Table2[[#This Row],[Player]],Table5[ESPN],0))</f>
        <v>Dalton Kincaid</v>
      </c>
    </row>
    <row r="114" spans="1:6">
      <c r="A114">
        <v>113</v>
      </c>
      <c r="B114" t="s">
        <v>984</v>
      </c>
      <c r="C114" t="s">
        <v>865</v>
      </c>
      <c r="D114" t="s">
        <v>200</v>
      </c>
      <c r="E114" t="s">
        <v>937</v>
      </c>
      <c r="F114" s="10" t="str">
        <f>INDEX(Table5[Fantasy Pros],MATCH(Table2[[#This Row],[Player]],Table5[ESPN],0))</f>
        <v>Wan'Dale Robinson</v>
      </c>
    </row>
    <row r="115" spans="1:6">
      <c r="A115">
        <v>114</v>
      </c>
      <c r="B115" t="s">
        <v>985</v>
      </c>
      <c r="C115" t="s">
        <v>865</v>
      </c>
      <c r="D115" t="s">
        <v>98</v>
      </c>
      <c r="E115" t="s">
        <v>887</v>
      </c>
      <c r="F115" s="10" t="str">
        <f>INDEX(Table5[Fantasy Pros],MATCH(Table2[[#This Row],[Player]],Table5[ESPN],0))</f>
        <v>Jayden Reed</v>
      </c>
    </row>
    <row r="116" spans="1:6">
      <c r="A116">
        <v>115</v>
      </c>
      <c r="B116" t="s">
        <v>990</v>
      </c>
      <c r="C116" t="s">
        <v>865</v>
      </c>
      <c r="D116" t="s">
        <v>2009</v>
      </c>
      <c r="E116" t="s">
        <v>941</v>
      </c>
      <c r="F116" s="10" t="str">
        <f>INDEX(Table5[Fantasy Pros],MATCH(Table2[[#This Row],[Player]],Table5[ESPN],0))</f>
        <v>KC Concepcion</v>
      </c>
    </row>
    <row r="117" spans="1:6">
      <c r="A117">
        <v>116</v>
      </c>
      <c r="B117" t="s">
        <v>999</v>
      </c>
      <c r="C117" t="s">
        <v>867</v>
      </c>
      <c r="D117" t="s">
        <v>92</v>
      </c>
      <c r="E117" t="s">
        <v>869</v>
      </c>
      <c r="F117" s="10" t="str">
        <f>INDEX(Table5[Fantasy Pros],MATCH(Table2[[#This Row],[Player]],Table5[ESPN],0))</f>
        <v>Jordan Mason</v>
      </c>
    </row>
    <row r="118" spans="1:6">
      <c r="A118">
        <v>117</v>
      </c>
      <c r="B118" t="s">
        <v>1012</v>
      </c>
      <c r="C118" t="s">
        <v>890</v>
      </c>
      <c r="D118" t="s">
        <v>163</v>
      </c>
      <c r="E118" t="s">
        <v>875</v>
      </c>
      <c r="F118" s="10" t="str">
        <f>INDEX(Table5[Fantasy Pros],MATCH(Table2[[#This Row],[Player]],Table5[ESPN],0))</f>
        <v>Isaiah Likely</v>
      </c>
    </row>
    <row r="119" spans="1:6">
      <c r="A119">
        <v>118</v>
      </c>
      <c r="B119" t="s">
        <v>1024</v>
      </c>
      <c r="C119" t="s">
        <v>890</v>
      </c>
      <c r="D119" t="s">
        <v>155</v>
      </c>
      <c r="E119" t="s">
        <v>921</v>
      </c>
      <c r="F119" s="10" t="str">
        <f>INDEX(Table5[Fantasy Pros],MATCH(Table2[[#This Row],[Player]],Table5[ESPN],0))</f>
        <v>Hunter Henry</v>
      </c>
    </row>
    <row r="120" spans="1:6">
      <c r="A120">
        <v>119</v>
      </c>
      <c r="B120" t="s">
        <v>1025</v>
      </c>
      <c r="C120" t="s">
        <v>890</v>
      </c>
      <c r="D120" t="s">
        <v>314</v>
      </c>
      <c r="E120" t="s">
        <v>874</v>
      </c>
      <c r="F120" s="10" t="str">
        <f>INDEX(Table5[Fantasy Pros],MATCH(Table2[[#This Row],[Player]],Table5[ESPN],0))</f>
        <v>Terrance Ferguson</v>
      </c>
    </row>
    <row r="121" spans="1:6">
      <c r="A121">
        <v>120</v>
      </c>
      <c r="B121" t="s">
        <v>1048</v>
      </c>
      <c r="C121" t="s">
        <v>890</v>
      </c>
      <c r="D121" t="s">
        <v>2012</v>
      </c>
      <c r="E121" t="s">
        <v>910</v>
      </c>
      <c r="F121" s="10" t="str">
        <f>INDEX(Table5[Fantasy Pros],MATCH(Table2[[#This Row],[Player]],Table5[ESPN],0))</f>
        <v>Kenyon Sadiq</v>
      </c>
    </row>
    <row r="122" spans="1:6">
      <c r="A122">
        <v>121</v>
      </c>
      <c r="B122" t="s">
        <v>1000</v>
      </c>
      <c r="C122" t="s">
        <v>867</v>
      </c>
      <c r="D122" t="s">
        <v>183</v>
      </c>
      <c r="E122" t="s">
        <v>874</v>
      </c>
      <c r="F122" s="10" t="str">
        <f>INDEX(Table5[Fantasy Pros],MATCH(Table2[[#This Row],[Player]],Table5[ESPN],0))</f>
        <v>Blake Corum</v>
      </c>
    </row>
    <row r="123" spans="1:6">
      <c r="A123">
        <v>122</v>
      </c>
      <c r="B123" t="s">
        <v>1001</v>
      </c>
      <c r="C123" t="s">
        <v>867</v>
      </c>
      <c r="D123" t="s">
        <v>138</v>
      </c>
      <c r="E123" t="s">
        <v>902</v>
      </c>
      <c r="F123" s="10" t="str">
        <f>INDEX(Table5[Fantasy Pros],MATCH(Table2[[#This Row],[Player]],Table5[ESPN],0))</f>
        <v>Rachaad White</v>
      </c>
    </row>
    <row r="124" spans="1:6">
      <c r="A124">
        <v>123</v>
      </c>
      <c r="B124" t="s">
        <v>1002</v>
      </c>
      <c r="C124" t="s">
        <v>867</v>
      </c>
      <c r="D124" t="s">
        <v>73</v>
      </c>
      <c r="E124" t="s">
        <v>869</v>
      </c>
      <c r="F124" s="10" t="str">
        <f>INDEX(Table5[Fantasy Pros],MATCH(Table2[[#This Row],[Player]],Table5[ESPN],0))</f>
        <v>Aaron Jones Sr.</v>
      </c>
    </row>
    <row r="125" spans="1:6">
      <c r="A125">
        <v>124</v>
      </c>
      <c r="B125" t="s">
        <v>1003</v>
      </c>
      <c r="C125" t="s">
        <v>867</v>
      </c>
      <c r="D125" t="s">
        <v>247</v>
      </c>
      <c r="E125" t="s">
        <v>879</v>
      </c>
      <c r="F125" s="10" t="str">
        <f>INDEX(Table5[Fantasy Pros],MATCH(Table2[[#This Row],[Player]],Table5[ESPN],0))</f>
        <v>Woody Marks</v>
      </c>
    </row>
    <row r="126" spans="1:6">
      <c r="A126">
        <v>125</v>
      </c>
      <c r="B126" t="s">
        <v>991</v>
      </c>
      <c r="C126" t="s">
        <v>865</v>
      </c>
      <c r="D126" t="s">
        <v>122</v>
      </c>
      <c r="E126" t="s">
        <v>885</v>
      </c>
      <c r="F126" s="10" t="str">
        <f>INDEX(Table5[Fantasy Pros],MATCH(Table2[[#This Row],[Player]],Table5[ESPN],0))</f>
        <v>Josh Downs</v>
      </c>
    </row>
    <row r="127" spans="1:6">
      <c r="A127">
        <v>126</v>
      </c>
      <c r="B127" t="s">
        <v>992</v>
      </c>
      <c r="C127" t="s">
        <v>865</v>
      </c>
      <c r="D127" t="s">
        <v>107</v>
      </c>
      <c r="E127" t="s">
        <v>902</v>
      </c>
      <c r="F127" s="10" t="str">
        <f>INDEX(Table5[Fantasy Pros],MATCH(Table2[[#This Row],[Player]],Table5[ESPN],0))</f>
        <v>Stefon Diggs</v>
      </c>
    </row>
    <row r="128" spans="1:6">
      <c r="A128">
        <v>127</v>
      </c>
      <c r="B128" t="s">
        <v>993</v>
      </c>
      <c r="C128" t="s">
        <v>865</v>
      </c>
      <c r="D128" t="s">
        <v>2013</v>
      </c>
      <c r="E128" t="s">
        <v>870</v>
      </c>
      <c r="F128" s="10" t="str">
        <f>INDEX(Table5[Fantasy Pros],MATCH(Table2[[#This Row],[Player]],Table5[ESPN],0))</f>
        <v>Makai Lemon</v>
      </c>
    </row>
    <row r="129" spans="1:6">
      <c r="A129">
        <v>128</v>
      </c>
      <c r="B129" t="s">
        <v>994</v>
      </c>
      <c r="C129" t="s">
        <v>865</v>
      </c>
      <c r="D129" t="s">
        <v>1206</v>
      </c>
      <c r="E129" t="s">
        <v>893</v>
      </c>
      <c r="F129" s="10" t="str">
        <f>INDEX(Table5[Fantasy Pros],MATCH(Table2[[#This Row],[Player]],Table5[ESPN],0))</f>
        <v>Chris Godwin Jr.</v>
      </c>
    </row>
    <row r="130" spans="1:6">
      <c r="A130">
        <v>129</v>
      </c>
      <c r="B130" t="s">
        <v>995</v>
      </c>
      <c r="C130" t="s">
        <v>865</v>
      </c>
      <c r="D130" t="s">
        <v>94</v>
      </c>
      <c r="E130" t="s">
        <v>873</v>
      </c>
      <c r="F130" s="10" t="str">
        <f>INDEX(Table5[Fantasy Pros],MATCH(Table2[[#This Row],[Player]],Table5[ESPN],0))</f>
        <v>Deebo Samuel Sr.</v>
      </c>
    </row>
    <row r="131" spans="1:6">
      <c r="A131">
        <v>130</v>
      </c>
      <c r="B131" t="s">
        <v>1019</v>
      </c>
      <c r="C131" t="s">
        <v>865</v>
      </c>
      <c r="D131" t="s">
        <v>165</v>
      </c>
      <c r="E131" t="s">
        <v>921</v>
      </c>
      <c r="F131" s="10" t="str">
        <f>INDEX(Table5[Fantasy Pros],MATCH(Table2[[#This Row],[Player]],Table5[ESPN],0))</f>
        <v>Romeo Doubs</v>
      </c>
    </row>
    <row r="132" spans="1:6">
      <c r="A132">
        <v>131</v>
      </c>
      <c r="B132" t="s">
        <v>1020</v>
      </c>
      <c r="C132" t="s">
        <v>865</v>
      </c>
      <c r="D132" t="s">
        <v>216</v>
      </c>
      <c r="E132" t="s">
        <v>918</v>
      </c>
      <c r="F132" s="10" t="str">
        <f>INDEX(Table5[Fantasy Pros],MATCH(Table2[[#This Row],[Player]],Table5[ESPN],0))</f>
        <v>Jalen Coker</v>
      </c>
    </row>
    <row r="133" spans="1:6">
      <c r="A133">
        <v>132</v>
      </c>
      <c r="B133" t="s">
        <v>1021</v>
      </c>
      <c r="C133" t="s">
        <v>865</v>
      </c>
      <c r="D133" t="s">
        <v>140</v>
      </c>
      <c r="E133" t="s">
        <v>907</v>
      </c>
      <c r="F133" s="10" t="str">
        <f>INDEX(Table5[Fantasy Pros],MATCH(Table2[[#This Row],[Player]],Table5[ESPN],0))</f>
        <v>Rashid Shaheed</v>
      </c>
    </row>
    <row r="134" spans="1:6">
      <c r="A134">
        <v>133</v>
      </c>
      <c r="B134" t="s">
        <v>1022</v>
      </c>
      <c r="C134" t="s">
        <v>865</v>
      </c>
      <c r="D134" t="s">
        <v>178</v>
      </c>
      <c r="E134" t="s">
        <v>893</v>
      </c>
      <c r="F134" s="10" t="str">
        <f>INDEX(Table5[Fantasy Pros],MATCH(Table2[[#This Row],[Player]],Table5[ESPN],0))</f>
        <v>Jalen McMillan</v>
      </c>
    </row>
    <row r="135" spans="1:6">
      <c r="A135">
        <v>134</v>
      </c>
      <c r="B135" t="s">
        <v>1005</v>
      </c>
      <c r="C135" t="s">
        <v>900</v>
      </c>
      <c r="D135" t="s">
        <v>84</v>
      </c>
      <c r="E135" t="s">
        <v>869</v>
      </c>
      <c r="F135" s="10" t="str">
        <f>INDEX(Table5[Fantasy Pros],MATCH(Table2[[#This Row],[Player]],Table5[ESPN],0))</f>
        <v>Kyler Murray</v>
      </c>
    </row>
    <row r="136" spans="1:6">
      <c r="A136">
        <v>135</v>
      </c>
      <c r="B136" t="s">
        <v>1006</v>
      </c>
      <c r="C136" t="s">
        <v>900</v>
      </c>
      <c r="D136" t="s">
        <v>303</v>
      </c>
      <c r="E136" t="s">
        <v>916</v>
      </c>
      <c r="F136" s="10" t="str">
        <f>INDEX(Table5[Fantasy Pros],MATCH(Table2[[#This Row],[Player]],Table5[ESPN],0))</f>
        <v>Tyler Shough</v>
      </c>
    </row>
    <row r="137" spans="1:6">
      <c r="A137">
        <v>136</v>
      </c>
      <c r="B137" t="s">
        <v>1007</v>
      </c>
      <c r="C137" t="s">
        <v>900</v>
      </c>
      <c r="D137" t="s">
        <v>105</v>
      </c>
      <c r="E137" t="s">
        <v>871</v>
      </c>
      <c r="F137" s="10" t="str">
        <f>INDEX(Table5[Fantasy Pros],MATCH(Table2[[#This Row],[Player]],Table5[ESPN],0))</f>
        <v>Jared Goff</v>
      </c>
    </row>
    <row r="138" spans="1:6">
      <c r="A138">
        <v>137</v>
      </c>
      <c r="B138" t="s">
        <v>1026</v>
      </c>
      <c r="C138" t="s">
        <v>900</v>
      </c>
      <c r="D138" t="s">
        <v>290</v>
      </c>
      <c r="E138" t="s">
        <v>885</v>
      </c>
      <c r="F138" s="10" t="str">
        <f>INDEX(Table5[Fantasy Pros],MATCH(Table2[[#This Row],[Player]],Table5[ESPN],0))</f>
        <v>Daniel Jones</v>
      </c>
    </row>
    <row r="139" spans="1:6">
      <c r="A139">
        <v>138</v>
      </c>
      <c r="B139" t="s">
        <v>1013</v>
      </c>
      <c r="C139" t="s">
        <v>867</v>
      </c>
      <c r="D139" t="s">
        <v>114</v>
      </c>
      <c r="E139" t="s">
        <v>907</v>
      </c>
      <c r="F139" s="10" t="str">
        <f>INDEX(Table5[Fantasy Pros],MATCH(Table2[[#This Row],[Player]],Table5[ESPN],0))</f>
        <v>Zach Charbonnet</v>
      </c>
    </row>
    <row r="140" spans="1:6">
      <c r="A140">
        <v>139</v>
      </c>
      <c r="B140" t="s">
        <v>1014</v>
      </c>
      <c r="C140" t="s">
        <v>867</v>
      </c>
      <c r="D140" t="s">
        <v>66</v>
      </c>
      <c r="E140" t="s">
        <v>935</v>
      </c>
      <c r="F140" s="10" t="str">
        <f>INDEX(Table5[Fantasy Pros],MATCH(Table2[[#This Row],[Player]],Table5[ESPN],0))</f>
        <v>RJ Harvey</v>
      </c>
    </row>
    <row r="141" spans="1:6">
      <c r="A141">
        <v>140</v>
      </c>
      <c r="B141" t="s">
        <v>1015</v>
      </c>
      <c r="C141" t="s">
        <v>867</v>
      </c>
      <c r="D141" t="s">
        <v>336</v>
      </c>
      <c r="E141" t="s">
        <v>2106</v>
      </c>
      <c r="F141" s="10" t="str">
        <f>INDEX(Table5[Fantasy Pros],MATCH(Table2[[#This Row],[Player]],Table5[ESPN],0))</f>
        <v>Chris Rodriguez Jr.</v>
      </c>
    </row>
    <row r="142" spans="1:6">
      <c r="A142">
        <v>141</v>
      </c>
      <c r="B142" t="s">
        <v>1016</v>
      </c>
      <c r="C142" t="s">
        <v>867</v>
      </c>
      <c r="D142" t="s">
        <v>132</v>
      </c>
      <c r="E142" t="s">
        <v>937</v>
      </c>
      <c r="F142" s="10" t="str">
        <f>INDEX(Table5[Fantasy Pros],MATCH(Table2[[#This Row],[Player]],Table5[ESPN],0))</f>
        <v>Tyjae Spears</v>
      </c>
    </row>
    <row r="143" spans="1:6">
      <c r="A143">
        <v>142</v>
      </c>
      <c r="B143" t="s">
        <v>1017</v>
      </c>
      <c r="C143" t="s">
        <v>867</v>
      </c>
      <c r="D143" t="s">
        <v>2019</v>
      </c>
      <c r="E143" t="s">
        <v>876</v>
      </c>
      <c r="F143" s="10" t="str">
        <f>INDEX(Table5[Fantasy Pros],MATCH(Table2[[#This Row],[Player]],Table5[ESPN],0))</f>
        <v>Mike Washington Jr.</v>
      </c>
    </row>
    <row r="144" spans="1:6">
      <c r="A144">
        <v>143</v>
      </c>
      <c r="B144" t="s">
        <v>1018</v>
      </c>
      <c r="C144" t="s">
        <v>867</v>
      </c>
      <c r="D144" t="s">
        <v>78</v>
      </c>
      <c r="E144" t="s">
        <v>868</v>
      </c>
      <c r="F144" s="10" t="str">
        <f>INDEX(Table5[Fantasy Pros],MATCH(Table2[[#This Row],[Player]],Table5[ESPN],0))</f>
        <v>Brian Robinson Jr.</v>
      </c>
    </row>
    <row r="145" spans="1:6">
      <c r="A145">
        <v>144</v>
      </c>
      <c r="B145" t="s">
        <v>1023</v>
      </c>
      <c r="C145" t="s">
        <v>865</v>
      </c>
      <c r="D145" t="s">
        <v>2008</v>
      </c>
      <c r="E145" t="s">
        <v>941</v>
      </c>
      <c r="F145" s="10" t="str">
        <f>INDEX(Table5[Fantasy Pros],MATCH(Table2[[#This Row],[Player]],Table5[ESPN],0))</f>
        <v>Denzel Boston</v>
      </c>
    </row>
    <row r="146" spans="1:6">
      <c r="A146">
        <v>145</v>
      </c>
      <c r="B146" t="s">
        <v>1035</v>
      </c>
      <c r="C146" t="s">
        <v>865</v>
      </c>
      <c r="D146" t="s">
        <v>87</v>
      </c>
      <c r="E146" t="s">
        <v>941</v>
      </c>
      <c r="F146" s="10" t="str">
        <f>INDEX(Table5[Fantasy Pros],MATCH(Table2[[#This Row],[Player]],Table5[ESPN],0))</f>
        <v>Jerry Jeudy</v>
      </c>
    </row>
    <row r="147" spans="1:6">
      <c r="A147">
        <v>146</v>
      </c>
      <c r="B147" t="s">
        <v>1036</v>
      </c>
      <c r="C147" t="s">
        <v>865</v>
      </c>
      <c r="D147" t="s">
        <v>62</v>
      </c>
      <c r="E147" t="s">
        <v>937</v>
      </c>
      <c r="F147" s="10" t="str">
        <f>INDEX(Table5[Fantasy Pros],MATCH(Table2[[#This Row],[Player]],Table5[ESPN],0))</f>
        <v>Calvin Ridley</v>
      </c>
    </row>
    <row r="148" spans="1:6">
      <c r="A148">
        <v>147</v>
      </c>
      <c r="B148" t="s">
        <v>1037</v>
      </c>
      <c r="C148" t="s">
        <v>865</v>
      </c>
      <c r="D148" t="s">
        <v>230</v>
      </c>
      <c r="E148" t="s">
        <v>910</v>
      </c>
      <c r="F148" s="10" t="str">
        <f>INDEX(Table5[Fantasy Pros],MATCH(Table2[[#This Row],[Player]],Table5[ESPN],0))</f>
        <v>Adonai Mitchell</v>
      </c>
    </row>
    <row r="149" spans="1:6">
      <c r="A149">
        <v>148</v>
      </c>
      <c r="B149" t="s">
        <v>1038</v>
      </c>
      <c r="C149" t="s">
        <v>865</v>
      </c>
      <c r="D149" t="s">
        <v>2030</v>
      </c>
      <c r="E149" t="s">
        <v>877</v>
      </c>
      <c r="F149" s="10" t="str">
        <f>INDEX(Table5[Fantasy Pros],MATCH(Table2[[#This Row],[Player]],Table5[ESPN],0))</f>
        <v>Caleb Douglas</v>
      </c>
    </row>
    <row r="150" spans="1:6">
      <c r="A150">
        <v>149</v>
      </c>
      <c r="B150" t="s">
        <v>1027</v>
      </c>
      <c r="C150" t="s">
        <v>900</v>
      </c>
      <c r="D150" t="s">
        <v>77</v>
      </c>
      <c r="E150" t="s">
        <v>893</v>
      </c>
      <c r="F150" s="10" t="str">
        <f>INDEX(Table5[Fantasy Pros],MATCH(Table2[[#This Row],[Player]],Table5[ESPN],0))</f>
        <v>Baker Mayfield</v>
      </c>
    </row>
    <row r="151" spans="1:6">
      <c r="A151">
        <v>150</v>
      </c>
      <c r="B151" t="s">
        <v>1028</v>
      </c>
      <c r="C151" t="s">
        <v>900</v>
      </c>
      <c r="D151" t="s">
        <v>453</v>
      </c>
      <c r="E151" t="s">
        <v>877</v>
      </c>
      <c r="F151" s="10" t="str">
        <f>INDEX(Table5[Fantasy Pros],MATCH(Table2[[#This Row],[Player]],Table5[ESPN],0))</f>
        <v>Malik Willis</v>
      </c>
    </row>
    <row r="152" spans="1:6">
      <c r="A152">
        <v>151</v>
      </c>
      <c r="B152" t="s">
        <v>1039</v>
      </c>
      <c r="C152" t="s">
        <v>865</v>
      </c>
      <c r="D152" t="s">
        <v>2016</v>
      </c>
      <c r="E152" t="s">
        <v>916</v>
      </c>
      <c r="F152" s="10" t="str">
        <f>INDEX(Table5[Fantasy Pros],MATCH(Table2[[#This Row],[Player]],Table5[ESPN],0))</f>
        <v>Jordyn Tyson</v>
      </c>
    </row>
    <row r="153" spans="1:6">
      <c r="A153">
        <v>152</v>
      </c>
      <c r="B153" t="s">
        <v>1040</v>
      </c>
      <c r="C153" t="s">
        <v>865</v>
      </c>
      <c r="D153" t="s">
        <v>292</v>
      </c>
      <c r="E153" t="s">
        <v>876</v>
      </c>
      <c r="F153" s="10" t="str">
        <f>INDEX(Table5[Fantasy Pros],MATCH(Table2[[#This Row],[Player]],Table5[ESPN],0))</f>
        <v>Tre Tucker</v>
      </c>
    </row>
    <row r="154" spans="1:6">
      <c r="A154">
        <v>153</v>
      </c>
      <c r="B154" t="s">
        <v>1041</v>
      </c>
      <c r="C154" t="s">
        <v>865</v>
      </c>
      <c r="D154" t="s">
        <v>297</v>
      </c>
      <c r="E154" t="s">
        <v>876</v>
      </c>
      <c r="F154" s="10" t="str">
        <f>INDEX(Table5[Fantasy Pros],MATCH(Table2[[#This Row],[Player]],Table5[ESPN],0))</f>
        <v>Jalen Nailor</v>
      </c>
    </row>
    <row r="155" spans="1:6">
      <c r="A155">
        <v>154</v>
      </c>
      <c r="B155" t="s">
        <v>1029</v>
      </c>
      <c r="C155" t="s">
        <v>867</v>
      </c>
      <c r="D155" t="s">
        <v>142</v>
      </c>
      <c r="E155" t="s">
        <v>891</v>
      </c>
      <c r="F155" s="10" t="str">
        <f>INDEX(Table5[Fantasy Pros],MATCH(Table2[[#This Row],[Player]],Table5[ESPN],0))</f>
        <v>Tyler Allgeier</v>
      </c>
    </row>
    <row r="156" spans="1:6">
      <c r="A156">
        <v>155</v>
      </c>
      <c r="B156" t="s">
        <v>1030</v>
      </c>
      <c r="C156" t="s">
        <v>867</v>
      </c>
      <c r="D156" t="s">
        <v>235</v>
      </c>
      <c r="E156" t="s">
        <v>898</v>
      </c>
      <c r="F156" s="10" t="str">
        <f>INDEX(Table5[Fantasy Pros],MATCH(Table2[[#This Row],[Player]],Table5[ESPN],0))</f>
        <v>Keaton Mitchell</v>
      </c>
    </row>
    <row r="157" spans="1:6">
      <c r="A157">
        <v>156</v>
      </c>
      <c r="B157" t="s">
        <v>1031</v>
      </c>
      <c r="C157" t="s">
        <v>867</v>
      </c>
      <c r="D157" t="s">
        <v>2024</v>
      </c>
      <c r="E157" t="s">
        <v>935</v>
      </c>
      <c r="F157" s="10" t="str">
        <f>INDEX(Table5[Fantasy Pros],MATCH(Table2[[#This Row],[Player]],Table5[ESPN],0))</f>
        <v>Jonah Coleman</v>
      </c>
    </row>
    <row r="158" spans="1:6">
      <c r="A158">
        <v>157</v>
      </c>
      <c r="B158" t="s">
        <v>1032</v>
      </c>
      <c r="C158" t="s">
        <v>867</v>
      </c>
      <c r="D158" t="s">
        <v>147</v>
      </c>
      <c r="E158" t="s">
        <v>910</v>
      </c>
      <c r="F158" s="10" t="str">
        <f>INDEX(Table5[Fantasy Pros],MATCH(Table2[[#This Row],[Player]],Table5[ESPN],0))</f>
        <v>Braelon Allen</v>
      </c>
    </row>
    <row r="159" spans="1:6">
      <c r="A159">
        <v>158</v>
      </c>
      <c r="B159" t="s">
        <v>1033</v>
      </c>
      <c r="C159" t="s">
        <v>867</v>
      </c>
      <c r="D159" t="s">
        <v>106</v>
      </c>
      <c r="E159" t="s">
        <v>870</v>
      </c>
      <c r="F159" s="10" t="str">
        <f>INDEX(Table5[Fantasy Pros],MATCH(Table2[[#This Row],[Player]],Table5[ESPN],0))</f>
        <v>Tank Bigsby</v>
      </c>
    </row>
    <row r="160" spans="1:6">
      <c r="A160">
        <v>159</v>
      </c>
      <c r="B160" t="s">
        <v>1049</v>
      </c>
      <c r="C160" t="s">
        <v>890</v>
      </c>
      <c r="D160" t="s">
        <v>81</v>
      </c>
      <c r="E160" t="s">
        <v>869</v>
      </c>
      <c r="F160" s="10" t="str">
        <f>INDEX(Table5[Fantasy Pros],MATCH(Table2[[#This Row],[Player]],Table5[ESPN],0))</f>
        <v>T.J. Hockenson</v>
      </c>
    </row>
    <row r="161" spans="1:6">
      <c r="A161">
        <v>160</v>
      </c>
      <c r="B161" t="s">
        <v>1050</v>
      </c>
      <c r="C161" t="s">
        <v>890</v>
      </c>
      <c r="D161" t="s">
        <v>196</v>
      </c>
      <c r="E161" t="s">
        <v>2106</v>
      </c>
      <c r="F161" s="10" t="str">
        <f>INDEX(Table5[Fantasy Pros],MATCH(Table2[[#This Row],[Player]],Table5[ESPN],0))</f>
        <v>Brenton Strange</v>
      </c>
    </row>
    <row r="162" spans="1:6">
      <c r="A162">
        <v>161</v>
      </c>
      <c r="B162" t="s">
        <v>1042</v>
      </c>
      <c r="C162" t="s">
        <v>865</v>
      </c>
      <c r="D162" t="s">
        <v>187</v>
      </c>
      <c r="E162" t="s">
        <v>885</v>
      </c>
      <c r="F162" s="10" t="str">
        <f>INDEX(Table5[Fantasy Pros],MATCH(Table2[[#This Row],[Player]],Table5[ESPN],0))</f>
        <v>Keenan Allen</v>
      </c>
    </row>
    <row r="163" spans="1:6">
      <c r="A163">
        <v>162</v>
      </c>
      <c r="B163" t="s">
        <v>1046</v>
      </c>
      <c r="C163" t="s">
        <v>865</v>
      </c>
      <c r="D163" t="s">
        <v>146</v>
      </c>
      <c r="E163" t="s">
        <v>889</v>
      </c>
      <c r="F163" s="10" t="str">
        <f>INDEX(Table5[Fantasy Pros],MATCH(Table2[[#This Row],[Player]],Table5[ESPN],0))</f>
        <v>Rashod Bateman</v>
      </c>
    </row>
    <row r="164" spans="1:6">
      <c r="A164">
        <v>163</v>
      </c>
      <c r="B164" t="s">
        <v>1047</v>
      </c>
      <c r="C164" t="s">
        <v>865</v>
      </c>
      <c r="D164" t="s">
        <v>238</v>
      </c>
      <c r="E164" t="s">
        <v>870</v>
      </c>
      <c r="F164" s="10" t="str">
        <f>INDEX(Table5[Fantasy Pros],MATCH(Table2[[#This Row],[Player]],Table5[ESPN],0))</f>
        <v>Dontayvion Wicks</v>
      </c>
    </row>
    <row r="165" spans="1:6">
      <c r="A165">
        <v>164</v>
      </c>
      <c r="B165" t="s">
        <v>1088</v>
      </c>
      <c r="C165" t="s">
        <v>865</v>
      </c>
      <c r="D165" t="s">
        <v>272</v>
      </c>
      <c r="E165" t="s">
        <v>916</v>
      </c>
      <c r="F165" s="10" t="str">
        <f>INDEX(Table5[Fantasy Pros],MATCH(Table2[[#This Row],[Player]],Table5[ESPN],0))</f>
        <v>Devaughn Vele</v>
      </c>
    </row>
    <row r="166" spans="1:6">
      <c r="A166">
        <v>165</v>
      </c>
      <c r="B166" t="s">
        <v>1089</v>
      </c>
      <c r="C166" t="s">
        <v>865</v>
      </c>
      <c r="D166" t="s">
        <v>244</v>
      </c>
      <c r="E166" t="s">
        <v>879</v>
      </c>
      <c r="F166" s="10" t="str">
        <f>INDEX(Table5[Fantasy Pros],MATCH(Table2[[#This Row],[Player]],Table5[ESPN],0))</f>
        <v>Jaylin Noel</v>
      </c>
    </row>
    <row r="167" spans="1:6">
      <c r="A167">
        <v>166</v>
      </c>
      <c r="B167" t="s">
        <v>1034</v>
      </c>
      <c r="C167" t="s">
        <v>867</v>
      </c>
      <c r="D167" t="s">
        <v>134</v>
      </c>
      <c r="E167" t="s">
        <v>901</v>
      </c>
      <c r="F167" s="10" t="str">
        <f>INDEX(Table5[Fantasy Pros],MATCH(Table2[[#This Row],[Player]],Table5[ESPN],0))</f>
        <v>Ray Davis</v>
      </c>
    </row>
    <row r="168" spans="1:6">
      <c r="A168">
        <v>167</v>
      </c>
      <c r="B168" t="s">
        <v>1043</v>
      </c>
      <c r="C168" t="s">
        <v>867</v>
      </c>
      <c r="D168" t="s">
        <v>166</v>
      </c>
      <c r="E168" t="s">
        <v>941</v>
      </c>
      <c r="F168" s="10" t="str">
        <f>INDEX(Table5[Fantasy Pros],MATCH(Table2[[#This Row],[Player]],Table5[ESPN],0))</f>
        <v>Dylan Sampson</v>
      </c>
    </row>
    <row r="169" spans="1:6">
      <c r="A169">
        <v>168</v>
      </c>
      <c r="B169" t="s">
        <v>1044</v>
      </c>
      <c r="C169" t="s">
        <v>867</v>
      </c>
      <c r="D169" t="s">
        <v>120</v>
      </c>
      <c r="E169" t="s">
        <v>875</v>
      </c>
      <c r="F169" s="10" t="str">
        <f>INDEX(Table5[Fantasy Pros],MATCH(Table2[[#This Row],[Player]],Table5[ESPN],0))</f>
        <v>Najee Harris</v>
      </c>
    </row>
    <row r="170" spans="1:6">
      <c r="A170">
        <v>169</v>
      </c>
      <c r="B170" t="s">
        <v>1052</v>
      </c>
      <c r="C170" t="s">
        <v>1053</v>
      </c>
      <c r="D170" t="s">
        <v>1054</v>
      </c>
      <c r="E170" t="s">
        <v>879</v>
      </c>
      <c r="F170" s="10" t="str">
        <f>INDEX(Table5[Fantasy Pros],MATCH(Table2[[#This Row],[Player]],Table5[ESPN],0))</f>
        <v>Houston Texans</v>
      </c>
    </row>
    <row r="171" spans="1:6">
      <c r="A171">
        <v>170</v>
      </c>
      <c r="B171" t="s">
        <v>1055</v>
      </c>
      <c r="C171" t="s">
        <v>1053</v>
      </c>
      <c r="D171" t="s">
        <v>1058</v>
      </c>
      <c r="E171" t="s">
        <v>935</v>
      </c>
      <c r="F171" s="10" t="str">
        <f>INDEX(Table5[Fantasy Pros],MATCH(Table2[[#This Row],[Player]],Table5[ESPN],0))</f>
        <v>Denver Broncos</v>
      </c>
    </row>
    <row r="172" spans="1:6">
      <c r="A172">
        <v>171</v>
      </c>
      <c r="B172" t="s">
        <v>1057</v>
      </c>
      <c r="C172" t="s">
        <v>1053</v>
      </c>
      <c r="D172" t="s">
        <v>1056</v>
      </c>
      <c r="E172" t="s">
        <v>927</v>
      </c>
      <c r="F172" s="10" t="str">
        <f>INDEX(Table5[Fantasy Pros],MATCH(Table2[[#This Row],[Player]],Table5[ESPN],0))</f>
        <v>Pittsburgh Steelers</v>
      </c>
    </row>
    <row r="173" spans="1:6">
      <c r="A173">
        <v>172</v>
      </c>
      <c r="B173" t="s">
        <v>1059</v>
      </c>
      <c r="C173" t="s">
        <v>1053</v>
      </c>
      <c r="D173" t="s">
        <v>1061</v>
      </c>
      <c r="E173" t="s">
        <v>907</v>
      </c>
      <c r="F173" s="10" t="str">
        <f>INDEX(Table5[Fantasy Pros],MATCH(Table2[[#This Row],[Player]],Table5[ESPN],0))</f>
        <v>Seattle Seahawks</v>
      </c>
    </row>
    <row r="174" spans="1:6">
      <c r="A174">
        <v>173</v>
      </c>
      <c r="B174" t="s">
        <v>1060</v>
      </c>
      <c r="C174" t="s">
        <v>1053</v>
      </c>
      <c r="D174" t="s">
        <v>1198</v>
      </c>
      <c r="E174" t="s">
        <v>874</v>
      </c>
      <c r="F174" s="10" t="str">
        <f>INDEX(Table5[Fantasy Pros],MATCH(Table2[[#This Row],[Player]],Table5[ESPN],0))</f>
        <v>Los Angeles Rams</v>
      </c>
    </row>
    <row r="175" spans="1:6">
      <c r="A175">
        <v>174</v>
      </c>
      <c r="B175" t="s">
        <v>1062</v>
      </c>
      <c r="C175" t="s">
        <v>1053</v>
      </c>
      <c r="D175" t="s">
        <v>1063</v>
      </c>
      <c r="E175" t="s">
        <v>889</v>
      </c>
      <c r="F175" s="10" t="str">
        <f>INDEX(Table5[Fantasy Pros],MATCH(Table2[[#This Row],[Player]],Table5[ESPN],0))</f>
        <v>Baltimore Ravens</v>
      </c>
    </row>
    <row r="176" spans="1:6">
      <c r="A176">
        <v>175</v>
      </c>
      <c r="B176" t="s">
        <v>1064</v>
      </c>
      <c r="C176" t="s">
        <v>1053</v>
      </c>
      <c r="D176" t="s">
        <v>1069</v>
      </c>
      <c r="E176" t="s">
        <v>870</v>
      </c>
      <c r="F176" s="10" t="str">
        <f>INDEX(Table5[Fantasy Pros],MATCH(Table2[[#This Row],[Player]],Table5[ESPN],0))</f>
        <v>Philadelphia Eagles</v>
      </c>
    </row>
    <row r="177" spans="1:6">
      <c r="A177">
        <v>176</v>
      </c>
      <c r="B177" t="s">
        <v>1066</v>
      </c>
      <c r="C177" t="s">
        <v>1053</v>
      </c>
      <c r="D177" t="s">
        <v>2014</v>
      </c>
      <c r="E177" t="s">
        <v>941</v>
      </c>
      <c r="F177" s="10" t="str">
        <f>INDEX(Table5[Fantasy Pros],MATCH(Table2[[#This Row],[Player]],Table5[ESPN],0))</f>
        <v>Cleveland Browns</v>
      </c>
    </row>
    <row r="178" spans="1:6">
      <c r="A178">
        <v>177</v>
      </c>
      <c r="B178" t="s">
        <v>1068</v>
      </c>
      <c r="C178" t="s">
        <v>1053</v>
      </c>
      <c r="D178" t="s">
        <v>1065</v>
      </c>
      <c r="E178" t="s">
        <v>921</v>
      </c>
      <c r="F178" s="10" t="str">
        <f>INDEX(Table5[Fantasy Pros],MATCH(Table2[[#This Row],[Player]],Table5[ESPN],0))</f>
        <v>New England Patriots</v>
      </c>
    </row>
    <row r="179" spans="1:6">
      <c r="A179">
        <v>178</v>
      </c>
      <c r="B179" t="s">
        <v>1070</v>
      </c>
      <c r="C179" t="s">
        <v>1053</v>
      </c>
      <c r="D179" t="s">
        <v>1067</v>
      </c>
      <c r="E179" t="s">
        <v>871</v>
      </c>
      <c r="F179" s="10" t="str">
        <f>INDEX(Table5[Fantasy Pros],MATCH(Table2[[#This Row],[Player]],Table5[ESPN],0))</f>
        <v>Detroit Lions</v>
      </c>
    </row>
    <row r="180" spans="1:6">
      <c r="A180">
        <v>179</v>
      </c>
      <c r="B180" t="s">
        <v>1071</v>
      </c>
      <c r="C180" t="s">
        <v>1053</v>
      </c>
      <c r="D180" t="s">
        <v>1184</v>
      </c>
      <c r="E180" t="s">
        <v>925</v>
      </c>
      <c r="F180" s="10" t="str">
        <f>INDEX(Table5[Fantasy Pros],MATCH(Table2[[#This Row],[Player]],Table5[ESPN],0))</f>
        <v>Kansas City Chiefs</v>
      </c>
    </row>
    <row r="181" spans="1:6">
      <c r="A181">
        <v>180</v>
      </c>
      <c r="B181" t="s">
        <v>1073</v>
      </c>
      <c r="C181" t="s">
        <v>1053</v>
      </c>
      <c r="D181" t="s">
        <v>1203</v>
      </c>
      <c r="E181" t="s">
        <v>898</v>
      </c>
      <c r="F181" s="10" t="str">
        <f>INDEX(Table5[Fantasy Pros],MATCH(Table2[[#This Row],[Player]],Table5[ESPN],0))</f>
        <v>Los Angeles Chargers</v>
      </c>
    </row>
    <row r="182" spans="1:6">
      <c r="A182">
        <v>181</v>
      </c>
      <c r="B182" t="s">
        <v>1075</v>
      </c>
      <c r="C182" t="s">
        <v>1076</v>
      </c>
      <c r="D182" t="s">
        <v>198</v>
      </c>
      <c r="E182" t="s">
        <v>872</v>
      </c>
      <c r="F182" s="10" t="str">
        <f>INDEX(Table5[Fantasy Pros],MATCH(Table2[[#This Row],[Player]],Table5[ESPN],0))</f>
        <v>Brandon Aubrey</v>
      </c>
    </row>
    <row r="183" spans="1:6">
      <c r="A183">
        <v>182</v>
      </c>
      <c r="B183" t="s">
        <v>1077</v>
      </c>
      <c r="C183" t="s">
        <v>1076</v>
      </c>
      <c r="D183" t="s">
        <v>203</v>
      </c>
      <c r="E183" t="s">
        <v>898</v>
      </c>
      <c r="F183" s="10" t="str">
        <f>INDEX(Table5[Fantasy Pros],MATCH(Table2[[#This Row],[Player]],Table5[ESPN],0))</f>
        <v>Cameron Dicker</v>
      </c>
    </row>
    <row r="184" spans="1:6">
      <c r="A184">
        <v>183</v>
      </c>
      <c r="B184" t="s">
        <v>1078</v>
      </c>
      <c r="C184" t="s">
        <v>1076</v>
      </c>
      <c r="D184" t="s">
        <v>335</v>
      </c>
      <c r="E184" t="s">
        <v>907</v>
      </c>
      <c r="F184" s="10" t="str">
        <f>INDEX(Table5[Fantasy Pros],MATCH(Table2[[#This Row],[Player]],Table5[ESPN],0))</f>
        <v>Jason Myers</v>
      </c>
    </row>
    <row r="185" spans="1:6">
      <c r="A185">
        <v>184</v>
      </c>
      <c r="B185" t="s">
        <v>1079</v>
      </c>
      <c r="C185" t="s">
        <v>1076</v>
      </c>
      <c r="D185" t="s">
        <v>2011</v>
      </c>
      <c r="E185" t="s">
        <v>874</v>
      </c>
      <c r="F185" s="10" t="str">
        <f>INDEX(Table5[Fantasy Pros],MATCH(Table2[[#This Row],[Player]],Table5[ESPN],0))</f>
        <v>Harrison Mevis</v>
      </c>
    </row>
    <row r="186" spans="1:6">
      <c r="A186">
        <v>185</v>
      </c>
      <c r="B186" t="s">
        <v>1080</v>
      </c>
      <c r="C186" t="s">
        <v>1076</v>
      </c>
      <c r="D186" t="s">
        <v>214</v>
      </c>
      <c r="E186" t="s">
        <v>879</v>
      </c>
      <c r="F186" s="10" t="str">
        <f>INDEX(Table5[Fantasy Pros],MATCH(Table2[[#This Row],[Player]],Table5[ESPN],0))</f>
        <v>Ka'imi Fairbairn</v>
      </c>
    </row>
    <row r="187" spans="1:6">
      <c r="A187">
        <v>186</v>
      </c>
      <c r="B187" t="s">
        <v>1081</v>
      </c>
      <c r="C187" t="s">
        <v>1076</v>
      </c>
      <c r="D187" t="s">
        <v>380</v>
      </c>
      <c r="E187" t="s">
        <v>873</v>
      </c>
      <c r="F187" s="10" t="str">
        <f>INDEX(Table5[Fantasy Pros],MATCH(Table2[[#This Row],[Player]],Table5[ESPN],0))</f>
        <v>Eddy Pineiro</v>
      </c>
    </row>
    <row r="188" spans="1:6">
      <c r="A188">
        <v>187</v>
      </c>
      <c r="B188" t="s">
        <v>1082</v>
      </c>
      <c r="C188" t="s">
        <v>1076</v>
      </c>
      <c r="D188" t="s">
        <v>225</v>
      </c>
      <c r="E188" t="s">
        <v>925</v>
      </c>
      <c r="F188" s="10" t="str">
        <f>INDEX(Table5[Fantasy Pros],MATCH(Table2[[#This Row],[Player]],Table5[ESPN],0))</f>
        <v>Harrison Butker</v>
      </c>
    </row>
    <row r="189" spans="1:6">
      <c r="A189">
        <v>188</v>
      </c>
      <c r="B189" t="s">
        <v>1083</v>
      </c>
      <c r="C189" t="s">
        <v>1076</v>
      </c>
      <c r="D189" t="s">
        <v>361</v>
      </c>
      <c r="E189" t="s">
        <v>2106</v>
      </c>
      <c r="F189" s="10" t="str">
        <f>INDEX(Table5[Fantasy Pros],MATCH(Table2[[#This Row],[Player]],Table5[ESPN],0))</f>
        <v>Cam Little</v>
      </c>
    </row>
    <row r="190" spans="1:6">
      <c r="A190">
        <v>189</v>
      </c>
      <c r="B190" t="s">
        <v>1084</v>
      </c>
      <c r="C190" t="s">
        <v>1076</v>
      </c>
      <c r="D190" t="s">
        <v>202</v>
      </c>
      <c r="E190" t="s">
        <v>871</v>
      </c>
      <c r="F190" s="10" t="str">
        <f>INDEX(Table5[Fantasy Pros],MATCH(Table2[[#This Row],[Player]],Table5[ESPN],0))</f>
        <v>Jake Bates</v>
      </c>
    </row>
    <row r="191" spans="1:6">
      <c r="A191">
        <v>190</v>
      </c>
      <c r="B191" t="s">
        <v>1085</v>
      </c>
      <c r="C191" t="s">
        <v>1076</v>
      </c>
      <c r="D191" t="s">
        <v>319</v>
      </c>
      <c r="E191" t="s">
        <v>889</v>
      </c>
      <c r="F191" s="10" t="str">
        <f>INDEX(Table5[Fantasy Pros],MATCH(Table2[[#This Row],[Player]],Table5[ESPN],0))</f>
        <v>Tyler Loop</v>
      </c>
    </row>
    <row r="192" spans="1:6">
      <c r="A192">
        <v>191</v>
      </c>
      <c r="B192" t="s">
        <v>1086</v>
      </c>
      <c r="C192" t="s">
        <v>1076</v>
      </c>
      <c r="D192" t="s">
        <v>406</v>
      </c>
      <c r="E192" t="s">
        <v>929</v>
      </c>
      <c r="F192" s="10" t="str">
        <f>INDEX(Table5[Fantasy Pros],MATCH(Table2[[#This Row],[Player]],Table5[ESPN],0))</f>
        <v>Cairo Santos</v>
      </c>
    </row>
    <row r="193" spans="1:6">
      <c r="A193">
        <v>192</v>
      </c>
      <c r="B193" t="s">
        <v>1087</v>
      </c>
      <c r="C193" t="s">
        <v>1076</v>
      </c>
      <c r="D193" t="s">
        <v>316</v>
      </c>
      <c r="E193" t="s">
        <v>869</v>
      </c>
      <c r="F193" s="10" t="str">
        <f>INDEX(Table5[Fantasy Pros],MATCH(Table2[[#This Row],[Player]],Table5[ESPN],0))</f>
        <v>Will Reichard</v>
      </c>
    </row>
    <row r="194" spans="1:6">
      <c r="A194">
        <v>193</v>
      </c>
      <c r="B194" t="s">
        <v>1045</v>
      </c>
      <c r="C194" t="s">
        <v>867</v>
      </c>
      <c r="D194" t="s">
        <v>53</v>
      </c>
      <c r="E194" t="s">
        <v>916</v>
      </c>
      <c r="F194" s="10" t="str">
        <f>INDEX(Table5[Fantasy Pros],MATCH(Table2[[#This Row],[Player]],Table5[ESPN],0))</f>
        <v>Alvin Kamara</v>
      </c>
    </row>
    <row r="195" spans="1:6">
      <c r="A195">
        <v>194</v>
      </c>
      <c r="B195" t="s">
        <v>1051</v>
      </c>
      <c r="C195" t="s">
        <v>890</v>
      </c>
      <c r="D195" t="s">
        <v>254</v>
      </c>
      <c r="E195" t="s">
        <v>916</v>
      </c>
      <c r="F195" s="10" t="str">
        <f>INDEX(Table5[Fantasy Pros],MATCH(Table2[[#This Row],[Player]],Table5[ESPN],0))</f>
        <v>Juwan Johnson</v>
      </c>
    </row>
    <row r="196" spans="1:6">
      <c r="A196">
        <v>195</v>
      </c>
      <c r="B196" t="s">
        <v>1090</v>
      </c>
      <c r="C196" t="s">
        <v>867</v>
      </c>
      <c r="D196" t="s">
        <v>239</v>
      </c>
      <c r="E196" t="s">
        <v>889</v>
      </c>
      <c r="F196" s="10" t="str">
        <f>INDEX(Table5[Fantasy Pros],MATCH(Table2[[#This Row],[Player]],Table5[ESPN],0))</f>
        <v>Justice Hill</v>
      </c>
    </row>
    <row r="197" spans="1:6">
      <c r="A197">
        <v>196</v>
      </c>
      <c r="B197" t="s">
        <v>1091</v>
      </c>
      <c r="C197" t="s">
        <v>867</v>
      </c>
      <c r="D197" t="s">
        <v>2025</v>
      </c>
      <c r="E197" t="s">
        <v>873</v>
      </c>
      <c r="F197" s="10" t="str">
        <f>INDEX(Table5[Fantasy Pros],MATCH(Table2[[#This Row],[Player]],Table5[ESPN],0))</f>
        <v>Kaelon Black</v>
      </c>
    </row>
    <row r="198" spans="1:6">
      <c r="A198">
        <v>197</v>
      </c>
      <c r="B198" t="s">
        <v>1092</v>
      </c>
      <c r="C198" t="s">
        <v>865</v>
      </c>
      <c r="D198" t="s">
        <v>2031</v>
      </c>
      <c r="E198" t="s">
        <v>889</v>
      </c>
      <c r="F198" s="10" t="str">
        <f>INDEX(Table5[Fantasy Pros],MATCH(Table2[[#This Row],[Player]],Table5[ESPN],0))</f>
        <v>Ja'Kobi Lane</v>
      </c>
    </row>
    <row r="199" spans="1:6">
      <c r="A199">
        <v>198</v>
      </c>
      <c r="B199" t="s">
        <v>1093</v>
      </c>
      <c r="C199" t="s">
        <v>900</v>
      </c>
      <c r="D199" t="s">
        <v>118</v>
      </c>
      <c r="E199" t="s">
        <v>887</v>
      </c>
      <c r="F199" s="10" t="str">
        <f>INDEX(Table5[Fantasy Pros],MATCH(Table2[[#This Row],[Player]],Table5[ESPN],0))</f>
        <v>Jordan Love</v>
      </c>
    </row>
    <row r="200" spans="1:6">
      <c r="A200">
        <v>199</v>
      </c>
      <c r="B200" t="s">
        <v>1094</v>
      </c>
      <c r="C200" t="s">
        <v>900</v>
      </c>
      <c r="D200" t="s">
        <v>124</v>
      </c>
      <c r="E200" t="s">
        <v>879</v>
      </c>
      <c r="F200" s="10" t="str">
        <f>INDEX(Table5[Fantasy Pros],MATCH(Table2[[#This Row],[Player]],Table5[ESPN],0))</f>
        <v>C.J. Stroud</v>
      </c>
    </row>
    <row r="201" spans="1:6">
      <c r="A201">
        <v>200</v>
      </c>
      <c r="B201" t="s">
        <v>1095</v>
      </c>
      <c r="C201" t="s">
        <v>900</v>
      </c>
      <c r="D201" t="s">
        <v>193</v>
      </c>
      <c r="E201" t="s">
        <v>907</v>
      </c>
      <c r="F201" s="10" t="str">
        <f>INDEX(Table5[Fantasy Pros],MATCH(Table2[[#This Row],[Player]],Table5[ESPN],0))</f>
        <v>Sam Darnold</v>
      </c>
    </row>
    <row r="202" spans="1:6">
      <c r="A202">
        <v>201</v>
      </c>
      <c r="B202" t="s">
        <v>1096</v>
      </c>
      <c r="C202" t="s">
        <v>865</v>
      </c>
      <c r="D202" t="s">
        <v>99</v>
      </c>
      <c r="E202" t="s">
        <v>869</v>
      </c>
      <c r="F202" s="10" t="str">
        <f>INDEX(Table5[Fantasy Pros],MATCH(Table2[[#This Row],[Player]],Table5[ESPN],0))</f>
        <v>Jauan Jennings</v>
      </c>
    </row>
    <row r="203" spans="1:6">
      <c r="A203">
        <v>202</v>
      </c>
      <c r="B203" t="s">
        <v>1097</v>
      </c>
      <c r="C203" t="s">
        <v>865</v>
      </c>
      <c r="D203" t="s">
        <v>2050</v>
      </c>
      <c r="E203" t="s">
        <v>875</v>
      </c>
      <c r="F203" s="10" t="str">
        <f>INDEX(Table5[Fantasy Pros],MATCH(Table2[[#This Row],[Player]],Table5[ESPN],0))</f>
        <v>Malachi Fields</v>
      </c>
    </row>
    <row r="204" spans="1:6">
      <c r="A204">
        <v>203</v>
      </c>
      <c r="B204" t="s">
        <v>1098</v>
      </c>
      <c r="C204" t="s">
        <v>865</v>
      </c>
      <c r="D204" t="s">
        <v>2017</v>
      </c>
      <c r="E204" t="s">
        <v>927</v>
      </c>
      <c r="F204" s="10" t="str">
        <f>INDEX(Table5[Fantasy Pros],MATCH(Table2[[#This Row],[Player]],Table5[ESPN],0))</f>
        <v>Germie Bernard</v>
      </c>
    </row>
    <row r="205" spans="1:6">
      <c r="A205">
        <v>204</v>
      </c>
      <c r="B205" t="s">
        <v>1099</v>
      </c>
      <c r="C205" t="s">
        <v>865</v>
      </c>
      <c r="D205" t="s">
        <v>174</v>
      </c>
      <c r="E205" t="s">
        <v>898</v>
      </c>
      <c r="F205" s="10" t="str">
        <f>INDEX(Table5[Fantasy Pros],MATCH(Table2[[#This Row],[Player]],Table5[ESPN],0))</f>
        <v>Tre' Harris</v>
      </c>
    </row>
    <row r="206" spans="1:6">
      <c r="A206">
        <v>205</v>
      </c>
      <c r="B206" t="s">
        <v>1100</v>
      </c>
      <c r="C206" t="s">
        <v>865</v>
      </c>
      <c r="D206" t="s">
        <v>2022</v>
      </c>
      <c r="E206" t="s">
        <v>872</v>
      </c>
      <c r="F206" s="10" t="str">
        <f>INDEX(Table5[Fantasy Pros],MATCH(Table2[[#This Row],[Player]],Table5[ESPN],0))</f>
        <v>Ryan Flournoy</v>
      </c>
    </row>
    <row r="207" spans="1:6">
      <c r="A207">
        <v>206</v>
      </c>
      <c r="B207" t="s">
        <v>1101</v>
      </c>
      <c r="C207" t="s">
        <v>890</v>
      </c>
      <c r="D207" t="s">
        <v>209</v>
      </c>
      <c r="E207" t="s">
        <v>927</v>
      </c>
      <c r="F207" s="10" t="str">
        <f>INDEX(Table5[Fantasy Pros],MATCH(Table2[[#This Row],[Player]],Table5[ESPN],0))</f>
        <v>Pat Freiermuth</v>
      </c>
    </row>
    <row r="208" spans="1:6">
      <c r="A208">
        <v>207</v>
      </c>
      <c r="B208" t="s">
        <v>1102</v>
      </c>
      <c r="C208" t="s">
        <v>890</v>
      </c>
      <c r="D208" t="s">
        <v>242</v>
      </c>
      <c r="E208" t="s">
        <v>879</v>
      </c>
      <c r="F208" s="10" t="str">
        <f>INDEX(Table5[Fantasy Pros],MATCH(Table2[[#This Row],[Player]],Table5[ESPN],0))</f>
        <v>Dalton Schultz</v>
      </c>
    </row>
    <row r="209" spans="1:6">
      <c r="A209">
        <v>208</v>
      </c>
      <c r="B209" t="s">
        <v>1103</v>
      </c>
      <c r="C209" t="s">
        <v>865</v>
      </c>
      <c r="D209" t="s">
        <v>2021</v>
      </c>
      <c r="E209" t="s">
        <v>868</v>
      </c>
      <c r="F209" s="10" t="str">
        <f>INDEX(Table5[Fantasy Pros],MATCH(Table2[[#This Row],[Player]],Table5[ESPN],0))</f>
        <v>Zachariah Branch</v>
      </c>
    </row>
    <row r="210" spans="1:6">
      <c r="A210">
        <v>209</v>
      </c>
      <c r="B210" t="s">
        <v>1104</v>
      </c>
      <c r="C210" t="s">
        <v>865</v>
      </c>
      <c r="D210" t="s">
        <v>2020</v>
      </c>
      <c r="E210" t="s">
        <v>910</v>
      </c>
      <c r="F210" s="10" t="str">
        <f>INDEX(Table5[Fantasy Pros],MATCH(Table2[[#This Row],[Player]],Table5[ESPN],0))</f>
        <v>Omar Cooper Jr.</v>
      </c>
    </row>
    <row r="211" spans="1:6">
      <c r="A211">
        <v>210</v>
      </c>
      <c r="B211" t="s">
        <v>1105</v>
      </c>
      <c r="C211" t="s">
        <v>865</v>
      </c>
      <c r="D211" t="s">
        <v>282</v>
      </c>
      <c r="E211" t="s">
        <v>879</v>
      </c>
      <c r="F211" s="10" t="str">
        <f>INDEX(Table5[Fantasy Pros],MATCH(Table2[[#This Row],[Player]],Table5[ESPN],0))</f>
        <v>Kayshon Boutte</v>
      </c>
    </row>
    <row r="212" spans="1:6">
      <c r="A212">
        <v>211</v>
      </c>
      <c r="B212" t="s">
        <v>1106</v>
      </c>
      <c r="C212" t="s">
        <v>865</v>
      </c>
      <c r="D212" t="s">
        <v>291</v>
      </c>
      <c r="E212" t="s">
        <v>877</v>
      </c>
      <c r="F212" s="10" t="str">
        <f>INDEX(Table5[Fantasy Pros],MATCH(Table2[[#This Row],[Player]],Table5[ESPN],0))</f>
        <v>Malik Washington</v>
      </c>
    </row>
    <row r="213" spans="1:6">
      <c r="A213">
        <v>212</v>
      </c>
      <c r="B213" t="s">
        <v>1107</v>
      </c>
      <c r="C213" t="s">
        <v>867</v>
      </c>
      <c r="D213" t="s">
        <v>312</v>
      </c>
      <c r="E213" t="s">
        <v>898</v>
      </c>
      <c r="F213" s="10" t="str">
        <f>INDEX(Table5[Fantasy Pros],MATCH(Table2[[#This Row],[Player]],Table5[ESPN],0))</f>
        <v>Kimani Vidal</v>
      </c>
    </row>
    <row r="214" spans="1:6">
      <c r="A214">
        <v>213</v>
      </c>
      <c r="B214" t="s">
        <v>1108</v>
      </c>
      <c r="C214" t="s">
        <v>867</v>
      </c>
      <c r="D214" t="s">
        <v>160</v>
      </c>
      <c r="E214" t="s">
        <v>877</v>
      </c>
      <c r="F214" s="10" t="str">
        <f>INDEX(Table5[Fantasy Pros],MATCH(Table2[[#This Row],[Player]],Table5[ESPN],0))</f>
        <v>Jaylen Wright</v>
      </c>
    </row>
    <row r="215" spans="1:6">
      <c r="A215">
        <v>214</v>
      </c>
      <c r="B215" t="s">
        <v>1109</v>
      </c>
      <c r="C215" t="s">
        <v>867</v>
      </c>
      <c r="D215" t="s">
        <v>256</v>
      </c>
      <c r="E215" t="s">
        <v>877</v>
      </c>
      <c r="F215" s="10" t="str">
        <f>INDEX(Table5[Fantasy Pros],MATCH(Table2[[#This Row],[Player]],Table5[ESPN],0))</f>
        <v>Ollie Gordon II</v>
      </c>
    </row>
    <row r="216" spans="1:6">
      <c r="A216">
        <v>215</v>
      </c>
      <c r="B216" t="s">
        <v>1110</v>
      </c>
      <c r="C216" t="s">
        <v>890</v>
      </c>
      <c r="D216" t="s">
        <v>220</v>
      </c>
      <c r="E216" t="s">
        <v>902</v>
      </c>
      <c r="F216" s="10" t="str">
        <f>INDEX(Table5[Fantasy Pros],MATCH(Table2[[#This Row],[Player]],Table5[ESPN],0))</f>
        <v>Chig Okonkwo</v>
      </c>
    </row>
    <row r="217" spans="1:6">
      <c r="A217">
        <v>216</v>
      </c>
      <c r="B217" t="s">
        <v>1111</v>
      </c>
      <c r="C217" t="s">
        <v>890</v>
      </c>
      <c r="D217" t="s">
        <v>377</v>
      </c>
      <c r="E217" t="s">
        <v>937</v>
      </c>
      <c r="F217" s="10" t="str">
        <f>INDEX(Table5[Fantasy Pros],MATCH(Table2[[#This Row],[Player]],Table5[ESPN],0))</f>
        <v>Gunnar Helm</v>
      </c>
    </row>
    <row r="218" spans="1:6">
      <c r="A218">
        <v>217</v>
      </c>
      <c r="B218" t="s">
        <v>1112</v>
      </c>
      <c r="C218" t="s">
        <v>890</v>
      </c>
      <c r="D218" t="s">
        <v>364</v>
      </c>
      <c r="E218" t="s">
        <v>907</v>
      </c>
      <c r="F218" s="10" t="str">
        <f>INDEX(Table5[Fantasy Pros],MATCH(Table2[[#This Row],[Player]],Table5[ESPN],0))</f>
        <v>AJ Barner</v>
      </c>
    </row>
    <row r="219" spans="1:6">
      <c r="A219">
        <v>218</v>
      </c>
      <c r="B219" t="s">
        <v>1113</v>
      </c>
      <c r="C219" t="s">
        <v>900</v>
      </c>
      <c r="D219" t="s">
        <v>150</v>
      </c>
      <c r="E219" t="s">
        <v>918</v>
      </c>
      <c r="F219" s="10" t="str">
        <f>INDEX(Table5[Fantasy Pros],MATCH(Table2[[#This Row],[Player]],Table5[ESPN],0))</f>
        <v>Bryce Young</v>
      </c>
    </row>
    <row r="220" spans="1:6">
      <c r="A220">
        <v>219</v>
      </c>
      <c r="B220" t="s">
        <v>1114</v>
      </c>
      <c r="C220" t="s">
        <v>900</v>
      </c>
      <c r="D220" t="s">
        <v>191</v>
      </c>
      <c r="E220" t="s">
        <v>937</v>
      </c>
      <c r="F220" s="10" t="str">
        <f>INDEX(Table5[Fantasy Pros],MATCH(Table2[[#This Row],[Player]],Table5[ESPN],0))</f>
        <v>Cam Ward</v>
      </c>
    </row>
    <row r="221" spans="1:6">
      <c r="A221">
        <v>220</v>
      </c>
      <c r="B221" t="s">
        <v>1115</v>
      </c>
      <c r="C221" t="s">
        <v>900</v>
      </c>
      <c r="D221" t="s">
        <v>480</v>
      </c>
      <c r="E221" t="s">
        <v>891</v>
      </c>
      <c r="F221" s="10" t="str">
        <f>INDEX(Table5[Fantasy Pros],MATCH(Table2[[#This Row],[Player]],Table5[ESPN],0))</f>
        <v>Jacoby Brissett</v>
      </c>
    </row>
    <row r="222" spans="1:6">
      <c r="A222">
        <v>221</v>
      </c>
      <c r="B222" t="s">
        <v>1116</v>
      </c>
      <c r="C222" t="s">
        <v>867</v>
      </c>
      <c r="D222" t="s">
        <v>345</v>
      </c>
      <c r="E222" t="s">
        <v>866</v>
      </c>
      <c r="F222" s="10" t="str">
        <f>INDEX(Table5[Fantasy Pros],MATCH(Table2[[#This Row],[Player]],Table5[ESPN],0))</f>
        <v>Samaje Perine</v>
      </c>
    </row>
    <row r="223" spans="1:6">
      <c r="A223">
        <v>222</v>
      </c>
      <c r="B223" t="s">
        <v>1117</v>
      </c>
      <c r="C223" t="s">
        <v>867</v>
      </c>
      <c r="D223" t="s">
        <v>280</v>
      </c>
      <c r="E223" t="s">
        <v>901</v>
      </c>
      <c r="F223" s="10" t="str">
        <f>INDEX(Table5[Fantasy Pros],MATCH(Table2[[#This Row],[Player]],Table5[ESPN],0))</f>
        <v>Ty Johnson</v>
      </c>
    </row>
    <row r="224" spans="1:6">
      <c r="A224">
        <v>223</v>
      </c>
      <c r="B224" t="s">
        <v>1118</v>
      </c>
      <c r="C224" t="s">
        <v>867</v>
      </c>
      <c r="D224" t="s">
        <v>326</v>
      </c>
      <c r="E224" t="s">
        <v>887</v>
      </c>
      <c r="F224" s="10" t="str">
        <f>INDEX(Table5[Fantasy Pros],MATCH(Table2[[#This Row],[Player]],Table5[ESPN],0))</f>
        <v>Chris Brooks</v>
      </c>
    </row>
    <row r="225" spans="1:6">
      <c r="A225">
        <v>224</v>
      </c>
      <c r="B225" t="s">
        <v>1119</v>
      </c>
      <c r="C225" t="s">
        <v>865</v>
      </c>
      <c r="D225" t="s">
        <v>127</v>
      </c>
      <c r="E225" t="s">
        <v>907</v>
      </c>
      <c r="F225" s="10" t="str">
        <f>INDEX(Table5[Fantasy Pros],MATCH(Table2[[#This Row],[Player]],Table5[ESPN],0))</f>
        <v>Cooper Kupp</v>
      </c>
    </row>
    <row r="226" spans="1:6">
      <c r="A226">
        <v>225</v>
      </c>
      <c r="B226" t="s">
        <v>1120</v>
      </c>
      <c r="C226" t="s">
        <v>867</v>
      </c>
      <c r="D226" t="s">
        <v>277</v>
      </c>
      <c r="E226" t="s">
        <v>925</v>
      </c>
      <c r="F226" s="10" t="str">
        <f>INDEX(Table5[Fantasy Pros],MATCH(Table2[[#This Row],[Player]],Table5[ESPN],0))</f>
        <v>Brashard Smith</v>
      </c>
    </row>
    <row r="227" spans="1:6">
      <c r="A227">
        <v>226</v>
      </c>
      <c r="B227" t="s">
        <v>1121</v>
      </c>
      <c r="C227" t="s">
        <v>867</v>
      </c>
      <c r="D227" t="s">
        <v>2039</v>
      </c>
      <c r="E227" t="s">
        <v>872</v>
      </c>
      <c r="F227" s="10" t="str">
        <f>INDEX(Table5[Fantasy Pros],MATCH(Table2[[#This Row],[Player]],Table5[ESPN],0))</f>
        <v>Malik Davis</v>
      </c>
    </row>
    <row r="228" spans="1:6">
      <c r="A228">
        <v>227</v>
      </c>
      <c r="B228" t="s">
        <v>1122</v>
      </c>
      <c r="C228" t="s">
        <v>865</v>
      </c>
      <c r="D228" t="s">
        <v>190</v>
      </c>
      <c r="E228" t="s">
        <v>918</v>
      </c>
      <c r="F228" s="10" t="str">
        <f>INDEX(Table5[Fantasy Pros],MATCH(Table2[[#This Row],[Player]],Table5[ESPN],0))</f>
        <v>Xavier Legette</v>
      </c>
    </row>
    <row r="229" spans="1:6">
      <c r="A229">
        <v>228</v>
      </c>
      <c r="B229" t="s">
        <v>1124</v>
      </c>
      <c r="C229" t="s">
        <v>865</v>
      </c>
      <c r="D229" t="s">
        <v>398</v>
      </c>
      <c r="E229" t="s">
        <v>868</v>
      </c>
      <c r="F229" s="10" t="str">
        <f>INDEX(Table5[Fantasy Pros],MATCH(Table2[[#This Row],[Player]],Table5[ESPN],0))</f>
        <v>Jahan Dotson</v>
      </c>
    </row>
    <row r="230" spans="1:6">
      <c r="A230">
        <v>229</v>
      </c>
      <c r="B230" t="s">
        <v>1125</v>
      </c>
      <c r="C230" t="s">
        <v>865</v>
      </c>
      <c r="D230" t="s">
        <v>490</v>
      </c>
      <c r="E230" t="s">
        <v>879</v>
      </c>
      <c r="F230" s="10" t="e">
        <f>INDEX(Table5[Fantasy Pros],MATCH(Table2[[#This Row],[Player]],Table5[ESPN],0))</f>
        <v>#N/A</v>
      </c>
    </row>
    <row r="231" spans="1:6">
      <c r="A231">
        <v>230</v>
      </c>
      <c r="B231" t="s">
        <v>1126</v>
      </c>
      <c r="C231" t="s">
        <v>865</v>
      </c>
      <c r="D231" t="s">
        <v>273</v>
      </c>
      <c r="E231" t="s">
        <v>877</v>
      </c>
      <c r="F231" s="10" t="str">
        <f>INDEX(Table5[Fantasy Pros],MATCH(Table2[[#This Row],[Player]],Table5[ESPN],0))</f>
        <v>Jalen Tolbert</v>
      </c>
    </row>
    <row r="232" spans="1:6">
      <c r="A232">
        <v>231</v>
      </c>
      <c r="B232" t="s">
        <v>1127</v>
      </c>
      <c r="C232" t="s">
        <v>865</v>
      </c>
      <c r="D232" t="s">
        <v>2023</v>
      </c>
      <c r="E232" t="s">
        <v>877</v>
      </c>
      <c r="F232" s="10" t="str">
        <f>INDEX(Table5[Fantasy Pros],MATCH(Table2[[#This Row],[Player]],Table5[ESPN],0))</f>
        <v>Chris Bell</v>
      </c>
    </row>
    <row r="233" spans="1:6">
      <c r="A233">
        <v>232</v>
      </c>
      <c r="B233" t="s">
        <v>1128</v>
      </c>
      <c r="C233" t="s">
        <v>865</v>
      </c>
      <c r="D233" t="s">
        <v>189</v>
      </c>
      <c r="E233" t="s">
        <v>921</v>
      </c>
      <c r="F233" s="10" t="str">
        <f>INDEX(Table5[Fantasy Pros],MATCH(Table2[[#This Row],[Player]],Table5[ESPN],0))</f>
        <v>DeMario Douglas</v>
      </c>
    </row>
    <row r="234" spans="1:6">
      <c r="A234">
        <v>233</v>
      </c>
      <c r="B234" t="s">
        <v>1129</v>
      </c>
      <c r="C234" t="s">
        <v>865</v>
      </c>
      <c r="D234" t="s">
        <v>226</v>
      </c>
      <c r="E234" t="s">
        <v>875</v>
      </c>
      <c r="F234" s="10" t="str">
        <f>INDEX(Table5[Fantasy Pros],MATCH(Table2[[#This Row],[Player]],Table5[ESPN],0))</f>
        <v>Darius Slayton</v>
      </c>
    </row>
    <row r="235" spans="1:6">
      <c r="A235">
        <v>234</v>
      </c>
      <c r="B235" t="s">
        <v>1130</v>
      </c>
      <c r="C235" t="s">
        <v>865</v>
      </c>
      <c r="D235" t="s">
        <v>2018</v>
      </c>
      <c r="E235" t="s">
        <v>902</v>
      </c>
      <c r="F235" s="10" t="str">
        <f>INDEX(Table5[Fantasy Pros],MATCH(Table2[[#This Row],[Player]],Table5[ESPN],0))</f>
        <v>Antonio Williams</v>
      </c>
    </row>
    <row r="236" spans="1:6">
      <c r="A236">
        <v>235</v>
      </c>
      <c r="B236" t="s">
        <v>1131</v>
      </c>
      <c r="C236" t="s">
        <v>1053</v>
      </c>
      <c r="D236" t="s">
        <v>1133</v>
      </c>
      <c r="E236" t="s">
        <v>893</v>
      </c>
      <c r="F236" s="10" t="str">
        <f>INDEX(Table5[Fantasy Pros],MATCH(Table2[[#This Row],[Player]],Table5[ESPN],0))</f>
        <v>Tampa Bay Buccaneers</v>
      </c>
    </row>
    <row r="237" spans="1:6">
      <c r="A237">
        <v>236</v>
      </c>
      <c r="B237" t="s">
        <v>1132</v>
      </c>
      <c r="C237" t="s">
        <v>1053</v>
      </c>
      <c r="D237" t="s">
        <v>1153</v>
      </c>
      <c r="E237" t="s">
        <v>887</v>
      </c>
      <c r="F237" s="10" t="str">
        <f>INDEX(Table5[Fantasy Pros],MATCH(Table2[[#This Row],[Player]],Table5[ESPN],0))</f>
        <v>Green Bay Packers</v>
      </c>
    </row>
    <row r="238" spans="1:6">
      <c r="A238">
        <v>237</v>
      </c>
      <c r="B238" t="s">
        <v>1134</v>
      </c>
      <c r="C238" t="s">
        <v>1076</v>
      </c>
      <c r="D238" t="s">
        <v>211</v>
      </c>
      <c r="E238" t="s">
        <v>927</v>
      </c>
      <c r="F238" s="10" t="str">
        <f>INDEX(Table5[Fantasy Pros],MATCH(Table2[[#This Row],[Player]],Table5[ESPN],0))</f>
        <v>Chris Boswell</v>
      </c>
    </row>
    <row r="239" spans="1:6">
      <c r="A239">
        <v>238</v>
      </c>
      <c r="B239" t="s">
        <v>1135</v>
      </c>
      <c r="C239" t="s">
        <v>1076</v>
      </c>
      <c r="D239" t="s">
        <v>212</v>
      </c>
      <c r="E239" t="s">
        <v>893</v>
      </c>
      <c r="F239" s="10" t="str">
        <f>INDEX(Table5[Fantasy Pros],MATCH(Table2[[#This Row],[Player]],Table5[ESPN],0))</f>
        <v>Chase McLaughlin</v>
      </c>
    </row>
    <row r="240" spans="1:6">
      <c r="A240">
        <v>239</v>
      </c>
      <c r="B240" t="s">
        <v>1136</v>
      </c>
      <c r="C240" t="s">
        <v>867</v>
      </c>
      <c r="D240" t="s">
        <v>2035</v>
      </c>
      <c r="E240" t="s">
        <v>925</v>
      </c>
      <c r="F240" s="10" t="str">
        <f>INDEX(Table5[Fantasy Pros],MATCH(Table2[[#This Row],[Player]],Table5[ESPN],0))</f>
        <v>Emmett Johnson</v>
      </c>
    </row>
    <row r="241" spans="1:6">
      <c r="A241">
        <v>240</v>
      </c>
      <c r="B241" t="s">
        <v>1137</v>
      </c>
      <c r="C241" t="s">
        <v>867</v>
      </c>
      <c r="D241" t="s">
        <v>70</v>
      </c>
      <c r="E241" t="s">
        <v>871</v>
      </c>
      <c r="F241" s="10" t="str">
        <f>INDEX(Table5[Fantasy Pros],MATCH(Table2[[#This Row],[Player]],Table5[ESPN],0))</f>
        <v>Isiah Pacheco</v>
      </c>
    </row>
    <row r="242" spans="1:6">
      <c r="A242">
        <v>241</v>
      </c>
      <c r="B242" t="s">
        <v>1138</v>
      </c>
      <c r="C242" t="s">
        <v>867</v>
      </c>
      <c r="D242" t="s">
        <v>295</v>
      </c>
      <c r="E242" t="s">
        <v>910</v>
      </c>
      <c r="F242" s="10" t="str">
        <f>INDEX(Table5[Fantasy Pros],MATCH(Table2[[#This Row],[Player]],Table5[ESPN],0))</f>
        <v>Isaiah Davis</v>
      </c>
    </row>
    <row r="243" spans="1:6">
      <c r="A243">
        <v>242</v>
      </c>
      <c r="B243" t="s">
        <v>1139</v>
      </c>
      <c r="C243" t="s">
        <v>867</v>
      </c>
      <c r="D243" t="s">
        <v>2109</v>
      </c>
      <c r="E243" t="s">
        <v>871</v>
      </c>
      <c r="F243" s="10" t="e">
        <f>INDEX(Table5[Fantasy Pros],MATCH(Table2[[#This Row],[Player]],Table5[ESPN],0))</f>
        <v>#N/A</v>
      </c>
    </row>
    <row r="244" spans="1:6">
      <c r="A244">
        <v>243</v>
      </c>
      <c r="B244" t="s">
        <v>1140</v>
      </c>
      <c r="C244" t="s">
        <v>867</v>
      </c>
      <c r="D244" t="s">
        <v>374</v>
      </c>
      <c r="E244" t="s">
        <v>2106</v>
      </c>
      <c r="F244" s="10" t="str">
        <f>INDEX(Table5[Fantasy Pros],MATCH(Table2[[#This Row],[Player]],Table5[ESPN],0))</f>
        <v>LeQuint Allen Jr.</v>
      </c>
    </row>
    <row r="245" spans="1:6">
      <c r="A245">
        <v>244</v>
      </c>
      <c r="B245" t="s">
        <v>1141</v>
      </c>
      <c r="C245" t="s">
        <v>867</v>
      </c>
      <c r="D245" t="s">
        <v>1541</v>
      </c>
      <c r="E245" t="s">
        <v>907</v>
      </c>
      <c r="F245" s="10" t="str">
        <f>INDEX(Table5[Fantasy Pros],MATCH(Table2[[#This Row],[Player]],Table5[ESPN],0))</f>
        <v>George Holani</v>
      </c>
    </row>
    <row r="246" spans="1:6">
      <c r="A246">
        <v>245</v>
      </c>
      <c r="B246" t="s">
        <v>1142</v>
      </c>
      <c r="C246" t="s">
        <v>867</v>
      </c>
      <c r="D246" t="s">
        <v>83</v>
      </c>
      <c r="E246" t="s">
        <v>875</v>
      </c>
      <c r="F246" s="10" t="str">
        <f>INDEX(Table5[Fantasy Pros],MATCH(Table2[[#This Row],[Player]],Table5[ESPN],0))</f>
        <v>Tyrone Tracy Jr.</v>
      </c>
    </row>
    <row r="247" spans="1:6">
      <c r="A247">
        <v>246</v>
      </c>
      <c r="B247" t="s">
        <v>1143</v>
      </c>
      <c r="C247" t="s">
        <v>867</v>
      </c>
      <c r="D247" t="s">
        <v>270</v>
      </c>
      <c r="E247" t="s">
        <v>893</v>
      </c>
      <c r="F247" s="10" t="str">
        <f>INDEX(Table5[Fantasy Pros],MATCH(Table2[[#This Row],[Player]],Table5[ESPN],0))</f>
        <v>Sean Tucker</v>
      </c>
    </row>
    <row r="248" spans="1:6">
      <c r="A248">
        <v>247</v>
      </c>
      <c r="B248" t="s">
        <v>1144</v>
      </c>
      <c r="C248" t="s">
        <v>867</v>
      </c>
      <c r="D248" t="s">
        <v>2040</v>
      </c>
      <c r="E248" t="s">
        <v>885</v>
      </c>
      <c r="F248" s="10" t="str">
        <f>INDEX(Table5[Fantasy Pros],MATCH(Table2[[#This Row],[Player]],Table5[ESPN],0))</f>
        <v>Seth McGowan</v>
      </c>
    </row>
    <row r="249" spans="1:6">
      <c r="A249">
        <v>248</v>
      </c>
      <c r="B249" t="s">
        <v>1145</v>
      </c>
      <c r="C249" t="s">
        <v>867</v>
      </c>
      <c r="D249" t="s">
        <v>287</v>
      </c>
      <c r="E249" t="s">
        <v>873</v>
      </c>
      <c r="F249" s="10" t="str">
        <f>INDEX(Table5[Fantasy Pros],MATCH(Table2[[#This Row],[Player]],Table5[ESPN],0))</f>
        <v>Jordan James</v>
      </c>
    </row>
    <row r="250" spans="1:6">
      <c r="A250">
        <v>249</v>
      </c>
      <c r="B250" t="s">
        <v>1146</v>
      </c>
      <c r="C250" t="s">
        <v>867</v>
      </c>
      <c r="D250" t="s">
        <v>224</v>
      </c>
      <c r="E250" t="s">
        <v>870</v>
      </c>
      <c r="F250" s="10" t="str">
        <f>INDEX(Table5[Fantasy Pros],MATCH(Table2[[#This Row],[Player]],Table5[ESPN],0))</f>
        <v>Will Shipley</v>
      </c>
    </row>
    <row r="251" spans="1:6">
      <c r="A251">
        <v>250</v>
      </c>
      <c r="B251" t="s">
        <v>1147</v>
      </c>
      <c r="C251" t="s">
        <v>867</v>
      </c>
      <c r="D251" t="s">
        <v>322</v>
      </c>
      <c r="E251" t="s">
        <v>907</v>
      </c>
      <c r="F251" s="10" t="str">
        <f>INDEX(Table5[Fantasy Pros],MATCH(Table2[[#This Row],[Player]],Table5[ESPN],0))</f>
        <v>Emanuel Wilson</v>
      </c>
    </row>
    <row r="252" spans="1:6">
      <c r="A252">
        <v>251</v>
      </c>
      <c r="B252" t="s">
        <v>1148</v>
      </c>
      <c r="C252" t="s">
        <v>867</v>
      </c>
      <c r="D252" t="s">
        <v>401</v>
      </c>
      <c r="E252" t="s">
        <v>872</v>
      </c>
      <c r="F252" s="10" t="str">
        <f>INDEX(Table5[Fantasy Pros],MATCH(Table2[[#This Row],[Player]],Table5[ESPN],0))</f>
        <v>Emari Demercado</v>
      </c>
    </row>
    <row r="253" spans="1:6">
      <c r="A253">
        <v>252</v>
      </c>
      <c r="B253" t="s">
        <v>1149</v>
      </c>
      <c r="C253" t="s">
        <v>865</v>
      </c>
      <c r="D253" t="s">
        <v>451</v>
      </c>
      <c r="E253" t="s">
        <v>925</v>
      </c>
      <c r="F253" s="10" t="str">
        <f>INDEX(Table5[Fantasy Pros],MATCH(Table2[[#This Row],[Player]],Table5[ESPN],0))</f>
        <v>Tyquan Thornton</v>
      </c>
    </row>
    <row r="254" spans="1:6">
      <c r="A254">
        <v>253</v>
      </c>
      <c r="B254" t="s">
        <v>1150</v>
      </c>
      <c r="C254" t="s">
        <v>865</v>
      </c>
      <c r="D254" t="s">
        <v>131</v>
      </c>
      <c r="E254" t="s">
        <v>901</v>
      </c>
      <c r="F254" s="10" t="str">
        <f>INDEX(Table5[Fantasy Pros],MATCH(Table2[[#This Row],[Player]],Table5[ESPN],0))</f>
        <v>Keon Coleman</v>
      </c>
    </row>
    <row r="255" spans="1:6">
      <c r="A255">
        <v>254</v>
      </c>
      <c r="B255" t="s">
        <v>1151</v>
      </c>
      <c r="C255" t="s">
        <v>1053</v>
      </c>
      <c r="D255" t="s">
        <v>2036</v>
      </c>
      <c r="E255" t="s">
        <v>2106</v>
      </c>
      <c r="F255" s="10" t="str">
        <f>INDEX(Table5[Fantasy Pros],MATCH(Table2[[#This Row],[Player]],Table5[ESPN],0))</f>
        <v>Jacksonville Jaguars</v>
      </c>
    </row>
    <row r="256" spans="1:6">
      <c r="A256">
        <v>255</v>
      </c>
      <c r="B256" t="s">
        <v>1152</v>
      </c>
      <c r="C256" t="s">
        <v>1053</v>
      </c>
      <c r="D256" t="s">
        <v>2045</v>
      </c>
      <c r="E256" t="s">
        <v>916</v>
      </c>
      <c r="F256" s="10" t="str">
        <f>INDEX(Table5[Fantasy Pros],MATCH(Table2[[#This Row],[Player]],Table5[ESPN],0))</f>
        <v>New Orleans Saints</v>
      </c>
    </row>
    <row r="257" spans="1:6">
      <c r="A257">
        <v>256</v>
      </c>
      <c r="B257" t="s">
        <v>1154</v>
      </c>
      <c r="C257" t="s">
        <v>1076</v>
      </c>
      <c r="D257" t="s">
        <v>229</v>
      </c>
      <c r="E257" t="s">
        <v>866</v>
      </c>
      <c r="F257" s="10" t="str">
        <f>INDEX(Table5[Fantasy Pros],MATCH(Table2[[#This Row],[Player]],Table5[ESPN],0))</f>
        <v>Evan McPherson</v>
      </c>
    </row>
    <row r="258" spans="1:6">
      <c r="A258">
        <v>257</v>
      </c>
      <c r="B258" t="s">
        <v>1155</v>
      </c>
      <c r="C258" t="s">
        <v>1076</v>
      </c>
      <c r="D258" t="s">
        <v>413</v>
      </c>
      <c r="E258" t="s">
        <v>868</v>
      </c>
      <c r="F258" s="10" t="str">
        <f>INDEX(Table5[Fantasy Pros],MATCH(Table2[[#This Row],[Player]],Table5[ESPN],0))</f>
        <v>Nick Folk</v>
      </c>
    </row>
    <row r="259" spans="1:6">
      <c r="A259">
        <v>258</v>
      </c>
      <c r="B259" t="s">
        <v>1156</v>
      </c>
      <c r="C259" t="s">
        <v>890</v>
      </c>
      <c r="D259" t="s">
        <v>305</v>
      </c>
      <c r="E259" t="s">
        <v>918</v>
      </c>
      <c r="F259" s="10" t="str">
        <f>INDEX(Table5[Fantasy Pros],MATCH(Table2[[#This Row],[Player]],Table5[ESPN],0))</f>
        <v>Darren Waller</v>
      </c>
    </row>
    <row r="260" spans="1:6">
      <c r="A260">
        <v>259</v>
      </c>
      <c r="B260" t="s">
        <v>1157</v>
      </c>
      <c r="C260" t="s">
        <v>890</v>
      </c>
      <c r="D260" t="s">
        <v>449</v>
      </c>
      <c r="E260" t="s">
        <v>877</v>
      </c>
      <c r="F260" s="10" t="str">
        <f>INDEX(Table5[Fantasy Pros],MATCH(Table2[[#This Row],[Player]],Table5[ESPN],0))</f>
        <v>Greg Dulcich</v>
      </c>
    </row>
    <row r="261" spans="1:6">
      <c r="A261">
        <v>260</v>
      </c>
      <c r="B261" t="s">
        <v>1158</v>
      </c>
      <c r="C261" t="s">
        <v>890</v>
      </c>
      <c r="D261" t="s">
        <v>213</v>
      </c>
      <c r="E261" t="s">
        <v>893</v>
      </c>
      <c r="F261" s="10" t="str">
        <f>INDEX(Table5[Fantasy Pros],MATCH(Table2[[#This Row],[Player]],Table5[ESPN],0))</f>
        <v>Cade Otton</v>
      </c>
    </row>
    <row r="262" spans="1:6">
      <c r="A262">
        <v>261</v>
      </c>
      <c r="B262" t="s">
        <v>1159</v>
      </c>
      <c r="C262" t="s">
        <v>865</v>
      </c>
      <c r="D262" t="s">
        <v>300</v>
      </c>
      <c r="E262" t="s">
        <v>871</v>
      </c>
      <c r="F262" s="10" t="str">
        <f>INDEX(Table5[Fantasy Pros],MATCH(Table2[[#This Row],[Player]],Table5[ESPN],0))</f>
        <v>Isaac TeSlaa</v>
      </c>
    </row>
    <row r="263" spans="1:6">
      <c r="A263">
        <v>262</v>
      </c>
      <c r="B263" t="s">
        <v>1160</v>
      </c>
      <c r="C263" t="s">
        <v>865</v>
      </c>
      <c r="D263" t="s">
        <v>249</v>
      </c>
      <c r="E263" t="s">
        <v>935</v>
      </c>
      <c r="F263" s="10" t="str">
        <f>INDEX(Table5[Fantasy Pros],MATCH(Table2[[#This Row],[Player]],Table5[ESPN],0))</f>
        <v>Pat Bryant</v>
      </c>
    </row>
    <row r="264" spans="1:6">
      <c r="A264">
        <v>263</v>
      </c>
      <c r="B264" t="s">
        <v>1161</v>
      </c>
      <c r="C264" t="s">
        <v>865</v>
      </c>
      <c r="D264" t="s">
        <v>154</v>
      </c>
      <c r="E264" t="s">
        <v>935</v>
      </c>
      <c r="F264" s="10" t="str">
        <f>INDEX(Table5[Fantasy Pros],MATCH(Table2[[#This Row],[Player]],Table5[ESPN],0))</f>
        <v>Marvin Mims Jr.</v>
      </c>
    </row>
    <row r="265" spans="1:6">
      <c r="A265">
        <v>264</v>
      </c>
      <c r="B265" t="s">
        <v>1162</v>
      </c>
      <c r="C265" t="s">
        <v>865</v>
      </c>
      <c r="D265" t="s">
        <v>240</v>
      </c>
      <c r="E265" t="s">
        <v>866</v>
      </c>
      <c r="F265" s="10" t="str">
        <f>INDEX(Table5[Fantasy Pros],MATCH(Table2[[#This Row],[Player]],Table5[ESPN],0))</f>
        <v>Andrei Iosivas</v>
      </c>
    </row>
    <row r="266" spans="1:6">
      <c r="A266">
        <v>265</v>
      </c>
      <c r="B266" t="s">
        <v>1163</v>
      </c>
      <c r="C266" t="s">
        <v>867</v>
      </c>
      <c r="D266" t="s">
        <v>75</v>
      </c>
      <c r="E266" t="s">
        <v>887</v>
      </c>
      <c r="F266" s="10" t="str">
        <f>INDEX(Table5[Fantasy Pros],MATCH(Table2[[#This Row],[Player]],Table5[ESPN],0))</f>
        <v>Kaleb Johnson</v>
      </c>
    </row>
    <row r="267" spans="1:6">
      <c r="A267">
        <v>266</v>
      </c>
      <c r="B267" t="s">
        <v>1164</v>
      </c>
      <c r="C267" t="s">
        <v>867</v>
      </c>
      <c r="D267" t="s">
        <v>2028</v>
      </c>
      <c r="E267" t="s">
        <v>937</v>
      </c>
      <c r="F267" s="10" t="str">
        <f>INDEX(Table5[Fantasy Pros],MATCH(Table2[[#This Row],[Player]],Table5[ESPN],0))</f>
        <v>Nicholas Singleton</v>
      </c>
    </row>
    <row r="268" spans="1:6">
      <c r="A268">
        <v>267</v>
      </c>
      <c r="B268" t="s">
        <v>1165</v>
      </c>
      <c r="C268" t="s">
        <v>900</v>
      </c>
      <c r="D268" t="s">
        <v>172</v>
      </c>
      <c r="E268" t="s">
        <v>910</v>
      </c>
      <c r="F268" s="10" t="str">
        <f>INDEX(Table5[Fantasy Pros],MATCH(Table2[[#This Row],[Player]],Table5[ESPN],0))</f>
        <v>Geno Smith</v>
      </c>
    </row>
    <row r="269" spans="1:6">
      <c r="A269">
        <v>268</v>
      </c>
      <c r="B269" t="s">
        <v>1166</v>
      </c>
      <c r="C269" t="s">
        <v>900</v>
      </c>
      <c r="D269" t="s">
        <v>2027</v>
      </c>
      <c r="E269" t="s">
        <v>876</v>
      </c>
      <c r="F269" s="10" t="str">
        <f>INDEX(Table5[Fantasy Pros],MATCH(Table2[[#This Row],[Player]],Table5[ESPN],0))</f>
        <v>Fernando Mendoza</v>
      </c>
    </row>
    <row r="270" spans="1:6">
      <c r="A270">
        <v>269</v>
      </c>
      <c r="B270" t="s">
        <v>1167</v>
      </c>
      <c r="C270" t="s">
        <v>900</v>
      </c>
      <c r="D270" t="s">
        <v>223</v>
      </c>
      <c r="E270" t="s">
        <v>927</v>
      </c>
      <c r="F270" s="10" t="str">
        <f>INDEX(Table5[Fantasy Pros],MATCH(Table2[[#This Row],[Player]],Table5[ESPN],0))</f>
        <v>Aaron Rodgers</v>
      </c>
    </row>
    <row r="271" spans="1:6">
      <c r="A271">
        <v>270</v>
      </c>
      <c r="B271" t="s">
        <v>1168</v>
      </c>
      <c r="C271" t="s">
        <v>900</v>
      </c>
      <c r="D271" t="s">
        <v>438</v>
      </c>
      <c r="E271" t="s">
        <v>941</v>
      </c>
      <c r="F271" s="10" t="str">
        <f>INDEX(Table5[Fantasy Pros],MATCH(Table2[[#This Row],[Player]],Table5[ESPN],0))</f>
        <v>Deshaun Watson</v>
      </c>
    </row>
    <row r="272" spans="1:6">
      <c r="A272">
        <v>271</v>
      </c>
      <c r="B272" t="s">
        <v>1169</v>
      </c>
      <c r="C272" t="s">
        <v>865</v>
      </c>
      <c r="D272" t="s">
        <v>2070</v>
      </c>
      <c r="E272" t="s">
        <v>877</v>
      </c>
      <c r="F272" s="10" t="e">
        <f>INDEX(Table5[Fantasy Pros],MATCH(Table2[[#This Row],[Player]],Table5[ESPN],0))</f>
        <v>#N/A</v>
      </c>
    </row>
    <row r="273" spans="1:6">
      <c r="A273">
        <v>272</v>
      </c>
      <c r="B273" t="s">
        <v>1170</v>
      </c>
      <c r="C273" t="s">
        <v>865</v>
      </c>
      <c r="D273" t="s">
        <v>351</v>
      </c>
      <c r="E273" t="s">
        <v>872</v>
      </c>
      <c r="F273" s="10" t="str">
        <f>INDEX(Table5[Fantasy Pros],MATCH(Table2[[#This Row],[Player]],Table5[ESPN],0))</f>
        <v>KaVontae Turpin</v>
      </c>
    </row>
    <row r="274" spans="1:6">
      <c r="A274">
        <v>273</v>
      </c>
      <c r="B274" t="s">
        <v>1171</v>
      </c>
      <c r="C274" t="s">
        <v>865</v>
      </c>
      <c r="D274" t="s">
        <v>383</v>
      </c>
      <c r="E274" t="s">
        <v>879</v>
      </c>
      <c r="F274" s="10" t="str">
        <f>INDEX(Table5[Fantasy Pros],MATCH(Table2[[#This Row],[Player]],Table5[ESPN],0))</f>
        <v>Tank Dell</v>
      </c>
    </row>
    <row r="275" spans="1:6">
      <c r="A275">
        <v>274</v>
      </c>
      <c r="B275" t="s">
        <v>1172</v>
      </c>
      <c r="C275" t="s">
        <v>865</v>
      </c>
      <c r="D275" t="s">
        <v>231</v>
      </c>
      <c r="E275" t="s">
        <v>876</v>
      </c>
      <c r="F275" s="10" t="str">
        <f>INDEX(Table5[Fantasy Pros],MATCH(Table2[[#This Row],[Player]],Table5[ESPN],0))</f>
        <v>Jack Bech</v>
      </c>
    </row>
    <row r="276" spans="1:6">
      <c r="A276">
        <v>275</v>
      </c>
      <c r="B276" t="s">
        <v>1173</v>
      </c>
      <c r="C276" t="s">
        <v>865</v>
      </c>
      <c r="D276" t="s">
        <v>296</v>
      </c>
      <c r="E276" t="s">
        <v>907</v>
      </c>
      <c r="F276" s="10" t="str">
        <f>INDEX(Table5[Fantasy Pros],MATCH(Table2[[#This Row],[Player]],Table5[ESPN],0))</f>
        <v>Tory Horton</v>
      </c>
    </row>
    <row r="277" spans="1:6">
      <c r="A277">
        <v>276</v>
      </c>
      <c r="B277" t="s">
        <v>1174</v>
      </c>
      <c r="C277" t="s">
        <v>867</v>
      </c>
      <c r="D277" t="s">
        <v>204</v>
      </c>
      <c r="E277" t="s">
        <v>916</v>
      </c>
      <c r="F277" s="10" t="str">
        <f>INDEX(Table5[Fantasy Pros],MATCH(Table2[[#This Row],[Player]],Table5[ESPN],0))</f>
        <v>Kendre Miller</v>
      </c>
    </row>
    <row r="278" spans="1:6">
      <c r="A278">
        <v>277</v>
      </c>
      <c r="B278" t="s">
        <v>1175</v>
      </c>
      <c r="C278" t="s">
        <v>867</v>
      </c>
      <c r="D278" t="s">
        <v>250</v>
      </c>
      <c r="E278" t="s">
        <v>866</v>
      </c>
      <c r="F278" s="10" t="str">
        <f>INDEX(Table5[Fantasy Pros],MATCH(Table2[[#This Row],[Player]],Table5[ESPN],0))</f>
        <v>Tahj Brooks</v>
      </c>
    </row>
    <row r="279" spans="1:6">
      <c r="A279">
        <v>278</v>
      </c>
      <c r="B279" t="s">
        <v>1176</v>
      </c>
      <c r="C279" t="s">
        <v>867</v>
      </c>
      <c r="D279" t="s">
        <v>2029</v>
      </c>
      <c r="E279" t="s">
        <v>869</v>
      </c>
      <c r="F279" s="10" t="str">
        <f>INDEX(Table5[Fantasy Pros],MATCH(Table2[[#This Row],[Player]],Table5[ESPN],0))</f>
        <v>Demond Claiborne</v>
      </c>
    </row>
    <row r="280" spans="1:6">
      <c r="A280">
        <v>279</v>
      </c>
      <c r="B280" t="s">
        <v>1177</v>
      </c>
      <c r="C280" t="s">
        <v>867</v>
      </c>
      <c r="D280" t="s">
        <v>1612</v>
      </c>
      <c r="E280" t="s">
        <v>889</v>
      </c>
      <c r="F280" s="10" t="e">
        <f>INDEX(Table5[Fantasy Pros],MATCH(Table2[[#This Row],[Player]],Table5[ESPN],0))</f>
        <v>#N/A</v>
      </c>
    </row>
    <row r="281" spans="1:6">
      <c r="A281">
        <v>280</v>
      </c>
      <c r="B281" t="s">
        <v>1178</v>
      </c>
      <c r="C281" t="s">
        <v>867</v>
      </c>
      <c r="D281" t="s">
        <v>2026</v>
      </c>
      <c r="E281" t="s">
        <v>902</v>
      </c>
      <c r="F281" s="10" t="str">
        <f>INDEX(Table5[Fantasy Pros],MATCH(Table2[[#This Row],[Player]],Table5[ESPN],0))</f>
        <v>Kaytron Allen</v>
      </c>
    </row>
    <row r="282" spans="1:6">
      <c r="A282">
        <v>281</v>
      </c>
      <c r="B282" t="s">
        <v>1179</v>
      </c>
      <c r="C282" t="s">
        <v>867</v>
      </c>
      <c r="D282" t="s">
        <v>232</v>
      </c>
      <c r="E282" t="s">
        <v>885</v>
      </c>
      <c r="F282" s="10" t="str">
        <f>INDEX(Table5[Fantasy Pros],MATCH(Table2[[#This Row],[Player]],Table5[ESPN],0))</f>
        <v>DJ Giddens</v>
      </c>
    </row>
    <row r="283" spans="1:6">
      <c r="A283">
        <v>282</v>
      </c>
      <c r="B283" t="s">
        <v>1180</v>
      </c>
      <c r="C283" t="s">
        <v>867</v>
      </c>
      <c r="D283" t="s">
        <v>1597</v>
      </c>
      <c r="E283" t="s">
        <v>871</v>
      </c>
      <c r="F283" s="10" t="e">
        <f>INDEX(Table5[Fantasy Pros],MATCH(Table2[[#This Row],[Player]],Table5[ESPN],0))</f>
        <v>#N/A</v>
      </c>
    </row>
    <row r="284" spans="1:6">
      <c r="A284">
        <v>283</v>
      </c>
      <c r="B284" t="s">
        <v>1181</v>
      </c>
      <c r="C284" t="s">
        <v>867</v>
      </c>
      <c r="D284" t="s">
        <v>2119</v>
      </c>
      <c r="E284" t="s">
        <v>910</v>
      </c>
      <c r="F284" s="10" t="e">
        <f>INDEX(Table5[Fantasy Pros],MATCH(Table2[[#This Row],[Player]],Table5[ESPN],0))</f>
        <v>#N/A</v>
      </c>
    </row>
    <row r="285" spans="1:6">
      <c r="A285">
        <v>284</v>
      </c>
      <c r="B285" t="s">
        <v>1182</v>
      </c>
      <c r="C285" t="s">
        <v>865</v>
      </c>
      <c r="D285" t="s">
        <v>2047</v>
      </c>
      <c r="E285" t="s">
        <v>893</v>
      </c>
      <c r="F285" s="10" t="str">
        <f>INDEX(Table5[Fantasy Pros],MATCH(Table2[[#This Row],[Player]],Table5[ESPN],0))</f>
        <v>Ted Hurst III</v>
      </c>
    </row>
    <row r="286" spans="1:6">
      <c r="A286">
        <v>285</v>
      </c>
      <c r="B286" t="s">
        <v>1183</v>
      </c>
      <c r="C286" t="s">
        <v>1053</v>
      </c>
      <c r="D286" t="s">
        <v>1074</v>
      </c>
      <c r="E286" t="s">
        <v>910</v>
      </c>
      <c r="F286" s="10" t="str">
        <f>INDEX(Table5[Fantasy Pros],MATCH(Table2[[#This Row],[Player]],Table5[ESPN],0))</f>
        <v>New York Jets</v>
      </c>
    </row>
    <row r="287" spans="1:6">
      <c r="A287">
        <v>286</v>
      </c>
      <c r="B287" t="s">
        <v>1185</v>
      </c>
      <c r="C287" t="s">
        <v>1053</v>
      </c>
      <c r="D287" t="s">
        <v>1200</v>
      </c>
      <c r="E287" t="s">
        <v>873</v>
      </c>
      <c r="F287" s="10" t="str">
        <f>INDEX(Table5[Fantasy Pros],MATCH(Table2[[#This Row],[Player]],Table5[ESPN],0))</f>
        <v>San Francisco 49ers</v>
      </c>
    </row>
    <row r="288" spans="1:6">
      <c r="A288">
        <v>287</v>
      </c>
      <c r="B288" t="s">
        <v>1187</v>
      </c>
      <c r="C288" t="s">
        <v>1076</v>
      </c>
      <c r="D288" t="s">
        <v>2043</v>
      </c>
      <c r="E288" t="s">
        <v>887</v>
      </c>
      <c r="F288" s="10" t="str">
        <f>INDEX(Table5[Fantasy Pros],MATCH(Table2[[#This Row],[Player]],Table5[ESPN],0))</f>
        <v>Trey Smack</v>
      </c>
    </row>
    <row r="289" spans="1:6">
      <c r="A289">
        <v>288</v>
      </c>
      <c r="B289" t="s">
        <v>1188</v>
      </c>
      <c r="C289" t="s">
        <v>1076</v>
      </c>
      <c r="D289" t="s">
        <v>431</v>
      </c>
      <c r="E289" t="s">
        <v>885</v>
      </c>
      <c r="F289" s="10" t="e">
        <f>INDEX(Table5[Fantasy Pros],MATCH(Table2[[#This Row],[Player]],Table5[ESPN],0))</f>
        <v>#N/A</v>
      </c>
    </row>
    <row r="290" spans="1:6">
      <c r="A290">
        <v>289</v>
      </c>
      <c r="B290" t="s">
        <v>1189</v>
      </c>
      <c r="C290" t="s">
        <v>890</v>
      </c>
      <c r="D290" t="s">
        <v>101</v>
      </c>
      <c r="E290" t="s">
        <v>898</v>
      </c>
      <c r="F290" s="10" t="str">
        <f>INDEX(Table5[Fantasy Pros],MATCH(Table2[[#This Row],[Player]],Table5[ESPN],0))</f>
        <v>David Njoku</v>
      </c>
    </row>
    <row r="291" spans="1:6">
      <c r="A291">
        <v>290</v>
      </c>
      <c r="B291" t="s">
        <v>1190</v>
      </c>
      <c r="C291" t="s">
        <v>890</v>
      </c>
      <c r="D291" t="s">
        <v>108</v>
      </c>
      <c r="E291" t="s">
        <v>935</v>
      </c>
      <c r="F291" s="10" t="str">
        <f>INDEX(Table5[Fantasy Pros],MATCH(Table2[[#This Row],[Player]],Table5[ESPN],0))</f>
        <v>Evan Engram</v>
      </c>
    </row>
    <row r="292" spans="1:6">
      <c r="A292">
        <v>291</v>
      </c>
      <c r="B292" t="s">
        <v>1191</v>
      </c>
      <c r="C292" t="s">
        <v>890</v>
      </c>
      <c r="D292" t="s">
        <v>2037</v>
      </c>
      <c r="E292" t="s">
        <v>898</v>
      </c>
      <c r="F292" s="10" t="str">
        <f>INDEX(Table5[Fantasy Pros],MATCH(Table2[[#This Row],[Player]],Table5[ESPN],0))</f>
        <v>Oronde Gadsden II</v>
      </c>
    </row>
    <row r="293" spans="1:6">
      <c r="A293">
        <v>292</v>
      </c>
      <c r="B293" t="s">
        <v>1192</v>
      </c>
      <c r="C293" t="s">
        <v>890</v>
      </c>
      <c r="D293" t="s">
        <v>205</v>
      </c>
      <c r="E293" t="s">
        <v>866</v>
      </c>
      <c r="F293" s="10" t="str">
        <f>INDEX(Table5[Fantasy Pros],MATCH(Table2[[#This Row],[Player]],Table5[ESPN],0))</f>
        <v>Mike Gesicki</v>
      </c>
    </row>
    <row r="294" spans="1:6">
      <c r="A294">
        <v>293</v>
      </c>
      <c r="B294" t="s">
        <v>1193</v>
      </c>
      <c r="C294" t="s">
        <v>890</v>
      </c>
      <c r="D294" t="s">
        <v>481</v>
      </c>
      <c r="E294" t="s">
        <v>874</v>
      </c>
      <c r="F294" s="10" t="e">
        <f>INDEX(Table5[Fantasy Pros],MATCH(Table2[[#This Row],[Player]],Table5[ESPN],0))</f>
        <v>#N/A</v>
      </c>
    </row>
    <row r="295" spans="1:6">
      <c r="A295">
        <v>294</v>
      </c>
      <c r="B295" t="s">
        <v>1194</v>
      </c>
      <c r="C295" t="s">
        <v>865</v>
      </c>
      <c r="D295" t="s">
        <v>129</v>
      </c>
      <c r="E295" t="s">
        <v>875</v>
      </c>
      <c r="F295" s="10" t="str">
        <f>INDEX(Table5[Fantasy Pros],MATCH(Table2[[#This Row],[Player]],Table5[ESPN],0))</f>
        <v>Darnell Mooney</v>
      </c>
    </row>
    <row r="296" spans="1:6">
      <c r="A296">
        <v>295</v>
      </c>
      <c r="B296" t="s">
        <v>1195</v>
      </c>
      <c r="C296" t="s">
        <v>865</v>
      </c>
      <c r="D296" t="s">
        <v>378</v>
      </c>
      <c r="E296" t="s">
        <v>921</v>
      </c>
      <c r="F296" s="10" t="str">
        <f>INDEX(Table5[Fantasy Pros],MATCH(Table2[[#This Row],[Player]],Table5[ESPN],0))</f>
        <v>Mack Hollins</v>
      </c>
    </row>
    <row r="297" spans="1:6">
      <c r="A297">
        <v>296</v>
      </c>
      <c r="B297" t="s">
        <v>1196</v>
      </c>
      <c r="C297" t="s">
        <v>900</v>
      </c>
      <c r="D297" t="s">
        <v>143</v>
      </c>
      <c r="E297" t="s">
        <v>868</v>
      </c>
      <c r="F297" s="10" t="str">
        <f>INDEX(Table5[Fantasy Pros],MATCH(Table2[[#This Row],[Player]],Table5[ESPN],0))</f>
        <v>Tua Tagovailoa</v>
      </c>
    </row>
    <row r="298" spans="1:6">
      <c r="A298">
        <v>297</v>
      </c>
      <c r="B298" t="s">
        <v>1197</v>
      </c>
      <c r="C298" t="s">
        <v>1053</v>
      </c>
      <c r="D298" t="s">
        <v>2107</v>
      </c>
      <c r="E298" t="s">
        <v>872</v>
      </c>
      <c r="F298" s="10" t="str">
        <f>INDEX(Table5[Fantasy Pros],MATCH(Table2[[#This Row],[Player]],Table5[ESPN],0))</f>
        <v>Cowboys D/ST</v>
      </c>
    </row>
    <row r="299" spans="1:6">
      <c r="A299">
        <v>298</v>
      </c>
      <c r="B299" t="s">
        <v>1199</v>
      </c>
      <c r="C299" t="s">
        <v>1053</v>
      </c>
      <c r="D299" t="s">
        <v>1072</v>
      </c>
      <c r="E299" t="s">
        <v>885</v>
      </c>
      <c r="F299" s="10" t="str">
        <f>INDEX(Table5[Fantasy Pros],MATCH(Table2[[#This Row],[Player]],Table5[ESPN],0))</f>
        <v>Indianapolis Colts</v>
      </c>
    </row>
    <row r="300" spans="1:6">
      <c r="A300">
        <v>299</v>
      </c>
      <c r="B300" t="s">
        <v>1201</v>
      </c>
      <c r="C300" t="s">
        <v>1053</v>
      </c>
      <c r="D300" t="s">
        <v>2108</v>
      </c>
      <c r="E300" t="s">
        <v>869</v>
      </c>
      <c r="F300" s="10" t="str">
        <f>INDEX(Table5[Fantasy Pros],MATCH(Table2[[#This Row],[Player]],Table5[ESPN],0))</f>
        <v>Vikings D/ST</v>
      </c>
    </row>
    <row r="301" spans="1:6">
      <c r="A301">
        <v>300</v>
      </c>
      <c r="B301" t="s">
        <v>1202</v>
      </c>
      <c r="C301" t="s">
        <v>1053</v>
      </c>
      <c r="D301" t="s">
        <v>2042</v>
      </c>
      <c r="E301" t="s">
        <v>866</v>
      </c>
      <c r="F301" s="10" t="str">
        <f>INDEX(Table5[Fantasy Pros],MATCH(Table2[[#This Row],[Player]],Table5[ESPN],0))</f>
        <v>Cincinnati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A1:G521"/>
  <sheetViews>
    <sheetView topLeftCell="A93" workbookViewId="0">
      <selection activeCell="D243" sqref="D243"/>
    </sheetView>
  </sheetViews>
  <sheetFormatPr defaultRowHeight="14.5"/>
  <cols>
    <col min="2" max="2" width="22" customWidth="1"/>
    <col min="5" max="5" width="11.08984375" customWidth="1"/>
    <col min="6" max="6" width="13.453125" customWidth="1"/>
    <col min="7" max="7" width="13.1796875" customWidth="1"/>
  </cols>
  <sheetData>
    <row r="1" spans="1:7">
      <c r="A1" t="s">
        <v>1409</v>
      </c>
      <c r="B1" t="s">
        <v>1410</v>
      </c>
      <c r="C1" t="s">
        <v>1411</v>
      </c>
      <c r="D1" t="s">
        <v>1412</v>
      </c>
      <c r="E1" t="s">
        <v>1413</v>
      </c>
      <c r="F1" t="s">
        <v>1414</v>
      </c>
      <c r="G1" t="s">
        <v>1415</v>
      </c>
    </row>
    <row r="2" spans="1:7" hidden="1">
      <c r="A2">
        <v>1</v>
      </c>
      <c r="B2" t="s">
        <v>11</v>
      </c>
      <c r="C2" t="s">
        <v>871</v>
      </c>
      <c r="D2" t="s">
        <v>527</v>
      </c>
      <c r="E2">
        <v>6</v>
      </c>
      <c r="F2" t="s">
        <v>1419</v>
      </c>
      <c r="G2">
        <v>0</v>
      </c>
    </row>
    <row r="3" spans="1:7" hidden="1">
      <c r="A3">
        <v>2</v>
      </c>
      <c r="B3" t="s">
        <v>4</v>
      </c>
      <c r="C3" t="s">
        <v>866</v>
      </c>
      <c r="D3" t="s">
        <v>545</v>
      </c>
      <c r="E3">
        <v>6</v>
      </c>
      <c r="F3" t="s">
        <v>1417</v>
      </c>
      <c r="G3">
        <v>1</v>
      </c>
    </row>
    <row r="4" spans="1:7" hidden="1">
      <c r="A4">
        <v>3</v>
      </c>
      <c r="B4" t="s">
        <v>6</v>
      </c>
      <c r="C4" t="s">
        <v>868</v>
      </c>
      <c r="D4" t="s">
        <v>530</v>
      </c>
      <c r="E4">
        <v>11</v>
      </c>
      <c r="F4" t="s">
        <v>1418</v>
      </c>
      <c r="G4">
        <v>-1</v>
      </c>
    </row>
    <row r="5" spans="1:7" hidden="1">
      <c r="A5">
        <v>4</v>
      </c>
      <c r="B5" t="s">
        <v>14</v>
      </c>
      <c r="C5" t="s">
        <v>874</v>
      </c>
      <c r="D5" t="s">
        <v>548</v>
      </c>
      <c r="E5">
        <v>11</v>
      </c>
      <c r="F5" t="s">
        <v>1420</v>
      </c>
      <c r="G5">
        <v>2</v>
      </c>
    </row>
    <row r="6" spans="1:7" hidden="1">
      <c r="A6">
        <v>5</v>
      </c>
      <c r="B6" t="s">
        <v>38</v>
      </c>
      <c r="C6" t="s">
        <v>907</v>
      </c>
      <c r="D6" t="s">
        <v>551</v>
      </c>
      <c r="E6">
        <v>11</v>
      </c>
      <c r="F6" t="s">
        <v>1416</v>
      </c>
      <c r="G6">
        <v>3</v>
      </c>
    </row>
    <row r="7" spans="1:7" hidden="1">
      <c r="A7">
        <v>6</v>
      </c>
      <c r="B7" t="s">
        <v>17</v>
      </c>
      <c r="C7" t="s">
        <v>871</v>
      </c>
      <c r="D7" t="s">
        <v>554</v>
      </c>
      <c r="E7">
        <v>6</v>
      </c>
      <c r="F7" t="s">
        <v>1417</v>
      </c>
      <c r="G7">
        <v>6</v>
      </c>
    </row>
    <row r="8" spans="1:7" hidden="1">
      <c r="A8">
        <v>7</v>
      </c>
      <c r="B8" t="s">
        <v>21</v>
      </c>
      <c r="C8" t="s">
        <v>885</v>
      </c>
      <c r="D8" t="s">
        <v>533</v>
      </c>
      <c r="E8">
        <v>13</v>
      </c>
      <c r="F8" t="s">
        <v>1417</v>
      </c>
      <c r="G8">
        <v>-2</v>
      </c>
    </row>
    <row r="9" spans="1:7" hidden="1">
      <c r="A9">
        <v>8</v>
      </c>
      <c r="B9" t="s">
        <v>2003</v>
      </c>
      <c r="C9" t="s">
        <v>901</v>
      </c>
      <c r="D9" t="s">
        <v>536</v>
      </c>
      <c r="E9">
        <v>7</v>
      </c>
      <c r="F9" t="s">
        <v>1418</v>
      </c>
      <c r="G9">
        <v>-1</v>
      </c>
    </row>
    <row r="10" spans="1:7" hidden="1">
      <c r="A10">
        <v>9</v>
      </c>
      <c r="B10" t="s">
        <v>18</v>
      </c>
      <c r="C10" t="s">
        <v>873</v>
      </c>
      <c r="D10" t="s">
        <v>539</v>
      </c>
      <c r="E10">
        <v>8</v>
      </c>
      <c r="F10" t="s">
        <v>1418</v>
      </c>
      <c r="G10">
        <v>-5</v>
      </c>
    </row>
    <row r="11" spans="1:7" hidden="1">
      <c r="A11">
        <v>10</v>
      </c>
      <c r="B11" t="s">
        <v>10</v>
      </c>
      <c r="C11" t="s">
        <v>872</v>
      </c>
      <c r="D11" t="s">
        <v>557</v>
      </c>
      <c r="E11">
        <v>14</v>
      </c>
      <c r="F11" t="s">
        <v>1418</v>
      </c>
      <c r="G11">
        <v>5</v>
      </c>
    </row>
    <row r="12" spans="1:7" hidden="1">
      <c r="A12">
        <v>11</v>
      </c>
      <c r="B12" t="s">
        <v>9</v>
      </c>
      <c r="C12" t="s">
        <v>869</v>
      </c>
      <c r="D12" t="s">
        <v>560</v>
      </c>
      <c r="E12">
        <v>6</v>
      </c>
      <c r="F12" t="s">
        <v>1419</v>
      </c>
      <c r="G12">
        <v>6</v>
      </c>
    </row>
    <row r="13" spans="1:7" hidden="1">
      <c r="A13">
        <v>12</v>
      </c>
      <c r="B13" t="s">
        <v>20</v>
      </c>
      <c r="C13" t="s">
        <v>921</v>
      </c>
      <c r="D13" t="s">
        <v>878</v>
      </c>
      <c r="E13">
        <v>11</v>
      </c>
      <c r="F13" t="s">
        <v>1418</v>
      </c>
      <c r="G13">
        <v>13</v>
      </c>
    </row>
    <row r="14" spans="1:7" hidden="1">
      <c r="A14">
        <v>13</v>
      </c>
      <c r="B14" t="s">
        <v>13</v>
      </c>
      <c r="C14" t="s">
        <v>879</v>
      </c>
      <c r="D14" t="s">
        <v>880</v>
      </c>
      <c r="E14">
        <v>8</v>
      </c>
      <c r="F14" t="s">
        <v>1416</v>
      </c>
      <c r="G14">
        <v>14</v>
      </c>
    </row>
    <row r="15" spans="1:7" hidden="1">
      <c r="A15">
        <v>14</v>
      </c>
      <c r="B15" t="s">
        <v>12</v>
      </c>
      <c r="C15" t="s">
        <v>889</v>
      </c>
      <c r="D15" t="s">
        <v>542</v>
      </c>
      <c r="E15">
        <v>13</v>
      </c>
      <c r="F15" t="s">
        <v>1416</v>
      </c>
      <c r="G15">
        <v>-3</v>
      </c>
    </row>
    <row r="16" spans="1:7" hidden="1">
      <c r="A16">
        <v>15</v>
      </c>
      <c r="B16" t="s">
        <v>7</v>
      </c>
      <c r="C16" t="s">
        <v>870</v>
      </c>
      <c r="D16" t="s">
        <v>884</v>
      </c>
      <c r="E16">
        <v>10</v>
      </c>
      <c r="F16" t="s">
        <v>1417</v>
      </c>
      <c r="G16">
        <v>-1</v>
      </c>
    </row>
    <row r="17" spans="1:7" hidden="1">
      <c r="A17">
        <v>16</v>
      </c>
      <c r="B17" t="s">
        <v>25</v>
      </c>
      <c r="C17" t="s">
        <v>876</v>
      </c>
      <c r="D17" t="s">
        <v>563</v>
      </c>
      <c r="E17">
        <v>13</v>
      </c>
      <c r="F17" t="s">
        <v>1416</v>
      </c>
      <c r="G17">
        <v>10</v>
      </c>
    </row>
    <row r="18" spans="1:7" hidden="1">
      <c r="A18">
        <v>17</v>
      </c>
      <c r="B18" t="s">
        <v>22</v>
      </c>
      <c r="C18" t="s">
        <v>868</v>
      </c>
      <c r="D18" t="s">
        <v>882</v>
      </c>
      <c r="E18">
        <v>11</v>
      </c>
      <c r="F18" t="s">
        <v>1416</v>
      </c>
      <c r="G18">
        <v>4</v>
      </c>
    </row>
    <row r="19" spans="1:7" hidden="1">
      <c r="A19">
        <v>18</v>
      </c>
      <c r="B19" t="s">
        <v>33</v>
      </c>
      <c r="C19" t="s">
        <v>866</v>
      </c>
      <c r="D19" t="s">
        <v>886</v>
      </c>
      <c r="E19">
        <v>6</v>
      </c>
      <c r="F19" t="s">
        <v>1418</v>
      </c>
      <c r="G19">
        <v>-2</v>
      </c>
    </row>
    <row r="20" spans="1:7" hidden="1">
      <c r="A20">
        <v>19</v>
      </c>
      <c r="B20" t="s">
        <v>61</v>
      </c>
      <c r="C20" t="s">
        <v>872</v>
      </c>
      <c r="D20" t="s">
        <v>883</v>
      </c>
      <c r="E20">
        <v>14</v>
      </c>
      <c r="F20" t="s">
        <v>1418</v>
      </c>
      <c r="G20">
        <v>9</v>
      </c>
    </row>
    <row r="21" spans="1:7" hidden="1">
      <c r="A21">
        <v>20</v>
      </c>
      <c r="B21" t="s">
        <v>44</v>
      </c>
      <c r="C21" t="s">
        <v>925</v>
      </c>
      <c r="D21" t="s">
        <v>888</v>
      </c>
      <c r="E21">
        <v>5</v>
      </c>
      <c r="F21" t="s">
        <v>1416</v>
      </c>
      <c r="G21">
        <v>-1</v>
      </c>
    </row>
    <row r="22" spans="1:7" hidden="1">
      <c r="A22">
        <v>21</v>
      </c>
      <c r="B22" t="s">
        <v>43</v>
      </c>
      <c r="C22" t="s">
        <v>898</v>
      </c>
      <c r="D22" t="s">
        <v>892</v>
      </c>
      <c r="E22">
        <v>7</v>
      </c>
      <c r="F22" t="s">
        <v>1416</v>
      </c>
      <c r="G22">
        <v>-11</v>
      </c>
    </row>
    <row r="23" spans="1:7" hidden="1">
      <c r="A23">
        <v>22</v>
      </c>
      <c r="B23" t="s">
        <v>36</v>
      </c>
      <c r="C23" t="s">
        <v>891</v>
      </c>
      <c r="D23" t="s">
        <v>566</v>
      </c>
      <c r="E23">
        <v>14</v>
      </c>
      <c r="F23" t="s">
        <v>1418</v>
      </c>
      <c r="G23">
        <v>1</v>
      </c>
    </row>
    <row r="24" spans="1:7" hidden="1">
      <c r="A24">
        <v>23</v>
      </c>
      <c r="B24" t="s">
        <v>23</v>
      </c>
      <c r="C24" t="s">
        <v>877</v>
      </c>
      <c r="D24" t="s">
        <v>894</v>
      </c>
      <c r="E24">
        <v>6</v>
      </c>
      <c r="F24" t="s">
        <v>1416</v>
      </c>
      <c r="G24">
        <v>-14</v>
      </c>
    </row>
    <row r="25" spans="1:7" hidden="1">
      <c r="A25">
        <v>24</v>
      </c>
      <c r="B25" t="s">
        <v>86</v>
      </c>
      <c r="C25" t="s">
        <v>916</v>
      </c>
      <c r="D25" t="s">
        <v>895</v>
      </c>
      <c r="E25">
        <v>8</v>
      </c>
      <c r="F25" t="s">
        <v>1416</v>
      </c>
      <c r="G25">
        <v>0</v>
      </c>
    </row>
    <row r="26" spans="1:7" hidden="1">
      <c r="A26">
        <v>25</v>
      </c>
      <c r="B26" t="s">
        <v>30</v>
      </c>
      <c r="C26" t="s">
        <v>901</v>
      </c>
      <c r="D26" t="s">
        <v>518</v>
      </c>
      <c r="E26">
        <v>7</v>
      </c>
      <c r="F26" t="s">
        <v>1416</v>
      </c>
      <c r="G26">
        <v>-7</v>
      </c>
    </row>
    <row r="27" spans="1:7" hidden="1">
      <c r="A27">
        <v>26</v>
      </c>
      <c r="B27" t="s">
        <v>15</v>
      </c>
      <c r="C27" t="s">
        <v>875</v>
      </c>
      <c r="D27" t="s">
        <v>896</v>
      </c>
      <c r="E27">
        <v>8</v>
      </c>
      <c r="F27" t="s">
        <v>1417</v>
      </c>
      <c r="G27">
        <v>5</v>
      </c>
    </row>
    <row r="29" spans="1:7" hidden="1">
      <c r="A29">
        <v>27</v>
      </c>
      <c r="B29" t="s">
        <v>31</v>
      </c>
      <c r="C29" t="s">
        <v>889</v>
      </c>
      <c r="D29" t="s">
        <v>521</v>
      </c>
      <c r="E29">
        <v>13</v>
      </c>
      <c r="F29" t="s">
        <v>1416</v>
      </c>
      <c r="G29">
        <v>8</v>
      </c>
    </row>
    <row r="30" spans="1:7" hidden="1">
      <c r="A30">
        <v>28</v>
      </c>
      <c r="B30" t="s">
        <v>58</v>
      </c>
      <c r="C30" t="s">
        <v>889</v>
      </c>
      <c r="D30" t="s">
        <v>897</v>
      </c>
      <c r="E30">
        <v>13</v>
      </c>
      <c r="F30" t="s">
        <v>1417</v>
      </c>
      <c r="G30">
        <v>13</v>
      </c>
    </row>
    <row r="31" spans="1:7" hidden="1">
      <c r="A31">
        <v>29</v>
      </c>
      <c r="B31" t="s">
        <v>60</v>
      </c>
      <c r="C31" t="s">
        <v>870</v>
      </c>
      <c r="D31" t="s">
        <v>899</v>
      </c>
      <c r="E31">
        <v>10</v>
      </c>
      <c r="F31" t="s">
        <v>1417</v>
      </c>
      <c r="G31">
        <v>14</v>
      </c>
    </row>
    <row r="32" spans="1:7" hidden="1">
      <c r="A32">
        <v>30</v>
      </c>
      <c r="B32" t="s">
        <v>29</v>
      </c>
      <c r="C32" t="s">
        <v>874</v>
      </c>
      <c r="D32" t="s">
        <v>904</v>
      </c>
      <c r="E32">
        <v>11</v>
      </c>
      <c r="F32" t="s">
        <v>1419</v>
      </c>
      <c r="G32">
        <v>-10</v>
      </c>
    </row>
    <row r="33" spans="1:7" hidden="1">
      <c r="A33">
        <v>31</v>
      </c>
      <c r="B33" t="s">
        <v>19</v>
      </c>
      <c r="C33" t="s">
        <v>876</v>
      </c>
      <c r="D33" t="s">
        <v>905</v>
      </c>
      <c r="E33">
        <v>13</v>
      </c>
      <c r="F33" t="s">
        <v>1418</v>
      </c>
      <c r="G33">
        <v>-18</v>
      </c>
    </row>
    <row r="34" spans="1:7" hidden="1">
      <c r="A34">
        <v>32</v>
      </c>
      <c r="B34" t="s">
        <v>113</v>
      </c>
      <c r="C34" t="s">
        <v>872</v>
      </c>
      <c r="D34" t="s">
        <v>911</v>
      </c>
      <c r="E34">
        <v>14</v>
      </c>
      <c r="F34" t="s">
        <v>1417</v>
      </c>
      <c r="G34">
        <v>-3</v>
      </c>
    </row>
    <row r="35" spans="1:7" hidden="1">
      <c r="A35">
        <v>33</v>
      </c>
      <c r="B35" t="s">
        <v>32</v>
      </c>
      <c r="C35" t="s">
        <v>866</v>
      </c>
      <c r="D35" t="s">
        <v>906</v>
      </c>
      <c r="E35">
        <v>6</v>
      </c>
      <c r="F35" t="s">
        <v>1417</v>
      </c>
      <c r="G35">
        <v>11</v>
      </c>
    </row>
    <row r="36" spans="1:7" hidden="1">
      <c r="A36">
        <v>34</v>
      </c>
      <c r="B36" t="s">
        <v>110</v>
      </c>
      <c r="C36" t="s">
        <v>921</v>
      </c>
      <c r="D36" t="s">
        <v>524</v>
      </c>
      <c r="E36">
        <v>11</v>
      </c>
      <c r="F36" t="s">
        <v>1418</v>
      </c>
      <c r="G36">
        <v>21</v>
      </c>
    </row>
    <row r="37" spans="1:7" hidden="1">
      <c r="A37">
        <v>35</v>
      </c>
      <c r="B37" t="s">
        <v>76</v>
      </c>
      <c r="C37" t="s">
        <v>925</v>
      </c>
      <c r="D37" t="s">
        <v>908</v>
      </c>
      <c r="E37">
        <v>5</v>
      </c>
      <c r="F37" t="s">
        <v>1418</v>
      </c>
      <c r="G37">
        <v>-2</v>
      </c>
    </row>
    <row r="38" spans="1:7" hidden="1">
      <c r="A38">
        <v>36</v>
      </c>
      <c r="B38" t="s">
        <v>139</v>
      </c>
      <c r="C38" t="s">
        <v>929</v>
      </c>
      <c r="D38" t="s">
        <v>914</v>
      </c>
      <c r="E38">
        <v>10</v>
      </c>
      <c r="F38" t="s">
        <v>1418</v>
      </c>
      <c r="G38">
        <v>10</v>
      </c>
    </row>
    <row r="39" spans="1:7" hidden="1">
      <c r="A39">
        <v>37</v>
      </c>
      <c r="B39" t="s">
        <v>64</v>
      </c>
      <c r="C39" t="s">
        <v>918</v>
      </c>
      <c r="D39" t="s">
        <v>909</v>
      </c>
      <c r="E39">
        <v>5</v>
      </c>
      <c r="F39" t="s">
        <v>1418</v>
      </c>
      <c r="G39">
        <v>1</v>
      </c>
    </row>
    <row r="40" spans="1:7" hidden="1">
      <c r="A40">
        <v>38</v>
      </c>
      <c r="B40" t="s">
        <v>116</v>
      </c>
      <c r="C40" t="s">
        <v>893</v>
      </c>
      <c r="D40" t="s">
        <v>922</v>
      </c>
      <c r="E40">
        <v>10</v>
      </c>
      <c r="F40" t="s">
        <v>1417</v>
      </c>
      <c r="G40">
        <v>15</v>
      </c>
    </row>
    <row r="41" spans="1:7" hidden="1">
      <c r="A41">
        <v>39</v>
      </c>
      <c r="B41" t="s">
        <v>46</v>
      </c>
      <c r="C41" t="s">
        <v>910</v>
      </c>
      <c r="D41" t="s">
        <v>912</v>
      </c>
      <c r="E41">
        <v>13</v>
      </c>
      <c r="F41" t="s">
        <v>1416</v>
      </c>
      <c r="G41">
        <v>-9</v>
      </c>
    </row>
    <row r="42" spans="1:7" hidden="1">
      <c r="A42">
        <v>40</v>
      </c>
      <c r="B42" t="s">
        <v>71</v>
      </c>
      <c r="C42" t="s">
        <v>935</v>
      </c>
      <c r="D42" t="s">
        <v>923</v>
      </c>
      <c r="E42">
        <v>10</v>
      </c>
      <c r="F42" t="s">
        <v>1418</v>
      </c>
      <c r="G42">
        <v>7</v>
      </c>
    </row>
    <row r="43" spans="1:7" hidden="1">
      <c r="A43">
        <v>41</v>
      </c>
      <c r="B43" t="s">
        <v>27</v>
      </c>
      <c r="C43" t="s">
        <v>898</v>
      </c>
      <c r="D43" t="s">
        <v>924</v>
      </c>
      <c r="E43">
        <v>7</v>
      </c>
      <c r="F43" t="s">
        <v>1418</v>
      </c>
      <c r="G43">
        <v>4</v>
      </c>
    </row>
    <row r="44" spans="1:7" hidden="1">
      <c r="A44">
        <v>42</v>
      </c>
      <c r="B44" t="s">
        <v>50</v>
      </c>
      <c r="C44" t="s">
        <v>866</v>
      </c>
      <c r="D44" t="s">
        <v>903</v>
      </c>
      <c r="E44">
        <v>6</v>
      </c>
      <c r="F44" t="s">
        <v>1416</v>
      </c>
      <c r="G44">
        <v>15</v>
      </c>
    </row>
    <row r="45" spans="1:7" hidden="1">
      <c r="A45">
        <v>43</v>
      </c>
      <c r="B45" t="s">
        <v>100</v>
      </c>
      <c r="C45" t="s">
        <v>916</v>
      </c>
      <c r="D45" t="s">
        <v>915</v>
      </c>
      <c r="E45">
        <v>8</v>
      </c>
      <c r="F45" t="s">
        <v>1416</v>
      </c>
      <c r="G45">
        <v>-11</v>
      </c>
    </row>
    <row r="46" spans="1:7" hidden="1">
      <c r="A46">
        <v>44</v>
      </c>
      <c r="B46" t="s">
        <v>2004</v>
      </c>
      <c r="C46" t="s">
        <v>891</v>
      </c>
      <c r="D46" t="s">
        <v>917</v>
      </c>
      <c r="E46">
        <v>14</v>
      </c>
      <c r="F46" t="s">
        <v>1418</v>
      </c>
      <c r="G46">
        <v>-22</v>
      </c>
    </row>
    <row r="47" spans="1:7" hidden="1">
      <c r="A47">
        <v>45</v>
      </c>
      <c r="B47" t="s">
        <v>63</v>
      </c>
      <c r="C47" t="s">
        <v>929</v>
      </c>
      <c r="D47" t="s">
        <v>919</v>
      </c>
      <c r="E47">
        <v>10</v>
      </c>
      <c r="F47" t="s">
        <v>1418</v>
      </c>
      <c r="G47">
        <v>-3</v>
      </c>
    </row>
    <row r="48" spans="1:7" hidden="1">
      <c r="A48">
        <v>46</v>
      </c>
      <c r="B48" t="s">
        <v>51</v>
      </c>
      <c r="C48" t="s">
        <v>871</v>
      </c>
      <c r="D48" t="s">
        <v>926</v>
      </c>
      <c r="E48">
        <v>6</v>
      </c>
      <c r="F48" t="s">
        <v>1417</v>
      </c>
      <c r="G48">
        <v>8</v>
      </c>
    </row>
    <row r="49" spans="1:7" hidden="1">
      <c r="A49">
        <v>47</v>
      </c>
      <c r="B49" t="s">
        <v>42</v>
      </c>
      <c r="C49" t="s">
        <v>910</v>
      </c>
      <c r="D49" t="s">
        <v>928</v>
      </c>
      <c r="E49">
        <v>13</v>
      </c>
      <c r="F49" t="s">
        <v>1417</v>
      </c>
      <c r="G49">
        <v>-11</v>
      </c>
    </row>
    <row r="50" spans="1:7" hidden="1">
      <c r="A50">
        <v>48</v>
      </c>
      <c r="B50" t="s">
        <v>40</v>
      </c>
      <c r="C50" t="s">
        <v>874</v>
      </c>
      <c r="D50" t="s">
        <v>930</v>
      </c>
      <c r="E50">
        <v>11</v>
      </c>
      <c r="F50" t="s">
        <v>1420</v>
      </c>
      <c r="G50">
        <v>4</v>
      </c>
    </row>
    <row r="51" spans="1:7" hidden="1">
      <c r="A51">
        <v>49</v>
      </c>
      <c r="B51" t="s">
        <v>47</v>
      </c>
      <c r="C51" t="s">
        <v>902</v>
      </c>
      <c r="D51" t="s">
        <v>933</v>
      </c>
      <c r="E51">
        <v>7</v>
      </c>
      <c r="F51" t="s">
        <v>1418</v>
      </c>
      <c r="G51">
        <v>9</v>
      </c>
    </row>
    <row r="52" spans="1:7" hidden="1">
      <c r="A52">
        <v>50</v>
      </c>
      <c r="B52" t="s">
        <v>309</v>
      </c>
      <c r="C52" t="s">
        <v>887</v>
      </c>
      <c r="D52" t="s">
        <v>934</v>
      </c>
      <c r="E52">
        <v>11</v>
      </c>
      <c r="F52" t="s">
        <v>1419</v>
      </c>
      <c r="G52">
        <v>18</v>
      </c>
    </row>
    <row r="53" spans="1:7" hidden="1">
      <c r="A53">
        <v>51</v>
      </c>
      <c r="B53" t="s">
        <v>28</v>
      </c>
      <c r="C53" t="s">
        <v>893</v>
      </c>
      <c r="D53" t="s">
        <v>920</v>
      </c>
      <c r="E53">
        <v>10</v>
      </c>
      <c r="F53" t="s">
        <v>1418</v>
      </c>
      <c r="G53">
        <v>-17</v>
      </c>
    </row>
    <row r="54" spans="1:7" hidden="1">
      <c r="A54">
        <v>52</v>
      </c>
      <c r="B54" t="s">
        <v>126</v>
      </c>
      <c r="C54" t="s">
        <v>941</v>
      </c>
      <c r="D54" t="s">
        <v>931</v>
      </c>
      <c r="E54">
        <v>11</v>
      </c>
      <c r="F54" t="s">
        <v>1416</v>
      </c>
      <c r="G54">
        <v>-15</v>
      </c>
    </row>
    <row r="55" spans="1:7" hidden="1">
      <c r="A55">
        <v>53</v>
      </c>
      <c r="B55" t="s">
        <v>41</v>
      </c>
      <c r="C55" t="s">
        <v>870</v>
      </c>
      <c r="D55" t="s">
        <v>913</v>
      </c>
      <c r="E55">
        <v>10</v>
      </c>
      <c r="F55" t="s">
        <v>1419</v>
      </c>
      <c r="G55">
        <v>20</v>
      </c>
    </row>
    <row r="56" spans="1:7" hidden="1">
      <c r="A56">
        <v>54</v>
      </c>
      <c r="B56" t="s">
        <v>156</v>
      </c>
      <c r="C56" t="s">
        <v>929</v>
      </c>
      <c r="D56" t="s">
        <v>936</v>
      </c>
      <c r="E56">
        <v>10</v>
      </c>
      <c r="F56" t="s">
        <v>1416</v>
      </c>
      <c r="G56">
        <v>-14</v>
      </c>
    </row>
    <row r="57" spans="1:7" hidden="1">
      <c r="A57">
        <v>55</v>
      </c>
      <c r="B57" t="s">
        <v>59</v>
      </c>
      <c r="C57" t="s">
        <v>879</v>
      </c>
      <c r="D57" t="s">
        <v>932</v>
      </c>
      <c r="E57">
        <v>8</v>
      </c>
      <c r="F57" t="s">
        <v>1417</v>
      </c>
      <c r="G57">
        <v>-4</v>
      </c>
    </row>
    <row r="58" spans="1:7" hidden="1">
      <c r="A58">
        <v>56</v>
      </c>
      <c r="B58" t="s">
        <v>121</v>
      </c>
      <c r="C58" t="s">
        <v>875</v>
      </c>
      <c r="D58" t="s">
        <v>950</v>
      </c>
      <c r="E58">
        <v>8</v>
      </c>
      <c r="F58" t="s">
        <v>1417</v>
      </c>
      <c r="G58">
        <v>-17</v>
      </c>
    </row>
    <row r="59" spans="1:7" hidden="1">
      <c r="A59">
        <v>57</v>
      </c>
      <c r="B59" t="s">
        <v>37</v>
      </c>
      <c r="C59" t="s">
        <v>902</v>
      </c>
      <c r="D59" t="s">
        <v>945</v>
      </c>
      <c r="E59">
        <v>7</v>
      </c>
      <c r="F59" t="s">
        <v>1418</v>
      </c>
      <c r="G59">
        <v>12</v>
      </c>
    </row>
    <row r="60" spans="1:7" hidden="1">
      <c r="A60">
        <v>58</v>
      </c>
      <c r="B60" t="s">
        <v>54</v>
      </c>
      <c r="C60" t="s">
        <v>901</v>
      </c>
      <c r="D60" t="s">
        <v>938</v>
      </c>
      <c r="E60">
        <v>7</v>
      </c>
      <c r="F60" t="s">
        <v>1417</v>
      </c>
      <c r="G60">
        <v>-9</v>
      </c>
    </row>
    <row r="61" spans="1:7" hidden="1">
      <c r="A61">
        <v>59</v>
      </c>
      <c r="B61" t="s">
        <v>85</v>
      </c>
      <c r="C61" t="s">
        <v>929</v>
      </c>
      <c r="D61" t="s">
        <v>939</v>
      </c>
      <c r="E61">
        <v>10</v>
      </c>
      <c r="F61" t="s">
        <v>1416</v>
      </c>
      <c r="G61">
        <v>4</v>
      </c>
    </row>
    <row r="62" spans="1:7" hidden="1">
      <c r="A62">
        <v>60</v>
      </c>
      <c r="B62" t="s">
        <v>2006</v>
      </c>
      <c r="C62" t="s">
        <v>907</v>
      </c>
      <c r="D62" t="s">
        <v>951</v>
      </c>
      <c r="E62">
        <v>11</v>
      </c>
      <c r="F62" t="s">
        <v>1417</v>
      </c>
      <c r="G62">
        <v>5</v>
      </c>
    </row>
    <row r="63" spans="1:7" hidden="1">
      <c r="A63">
        <v>61</v>
      </c>
      <c r="B63" t="s">
        <v>164</v>
      </c>
      <c r="C63" t="s">
        <v>881</v>
      </c>
      <c r="D63" t="s">
        <v>953</v>
      </c>
      <c r="E63">
        <v>7</v>
      </c>
      <c r="F63" t="s">
        <v>1417</v>
      </c>
      <c r="G63">
        <v>-11</v>
      </c>
    </row>
    <row r="64" spans="1:7" hidden="1">
      <c r="A64">
        <v>62</v>
      </c>
      <c r="B64" t="s">
        <v>97</v>
      </c>
      <c r="C64" t="s">
        <v>887</v>
      </c>
      <c r="D64" t="s">
        <v>944</v>
      </c>
      <c r="E64">
        <v>11</v>
      </c>
      <c r="F64" t="s">
        <v>1418</v>
      </c>
      <c r="G64">
        <v>12</v>
      </c>
    </row>
    <row r="65" spans="1:7" hidden="1">
      <c r="A65">
        <v>63</v>
      </c>
      <c r="B65" t="s">
        <v>112</v>
      </c>
      <c r="C65" t="s">
        <v>885</v>
      </c>
      <c r="D65" t="s">
        <v>952</v>
      </c>
      <c r="E65">
        <v>13</v>
      </c>
      <c r="F65" t="s">
        <v>1416</v>
      </c>
      <c r="G65">
        <v>-7</v>
      </c>
    </row>
    <row r="66" spans="1:7" hidden="1">
      <c r="A66">
        <v>64</v>
      </c>
      <c r="B66" t="s">
        <v>34</v>
      </c>
      <c r="C66" t="s">
        <v>873</v>
      </c>
      <c r="D66" t="s">
        <v>940</v>
      </c>
      <c r="E66">
        <v>8</v>
      </c>
      <c r="F66" t="s">
        <v>1418</v>
      </c>
      <c r="G66">
        <v>2</v>
      </c>
    </row>
    <row r="67" spans="1:7" hidden="1">
      <c r="A67">
        <v>65</v>
      </c>
      <c r="B67" t="s">
        <v>104</v>
      </c>
      <c r="C67" t="s">
        <v>929</v>
      </c>
      <c r="D67" t="s">
        <v>946</v>
      </c>
      <c r="E67">
        <v>10</v>
      </c>
      <c r="F67" t="s">
        <v>1416</v>
      </c>
      <c r="G67">
        <v>21</v>
      </c>
    </row>
    <row r="68" spans="1:7" hidden="1">
      <c r="A68">
        <v>66</v>
      </c>
      <c r="B68" t="s">
        <v>310</v>
      </c>
      <c r="C68" t="s">
        <v>881</v>
      </c>
      <c r="D68" t="s">
        <v>942</v>
      </c>
      <c r="E68">
        <v>7</v>
      </c>
      <c r="F68" t="s">
        <v>1417</v>
      </c>
      <c r="G68">
        <v>4</v>
      </c>
    </row>
    <row r="69" spans="1:7" hidden="1">
      <c r="A69">
        <v>67</v>
      </c>
      <c r="B69" t="s">
        <v>57</v>
      </c>
      <c r="C69" t="s">
        <v>921</v>
      </c>
      <c r="D69" t="s">
        <v>954</v>
      </c>
      <c r="E69">
        <v>11</v>
      </c>
      <c r="F69" t="s">
        <v>1418</v>
      </c>
      <c r="G69">
        <v>-19</v>
      </c>
    </row>
    <row r="70" spans="1:7" hidden="1">
      <c r="A70">
        <v>68</v>
      </c>
      <c r="B70" t="s">
        <v>102</v>
      </c>
      <c r="C70" t="s">
        <v>898</v>
      </c>
      <c r="D70" t="s">
        <v>970</v>
      </c>
      <c r="E70">
        <v>7</v>
      </c>
      <c r="F70" t="s">
        <v>1418</v>
      </c>
      <c r="G70">
        <v>20</v>
      </c>
    </row>
    <row r="71" spans="1:7" hidden="1">
      <c r="A71">
        <v>69</v>
      </c>
      <c r="B71" t="s">
        <v>109</v>
      </c>
      <c r="C71" t="s">
        <v>921</v>
      </c>
      <c r="D71" t="s">
        <v>955</v>
      </c>
      <c r="E71">
        <v>11</v>
      </c>
      <c r="F71" t="s">
        <v>1418</v>
      </c>
      <c r="G71">
        <v>-8</v>
      </c>
    </row>
    <row r="72" spans="1:7" hidden="1">
      <c r="A72">
        <v>70</v>
      </c>
      <c r="B72" t="s">
        <v>123</v>
      </c>
      <c r="C72" t="s">
        <v>881</v>
      </c>
      <c r="D72" t="s">
        <v>971</v>
      </c>
      <c r="E72">
        <v>7</v>
      </c>
      <c r="F72" t="s">
        <v>1417</v>
      </c>
      <c r="G72">
        <v>20</v>
      </c>
    </row>
    <row r="73" spans="1:7" hidden="1">
      <c r="A73">
        <v>71</v>
      </c>
      <c r="B73" t="s">
        <v>45</v>
      </c>
      <c r="C73" t="s">
        <v>891</v>
      </c>
      <c r="D73" t="s">
        <v>943</v>
      </c>
      <c r="E73">
        <v>14</v>
      </c>
      <c r="F73" t="s">
        <v>1418</v>
      </c>
      <c r="G73">
        <v>12</v>
      </c>
    </row>
    <row r="74" spans="1:7" hidden="1">
      <c r="A74">
        <v>72</v>
      </c>
      <c r="B74" t="s">
        <v>88</v>
      </c>
      <c r="C74" t="s">
        <v>872</v>
      </c>
      <c r="D74" t="s">
        <v>972</v>
      </c>
      <c r="E74">
        <v>14</v>
      </c>
      <c r="F74" t="s">
        <v>1418</v>
      </c>
      <c r="G74">
        <v>20</v>
      </c>
    </row>
    <row r="75" spans="1:7" hidden="1">
      <c r="A75">
        <v>73</v>
      </c>
      <c r="B75" t="s">
        <v>67</v>
      </c>
      <c r="C75" t="s">
        <v>937</v>
      </c>
      <c r="D75" t="s">
        <v>963</v>
      </c>
      <c r="E75">
        <v>9</v>
      </c>
      <c r="F75" t="s">
        <v>1416</v>
      </c>
      <c r="G75">
        <v>-2</v>
      </c>
    </row>
    <row r="76" spans="1:7" hidden="1">
      <c r="A76">
        <v>74</v>
      </c>
      <c r="B76" t="s">
        <v>95</v>
      </c>
      <c r="C76" t="s">
        <v>927</v>
      </c>
      <c r="D76" t="s">
        <v>964</v>
      </c>
      <c r="E76">
        <v>9</v>
      </c>
      <c r="F76" t="s">
        <v>1418</v>
      </c>
      <c r="G76">
        <v>-15</v>
      </c>
    </row>
    <row r="77" spans="1:7" hidden="1">
      <c r="A77">
        <v>75</v>
      </c>
      <c r="B77" t="s">
        <v>16</v>
      </c>
      <c r="C77" t="s">
        <v>881</v>
      </c>
      <c r="D77" t="s">
        <v>947</v>
      </c>
      <c r="E77">
        <v>7</v>
      </c>
      <c r="F77" t="s">
        <v>1417</v>
      </c>
      <c r="G77">
        <v>10</v>
      </c>
    </row>
    <row r="78" spans="1:7" hidden="1">
      <c r="A78">
        <v>76</v>
      </c>
      <c r="B78" t="s">
        <v>48</v>
      </c>
      <c r="C78" t="s">
        <v>927</v>
      </c>
      <c r="D78" t="s">
        <v>948</v>
      </c>
      <c r="E78">
        <v>9</v>
      </c>
      <c r="F78" t="s">
        <v>1416</v>
      </c>
      <c r="G78">
        <v>5</v>
      </c>
    </row>
    <row r="79" spans="1:7" hidden="1">
      <c r="A79">
        <v>77</v>
      </c>
      <c r="B79" t="s">
        <v>2005</v>
      </c>
      <c r="C79" t="s">
        <v>937</v>
      </c>
      <c r="D79" t="s">
        <v>949</v>
      </c>
      <c r="E79">
        <v>9</v>
      </c>
      <c r="F79" t="s">
        <v>1416</v>
      </c>
      <c r="G79">
        <v>-5</v>
      </c>
    </row>
    <row r="80" spans="1:7" hidden="1">
      <c r="A80">
        <v>78</v>
      </c>
      <c r="B80" t="s">
        <v>159</v>
      </c>
      <c r="C80" t="s">
        <v>927</v>
      </c>
      <c r="D80" t="s">
        <v>965</v>
      </c>
      <c r="E80">
        <v>9</v>
      </c>
      <c r="F80" t="s">
        <v>1418</v>
      </c>
      <c r="G80">
        <v>-11</v>
      </c>
    </row>
    <row r="81" spans="1:7" hidden="1">
      <c r="A81">
        <v>79</v>
      </c>
      <c r="B81" t="s">
        <v>65</v>
      </c>
      <c r="C81" t="s">
        <v>871</v>
      </c>
      <c r="D81" t="s">
        <v>966</v>
      </c>
      <c r="E81">
        <v>6</v>
      </c>
      <c r="F81" t="s">
        <v>1416</v>
      </c>
      <c r="G81">
        <v>8</v>
      </c>
    </row>
    <row r="82" spans="1:7" hidden="1">
      <c r="A82">
        <v>80</v>
      </c>
      <c r="B82" t="s">
        <v>434</v>
      </c>
      <c r="C82" t="s">
        <v>918</v>
      </c>
      <c r="D82" t="s">
        <v>973</v>
      </c>
      <c r="E82">
        <v>5</v>
      </c>
      <c r="F82" t="s">
        <v>1420</v>
      </c>
      <c r="G82">
        <v>37</v>
      </c>
    </row>
    <row r="83" spans="1:7" hidden="1">
      <c r="A83">
        <v>81</v>
      </c>
      <c r="B83" t="s">
        <v>115</v>
      </c>
      <c r="C83" t="s">
        <v>935</v>
      </c>
      <c r="D83" t="s">
        <v>974</v>
      </c>
      <c r="E83">
        <v>10</v>
      </c>
      <c r="F83" t="s">
        <v>1418</v>
      </c>
      <c r="G83">
        <v>-2</v>
      </c>
    </row>
    <row r="84" spans="1:7" hidden="1">
      <c r="A84">
        <v>82</v>
      </c>
      <c r="B84" t="s">
        <v>183</v>
      </c>
      <c r="C84" t="s">
        <v>874</v>
      </c>
      <c r="D84" t="s">
        <v>975</v>
      </c>
      <c r="E84">
        <v>11</v>
      </c>
      <c r="F84" t="s">
        <v>1419</v>
      </c>
      <c r="G84">
        <v>-2</v>
      </c>
    </row>
    <row r="85" spans="1:7" hidden="1">
      <c r="A85">
        <v>83</v>
      </c>
      <c r="B85" t="s">
        <v>176</v>
      </c>
      <c r="C85" t="s">
        <v>898</v>
      </c>
      <c r="D85" t="s">
        <v>956</v>
      </c>
      <c r="E85">
        <v>7</v>
      </c>
      <c r="F85" t="s">
        <v>1418</v>
      </c>
      <c r="G85">
        <v>23</v>
      </c>
    </row>
    <row r="86" spans="1:7" hidden="1">
      <c r="A86">
        <v>84</v>
      </c>
      <c r="B86" t="s">
        <v>55</v>
      </c>
      <c r="C86" t="s">
        <v>935</v>
      </c>
      <c r="D86" t="s">
        <v>957</v>
      </c>
      <c r="E86">
        <v>10</v>
      </c>
      <c r="F86" t="s">
        <v>1418</v>
      </c>
      <c r="G86">
        <v>-7</v>
      </c>
    </row>
    <row r="87" spans="1:7" hidden="1">
      <c r="A87">
        <v>85</v>
      </c>
      <c r="B87" t="s">
        <v>195</v>
      </c>
      <c r="C87" t="s">
        <v>885</v>
      </c>
      <c r="D87" t="s">
        <v>958</v>
      </c>
      <c r="E87">
        <v>13</v>
      </c>
      <c r="F87" t="s">
        <v>1417</v>
      </c>
      <c r="G87">
        <v>11</v>
      </c>
    </row>
    <row r="88" spans="1:7" hidden="1">
      <c r="A88">
        <v>86</v>
      </c>
      <c r="B88" t="s">
        <v>135</v>
      </c>
      <c r="C88" t="s">
        <v>868</v>
      </c>
      <c r="D88" t="s">
        <v>967</v>
      </c>
      <c r="E88">
        <v>11</v>
      </c>
      <c r="F88" t="s">
        <v>1416</v>
      </c>
      <c r="G88">
        <v>-8</v>
      </c>
    </row>
    <row r="89" spans="1:7" hidden="1">
      <c r="A89">
        <v>87</v>
      </c>
      <c r="B89" t="s">
        <v>1206</v>
      </c>
      <c r="C89" t="s">
        <v>893</v>
      </c>
      <c r="D89" t="s">
        <v>959</v>
      </c>
      <c r="E89">
        <v>10</v>
      </c>
      <c r="F89" t="s">
        <v>1417</v>
      </c>
      <c r="G89">
        <v>-3</v>
      </c>
    </row>
    <row r="90" spans="1:7" hidden="1">
      <c r="A90">
        <v>88</v>
      </c>
      <c r="B90" t="s">
        <v>26</v>
      </c>
      <c r="C90" t="s">
        <v>873</v>
      </c>
      <c r="D90" t="s">
        <v>968</v>
      </c>
      <c r="E90">
        <v>8</v>
      </c>
      <c r="F90" t="s">
        <v>1416</v>
      </c>
      <c r="G90">
        <v>11</v>
      </c>
    </row>
    <row r="91" spans="1:7" hidden="1">
      <c r="A91">
        <v>89</v>
      </c>
      <c r="B91" t="s">
        <v>263</v>
      </c>
      <c r="C91" t="s">
        <v>902</v>
      </c>
      <c r="D91" t="s">
        <v>976</v>
      </c>
      <c r="E91">
        <v>7</v>
      </c>
      <c r="F91" t="s">
        <v>1417</v>
      </c>
      <c r="G91">
        <v>6</v>
      </c>
    </row>
    <row r="92" spans="1:7" hidden="1">
      <c r="A92">
        <v>90</v>
      </c>
      <c r="B92" t="s">
        <v>294</v>
      </c>
      <c r="C92" t="s">
        <v>941</v>
      </c>
      <c r="D92" t="s">
        <v>969</v>
      </c>
      <c r="E92">
        <v>11</v>
      </c>
      <c r="F92" t="s">
        <v>1416</v>
      </c>
      <c r="G92">
        <v>-26</v>
      </c>
    </row>
    <row r="94" spans="1:7" hidden="1">
      <c r="A94">
        <v>91</v>
      </c>
      <c r="B94" t="s">
        <v>92</v>
      </c>
      <c r="C94" t="s">
        <v>869</v>
      </c>
      <c r="D94" t="s">
        <v>977</v>
      </c>
      <c r="E94">
        <v>6</v>
      </c>
      <c r="F94" t="s">
        <v>1417</v>
      </c>
      <c r="G94">
        <v>0</v>
      </c>
    </row>
    <row r="95" spans="1:7" hidden="1">
      <c r="A95">
        <v>92</v>
      </c>
      <c r="B95" t="s">
        <v>96</v>
      </c>
      <c r="C95" t="s">
        <v>873</v>
      </c>
      <c r="D95" t="s">
        <v>986</v>
      </c>
      <c r="E95">
        <v>8</v>
      </c>
      <c r="F95" t="s">
        <v>1420</v>
      </c>
      <c r="G95">
        <v>19</v>
      </c>
    </row>
    <row r="96" spans="1:7" hidden="1">
      <c r="A96">
        <v>93</v>
      </c>
      <c r="B96" t="s">
        <v>186</v>
      </c>
      <c r="C96" t="s">
        <v>887</v>
      </c>
      <c r="D96" t="s">
        <v>978</v>
      </c>
      <c r="E96">
        <v>11</v>
      </c>
      <c r="F96" t="s">
        <v>1417</v>
      </c>
      <c r="G96">
        <v>75</v>
      </c>
    </row>
    <row r="97" spans="1:7" hidden="1">
      <c r="A97">
        <v>94</v>
      </c>
      <c r="B97" t="s">
        <v>80</v>
      </c>
      <c r="C97" t="s">
        <v>935</v>
      </c>
      <c r="D97" t="s">
        <v>987</v>
      </c>
      <c r="E97">
        <v>10</v>
      </c>
      <c r="F97" t="s">
        <v>1416</v>
      </c>
      <c r="G97">
        <v>27</v>
      </c>
    </row>
    <row r="98" spans="1:7" hidden="1">
      <c r="A98">
        <v>95</v>
      </c>
      <c r="B98" t="s">
        <v>311</v>
      </c>
      <c r="C98" t="s">
        <v>875</v>
      </c>
      <c r="D98" t="s">
        <v>988</v>
      </c>
      <c r="E98">
        <v>8</v>
      </c>
      <c r="F98" t="s">
        <v>1417</v>
      </c>
      <c r="G98">
        <v>-1</v>
      </c>
    </row>
    <row r="99" spans="1:7" hidden="1">
      <c r="A99">
        <v>96</v>
      </c>
      <c r="B99" t="s">
        <v>49</v>
      </c>
      <c r="C99" t="s">
        <v>918</v>
      </c>
      <c r="D99" t="s">
        <v>997</v>
      </c>
      <c r="E99">
        <v>5</v>
      </c>
      <c r="F99" t="s">
        <v>1420</v>
      </c>
      <c r="G99">
        <v>-14</v>
      </c>
    </row>
    <row r="100" spans="1:7" hidden="1">
      <c r="A100">
        <v>97</v>
      </c>
      <c r="B100" t="s">
        <v>89</v>
      </c>
      <c r="C100" t="s">
        <v>869</v>
      </c>
      <c r="D100" t="s">
        <v>960</v>
      </c>
      <c r="E100">
        <v>6</v>
      </c>
      <c r="F100" t="s">
        <v>1419</v>
      </c>
      <c r="G100">
        <v>4</v>
      </c>
    </row>
    <row r="101" spans="1:7" hidden="1">
      <c r="A101">
        <v>98</v>
      </c>
      <c r="B101" t="s">
        <v>222</v>
      </c>
      <c r="C101" t="s">
        <v>891</v>
      </c>
      <c r="D101" t="s">
        <v>961</v>
      </c>
      <c r="E101">
        <v>14</v>
      </c>
      <c r="F101" t="s">
        <v>1418</v>
      </c>
      <c r="G101">
        <v>-23</v>
      </c>
    </row>
    <row r="102" spans="1:7" hidden="1">
      <c r="A102">
        <v>99</v>
      </c>
      <c r="B102" t="s">
        <v>98</v>
      </c>
      <c r="C102" t="s">
        <v>887</v>
      </c>
      <c r="D102" t="s">
        <v>962</v>
      </c>
      <c r="E102">
        <v>11</v>
      </c>
      <c r="F102" t="s">
        <v>1419</v>
      </c>
      <c r="G102">
        <v>19</v>
      </c>
    </row>
    <row r="103" spans="1:7" hidden="1">
      <c r="A103">
        <v>100</v>
      </c>
      <c r="B103" t="s">
        <v>125</v>
      </c>
      <c r="C103" t="s">
        <v>901</v>
      </c>
      <c r="D103" t="s">
        <v>996</v>
      </c>
      <c r="E103">
        <v>7</v>
      </c>
      <c r="F103" t="s">
        <v>1416</v>
      </c>
      <c r="G103">
        <v>0</v>
      </c>
    </row>
    <row r="104" spans="1:7" hidden="1">
      <c r="A104">
        <v>101</v>
      </c>
      <c r="B104" t="s">
        <v>68</v>
      </c>
      <c r="C104" t="s">
        <v>925</v>
      </c>
      <c r="D104" t="s">
        <v>989</v>
      </c>
      <c r="E104">
        <v>5</v>
      </c>
      <c r="F104" t="s">
        <v>1418</v>
      </c>
      <c r="G104">
        <v>8</v>
      </c>
    </row>
    <row r="105" spans="1:7" hidden="1">
      <c r="A105">
        <v>102</v>
      </c>
      <c r="B105" t="s">
        <v>105</v>
      </c>
      <c r="C105" t="s">
        <v>871</v>
      </c>
      <c r="D105" t="s">
        <v>1004</v>
      </c>
      <c r="E105">
        <v>6</v>
      </c>
      <c r="F105" t="s">
        <v>1419</v>
      </c>
      <c r="G105">
        <v>29</v>
      </c>
    </row>
    <row r="106" spans="1:7" hidden="1">
      <c r="A106">
        <v>103</v>
      </c>
      <c r="B106" t="s">
        <v>162</v>
      </c>
      <c r="C106" t="s">
        <v>874</v>
      </c>
      <c r="D106" t="s">
        <v>1005</v>
      </c>
      <c r="E106">
        <v>11</v>
      </c>
      <c r="F106" t="s">
        <v>1416</v>
      </c>
      <c r="G106">
        <v>20</v>
      </c>
    </row>
    <row r="107" spans="1:7" hidden="1">
      <c r="A107">
        <v>104</v>
      </c>
      <c r="B107" t="s">
        <v>217</v>
      </c>
      <c r="C107" t="s">
        <v>929</v>
      </c>
      <c r="D107" t="s">
        <v>998</v>
      </c>
      <c r="E107">
        <v>10</v>
      </c>
      <c r="F107" t="s">
        <v>1418</v>
      </c>
      <c r="G107">
        <v>-28</v>
      </c>
    </row>
    <row r="108" spans="1:7" hidden="1">
      <c r="A108">
        <v>105</v>
      </c>
      <c r="B108" t="s">
        <v>130</v>
      </c>
      <c r="C108" t="s">
        <v>927</v>
      </c>
      <c r="D108" t="s">
        <v>979</v>
      </c>
      <c r="E108">
        <v>9</v>
      </c>
      <c r="F108" t="s">
        <v>1416</v>
      </c>
      <c r="G108">
        <v>3</v>
      </c>
    </row>
    <row r="109" spans="1:7" hidden="1">
      <c r="A109">
        <v>106</v>
      </c>
      <c r="B109" t="s">
        <v>91</v>
      </c>
      <c r="C109" t="s">
        <v>925</v>
      </c>
      <c r="D109" t="s">
        <v>1008</v>
      </c>
      <c r="E109">
        <v>5</v>
      </c>
      <c r="F109" t="s">
        <v>1417</v>
      </c>
      <c r="G109">
        <v>-1</v>
      </c>
    </row>
    <row r="110" spans="1:7" hidden="1">
      <c r="A110">
        <v>107</v>
      </c>
      <c r="B110" t="s">
        <v>2013</v>
      </c>
      <c r="C110" t="s">
        <v>870</v>
      </c>
      <c r="D110" t="s">
        <v>980</v>
      </c>
      <c r="E110">
        <v>10</v>
      </c>
      <c r="F110" t="s">
        <v>1417</v>
      </c>
      <c r="G110">
        <v>92</v>
      </c>
    </row>
    <row r="111" spans="1:7" hidden="1">
      <c r="A111">
        <v>108</v>
      </c>
      <c r="B111" t="s">
        <v>66</v>
      </c>
      <c r="C111" t="s">
        <v>935</v>
      </c>
      <c r="D111" t="s">
        <v>999</v>
      </c>
      <c r="E111">
        <v>10</v>
      </c>
      <c r="F111" t="s">
        <v>1418</v>
      </c>
      <c r="G111">
        <v>-46</v>
      </c>
    </row>
    <row r="112" spans="1:7" hidden="1">
      <c r="A112">
        <v>109</v>
      </c>
      <c r="B112" t="s">
        <v>107</v>
      </c>
      <c r="C112" t="s">
        <v>902</v>
      </c>
      <c r="D112" t="s">
        <v>981</v>
      </c>
      <c r="E112">
        <v>7</v>
      </c>
      <c r="F112" t="s">
        <v>1418</v>
      </c>
      <c r="G112">
        <v>10</v>
      </c>
    </row>
    <row r="113" spans="1:7" hidden="1">
      <c r="A113">
        <v>110</v>
      </c>
      <c r="B113" t="s">
        <v>163</v>
      </c>
      <c r="C113" t="s">
        <v>875</v>
      </c>
      <c r="D113" t="s">
        <v>1009</v>
      </c>
      <c r="E113">
        <v>8</v>
      </c>
      <c r="F113" t="s">
        <v>1416</v>
      </c>
      <c r="G113">
        <v>-7</v>
      </c>
    </row>
    <row r="114" spans="1:7" hidden="1">
      <c r="A114">
        <v>111</v>
      </c>
      <c r="B114" t="s">
        <v>128</v>
      </c>
      <c r="C114" t="s">
        <v>870</v>
      </c>
      <c r="D114" t="s">
        <v>1010</v>
      </c>
      <c r="E114">
        <v>10</v>
      </c>
      <c r="F114" t="s">
        <v>1417</v>
      </c>
      <c r="G114">
        <v>2</v>
      </c>
    </row>
    <row r="115" spans="1:7" hidden="1">
      <c r="A115">
        <v>112</v>
      </c>
      <c r="B115" t="s">
        <v>138</v>
      </c>
      <c r="C115" t="s">
        <v>902</v>
      </c>
      <c r="D115" t="s">
        <v>1000</v>
      </c>
      <c r="E115">
        <v>7</v>
      </c>
      <c r="F115" t="s">
        <v>1417</v>
      </c>
      <c r="G115">
        <v>8</v>
      </c>
    </row>
    <row r="116" spans="1:7" hidden="1">
      <c r="A116">
        <v>113</v>
      </c>
      <c r="B116" t="s">
        <v>336</v>
      </c>
      <c r="C116" t="s">
        <v>881</v>
      </c>
      <c r="D116" t="s">
        <v>1001</v>
      </c>
      <c r="E116">
        <v>7</v>
      </c>
      <c r="F116" t="s">
        <v>1417</v>
      </c>
      <c r="G116">
        <v>25</v>
      </c>
    </row>
    <row r="117" spans="1:7" hidden="1">
      <c r="A117">
        <v>114</v>
      </c>
      <c r="B117" t="s">
        <v>84</v>
      </c>
      <c r="C117" t="s">
        <v>869</v>
      </c>
      <c r="D117" t="s">
        <v>1006</v>
      </c>
      <c r="E117">
        <v>6</v>
      </c>
      <c r="F117" t="s">
        <v>1419</v>
      </c>
      <c r="G117">
        <v>40</v>
      </c>
    </row>
    <row r="118" spans="1:7" hidden="1">
      <c r="A118">
        <v>115</v>
      </c>
      <c r="B118" t="s">
        <v>122</v>
      </c>
      <c r="C118" t="s">
        <v>885</v>
      </c>
      <c r="D118" t="s">
        <v>982</v>
      </c>
      <c r="E118">
        <v>13</v>
      </c>
      <c r="F118" t="s">
        <v>1417</v>
      </c>
      <c r="G118">
        <v>0</v>
      </c>
    </row>
    <row r="119" spans="1:7" hidden="1">
      <c r="A119">
        <v>116</v>
      </c>
      <c r="B119" t="s">
        <v>2007</v>
      </c>
      <c r="C119" t="s">
        <v>893</v>
      </c>
      <c r="D119" t="s">
        <v>1002</v>
      </c>
      <c r="E119">
        <v>10</v>
      </c>
      <c r="F119" t="s">
        <v>1418</v>
      </c>
      <c r="G119">
        <v>-27</v>
      </c>
    </row>
    <row r="120" spans="1:7" hidden="1">
      <c r="A120">
        <v>117</v>
      </c>
      <c r="B120" t="s">
        <v>2010</v>
      </c>
      <c r="C120" t="s">
        <v>873</v>
      </c>
      <c r="D120" t="s">
        <v>983</v>
      </c>
      <c r="E120">
        <v>8</v>
      </c>
      <c r="F120" t="s">
        <v>1418</v>
      </c>
      <c r="G120">
        <v>56</v>
      </c>
    </row>
    <row r="121" spans="1:7" hidden="1">
      <c r="A121">
        <v>118</v>
      </c>
      <c r="B121" t="s">
        <v>72</v>
      </c>
      <c r="C121" t="s">
        <v>889</v>
      </c>
      <c r="D121" t="s">
        <v>1011</v>
      </c>
      <c r="E121">
        <v>13</v>
      </c>
      <c r="F121" t="s">
        <v>1417</v>
      </c>
      <c r="G121">
        <v>-4</v>
      </c>
    </row>
    <row r="122" spans="1:7" hidden="1">
      <c r="A122">
        <v>119</v>
      </c>
      <c r="B122" t="s">
        <v>118</v>
      </c>
      <c r="C122" t="s">
        <v>887</v>
      </c>
      <c r="D122" t="s">
        <v>1007</v>
      </c>
      <c r="E122">
        <v>11</v>
      </c>
      <c r="F122" t="s">
        <v>1417</v>
      </c>
      <c r="G122">
        <v>18</v>
      </c>
    </row>
    <row r="123" spans="1:7" hidden="1">
      <c r="A123">
        <v>120</v>
      </c>
      <c r="B123" t="s">
        <v>77</v>
      </c>
      <c r="C123" t="s">
        <v>893</v>
      </c>
      <c r="D123" t="s">
        <v>1026</v>
      </c>
      <c r="E123">
        <v>10</v>
      </c>
      <c r="F123" t="s">
        <v>1418</v>
      </c>
      <c r="G123">
        <v>26</v>
      </c>
    </row>
    <row r="124" spans="1:7" hidden="1">
      <c r="A124">
        <v>121</v>
      </c>
      <c r="B124" t="s">
        <v>103</v>
      </c>
      <c r="C124" t="s">
        <v>881</v>
      </c>
      <c r="D124" t="s">
        <v>984</v>
      </c>
      <c r="E124">
        <v>7</v>
      </c>
      <c r="F124" t="s">
        <v>1417</v>
      </c>
      <c r="G124">
        <v>-24</v>
      </c>
    </row>
    <row r="125" spans="1:7" hidden="1">
      <c r="A125">
        <v>122</v>
      </c>
      <c r="B125" t="s">
        <v>56</v>
      </c>
      <c r="C125" t="s">
        <v>925</v>
      </c>
      <c r="D125" t="s">
        <v>985</v>
      </c>
      <c r="E125">
        <v>5</v>
      </c>
      <c r="F125" t="s">
        <v>1418</v>
      </c>
      <c r="G125">
        <v>13</v>
      </c>
    </row>
    <row r="126" spans="1:7" hidden="1">
      <c r="A126">
        <v>123</v>
      </c>
      <c r="B126" t="s">
        <v>73</v>
      </c>
      <c r="C126" t="s">
        <v>869</v>
      </c>
      <c r="D126" t="s">
        <v>1003</v>
      </c>
      <c r="E126">
        <v>6</v>
      </c>
      <c r="F126" t="s">
        <v>1417</v>
      </c>
      <c r="G126">
        <v>-25</v>
      </c>
    </row>
    <row r="127" spans="1:7" hidden="1">
      <c r="A127">
        <v>124</v>
      </c>
      <c r="B127" t="s">
        <v>2009</v>
      </c>
      <c r="C127" t="s">
        <v>941</v>
      </c>
      <c r="D127" t="s">
        <v>990</v>
      </c>
      <c r="E127">
        <v>11</v>
      </c>
      <c r="F127" t="s">
        <v>1416</v>
      </c>
      <c r="G127">
        <v>9</v>
      </c>
    </row>
    <row r="128" spans="1:7" hidden="1">
      <c r="A128">
        <v>125</v>
      </c>
      <c r="B128" t="s">
        <v>119</v>
      </c>
      <c r="C128" t="s">
        <v>887</v>
      </c>
      <c r="D128" t="s">
        <v>991</v>
      </c>
      <c r="E128">
        <v>11</v>
      </c>
      <c r="F128" t="s">
        <v>1419</v>
      </c>
      <c r="G128">
        <v>34</v>
      </c>
    </row>
    <row r="129" spans="1:7" hidden="1">
      <c r="A129">
        <v>126</v>
      </c>
      <c r="B129" t="s">
        <v>200</v>
      </c>
      <c r="C129" t="s">
        <v>937</v>
      </c>
      <c r="D129" t="s">
        <v>992</v>
      </c>
      <c r="E129">
        <v>9</v>
      </c>
      <c r="F129" t="s">
        <v>1416</v>
      </c>
      <c r="G129">
        <v>-33</v>
      </c>
    </row>
    <row r="130" spans="1:7" hidden="1">
      <c r="A130">
        <v>127</v>
      </c>
      <c r="B130" t="s">
        <v>303</v>
      </c>
      <c r="C130" t="s">
        <v>916</v>
      </c>
      <c r="D130" t="s">
        <v>1027</v>
      </c>
      <c r="E130">
        <v>8</v>
      </c>
      <c r="F130" t="s">
        <v>1416</v>
      </c>
      <c r="G130">
        <v>25</v>
      </c>
    </row>
    <row r="131" spans="1:7" hidden="1">
      <c r="A131">
        <v>128</v>
      </c>
      <c r="B131" t="s">
        <v>165</v>
      </c>
      <c r="C131" t="s">
        <v>921</v>
      </c>
      <c r="D131" t="s">
        <v>993</v>
      </c>
      <c r="E131">
        <v>11</v>
      </c>
      <c r="F131" t="s">
        <v>1418</v>
      </c>
      <c r="G131">
        <v>-2</v>
      </c>
    </row>
    <row r="132" spans="1:7" hidden="1">
      <c r="A132">
        <v>129</v>
      </c>
      <c r="B132" t="s">
        <v>142</v>
      </c>
      <c r="C132" t="s">
        <v>891</v>
      </c>
      <c r="D132" t="s">
        <v>1013</v>
      </c>
      <c r="E132">
        <v>14</v>
      </c>
      <c r="F132" t="s">
        <v>1418</v>
      </c>
      <c r="G132">
        <v>-25</v>
      </c>
    </row>
    <row r="133" spans="1:7" hidden="1">
      <c r="A133">
        <v>130</v>
      </c>
      <c r="B133" t="s">
        <v>247</v>
      </c>
      <c r="C133" t="s">
        <v>879</v>
      </c>
      <c r="D133" t="s">
        <v>1014</v>
      </c>
      <c r="E133">
        <v>8</v>
      </c>
      <c r="F133" t="s">
        <v>1417</v>
      </c>
      <c r="G133">
        <v>-23</v>
      </c>
    </row>
    <row r="134" spans="1:7" hidden="1">
      <c r="A134">
        <v>131</v>
      </c>
      <c r="B134" t="s">
        <v>254</v>
      </c>
      <c r="C134" t="s">
        <v>916</v>
      </c>
      <c r="D134" t="s">
        <v>1012</v>
      </c>
      <c r="E134">
        <v>8</v>
      </c>
      <c r="F134" t="s">
        <v>1418</v>
      </c>
      <c r="G134">
        <v>-19</v>
      </c>
    </row>
    <row r="135" spans="1:7" hidden="1">
      <c r="A135">
        <v>132</v>
      </c>
      <c r="B135" t="s">
        <v>453</v>
      </c>
      <c r="C135" t="s">
        <v>877</v>
      </c>
      <c r="D135" t="s">
        <v>1028</v>
      </c>
      <c r="E135">
        <v>6</v>
      </c>
      <c r="F135" t="s">
        <v>1416</v>
      </c>
      <c r="G135">
        <v>17</v>
      </c>
    </row>
    <row r="136" spans="1:7" hidden="1">
      <c r="A136">
        <v>133</v>
      </c>
      <c r="B136" t="s">
        <v>140</v>
      </c>
      <c r="C136" t="s">
        <v>907</v>
      </c>
      <c r="D136" t="s">
        <v>994</v>
      </c>
      <c r="E136">
        <v>11</v>
      </c>
      <c r="F136" t="s">
        <v>1416</v>
      </c>
      <c r="G136">
        <v>25</v>
      </c>
    </row>
    <row r="137" spans="1:7" hidden="1">
      <c r="A137">
        <v>134</v>
      </c>
      <c r="B137" t="s">
        <v>216</v>
      </c>
      <c r="C137" t="s">
        <v>918</v>
      </c>
      <c r="D137" t="s">
        <v>995</v>
      </c>
      <c r="E137">
        <v>5</v>
      </c>
      <c r="F137" t="s">
        <v>1418</v>
      </c>
      <c r="G137">
        <v>8</v>
      </c>
    </row>
    <row r="138" spans="1:7" hidden="1">
      <c r="A138">
        <v>135</v>
      </c>
      <c r="B138" t="s">
        <v>144</v>
      </c>
      <c r="C138" t="s">
        <v>872</v>
      </c>
      <c r="D138" t="s">
        <v>1024</v>
      </c>
      <c r="E138">
        <v>14</v>
      </c>
      <c r="F138" t="s">
        <v>1418</v>
      </c>
      <c r="G138">
        <v>-25</v>
      </c>
    </row>
    <row r="139" spans="1:7" hidden="1">
      <c r="A139">
        <v>136</v>
      </c>
      <c r="B139" t="s">
        <v>2024</v>
      </c>
      <c r="C139" t="s">
        <v>935</v>
      </c>
      <c r="D139" t="s">
        <v>1015</v>
      </c>
      <c r="E139">
        <v>10</v>
      </c>
      <c r="F139" t="s">
        <v>1418</v>
      </c>
      <c r="G139">
        <v>-8</v>
      </c>
    </row>
    <row r="140" spans="1:7" hidden="1">
      <c r="A140">
        <v>137</v>
      </c>
      <c r="B140" t="s">
        <v>193</v>
      </c>
      <c r="C140" t="s">
        <v>907</v>
      </c>
      <c r="D140" t="s">
        <v>1093</v>
      </c>
      <c r="E140">
        <v>11</v>
      </c>
      <c r="F140" t="s">
        <v>1417</v>
      </c>
      <c r="G140">
        <v>32</v>
      </c>
    </row>
    <row r="141" spans="1:7" hidden="1">
      <c r="A141">
        <v>138</v>
      </c>
      <c r="B141" t="s">
        <v>94</v>
      </c>
      <c r="C141" t="s">
        <v>873</v>
      </c>
      <c r="D141" t="s">
        <v>1019</v>
      </c>
      <c r="E141">
        <v>8</v>
      </c>
      <c r="F141" t="s">
        <v>1418</v>
      </c>
      <c r="G141">
        <v>9</v>
      </c>
    </row>
    <row r="142" spans="1:7" hidden="1">
      <c r="A142">
        <v>139</v>
      </c>
      <c r="B142" t="s">
        <v>2019</v>
      </c>
      <c r="C142" t="s">
        <v>876</v>
      </c>
      <c r="D142" t="s">
        <v>1016</v>
      </c>
      <c r="E142">
        <v>13</v>
      </c>
      <c r="F142" t="s">
        <v>1418</v>
      </c>
      <c r="G142">
        <v>-5</v>
      </c>
    </row>
    <row r="143" spans="1:7" hidden="1">
      <c r="A143">
        <v>140</v>
      </c>
      <c r="B143" t="s">
        <v>114</v>
      </c>
      <c r="C143" t="s">
        <v>907</v>
      </c>
      <c r="D143" t="s">
        <v>1017</v>
      </c>
      <c r="E143">
        <v>11</v>
      </c>
      <c r="F143" t="s">
        <v>1417</v>
      </c>
      <c r="G143">
        <v>-18</v>
      </c>
    </row>
    <row r="144" spans="1:7" hidden="1">
      <c r="A144">
        <v>141</v>
      </c>
      <c r="B144" t="s">
        <v>106</v>
      </c>
      <c r="C144" t="s">
        <v>870</v>
      </c>
      <c r="D144" t="s">
        <v>1018</v>
      </c>
      <c r="E144">
        <v>10</v>
      </c>
      <c r="F144" t="s">
        <v>1417</v>
      </c>
      <c r="G144">
        <v>15</v>
      </c>
    </row>
    <row r="145" spans="1:7" hidden="1">
      <c r="A145">
        <v>142</v>
      </c>
      <c r="B145" t="s">
        <v>2016</v>
      </c>
      <c r="C145" t="s">
        <v>916</v>
      </c>
      <c r="D145" t="s">
        <v>1020</v>
      </c>
      <c r="E145">
        <v>8</v>
      </c>
      <c r="F145" t="s">
        <v>1416</v>
      </c>
      <c r="G145">
        <v>-40</v>
      </c>
    </row>
    <row r="146" spans="1:7" hidden="1">
      <c r="A146">
        <v>143</v>
      </c>
      <c r="B146" t="s">
        <v>235</v>
      </c>
      <c r="C146" t="s">
        <v>898</v>
      </c>
      <c r="D146" t="s">
        <v>1029</v>
      </c>
      <c r="E146">
        <v>7</v>
      </c>
      <c r="F146" t="s">
        <v>1416</v>
      </c>
      <c r="G146">
        <v>12</v>
      </c>
    </row>
    <row r="147" spans="1:7" hidden="1">
      <c r="A147">
        <v>144</v>
      </c>
      <c r="B147" t="s">
        <v>24</v>
      </c>
      <c r="C147" t="s">
        <v>887</v>
      </c>
      <c r="D147" t="s">
        <v>1030</v>
      </c>
      <c r="E147">
        <v>11</v>
      </c>
      <c r="F147" t="s">
        <v>1417</v>
      </c>
      <c r="G147">
        <v>-84</v>
      </c>
    </row>
    <row r="148" spans="1:7" hidden="1">
      <c r="A148">
        <v>145</v>
      </c>
      <c r="B148" t="s">
        <v>117</v>
      </c>
      <c r="C148" t="s">
        <v>901</v>
      </c>
      <c r="D148" t="s">
        <v>1021</v>
      </c>
      <c r="E148">
        <v>7</v>
      </c>
      <c r="F148" t="s">
        <v>1417</v>
      </c>
      <c r="G148">
        <v>-4</v>
      </c>
    </row>
    <row r="149" spans="1:7" hidden="1">
      <c r="A149">
        <v>146</v>
      </c>
      <c r="B149" t="s">
        <v>124</v>
      </c>
      <c r="C149" t="s">
        <v>879</v>
      </c>
      <c r="D149" t="s">
        <v>1094</v>
      </c>
      <c r="E149">
        <v>8</v>
      </c>
      <c r="F149" t="s">
        <v>1417</v>
      </c>
      <c r="G149">
        <v>26</v>
      </c>
    </row>
    <row r="150" spans="1:7" hidden="1">
      <c r="A150">
        <v>147</v>
      </c>
      <c r="B150" t="s">
        <v>290</v>
      </c>
      <c r="C150" t="s">
        <v>885</v>
      </c>
      <c r="D150" t="s">
        <v>1095</v>
      </c>
      <c r="E150">
        <v>13</v>
      </c>
      <c r="F150" t="s">
        <v>1417</v>
      </c>
      <c r="G150">
        <v>48</v>
      </c>
    </row>
    <row r="151" spans="1:7" hidden="1">
      <c r="A151">
        <v>148</v>
      </c>
      <c r="B151" t="s">
        <v>132</v>
      </c>
      <c r="C151" t="s">
        <v>937</v>
      </c>
      <c r="D151" t="s">
        <v>1031</v>
      </c>
      <c r="E151">
        <v>9</v>
      </c>
      <c r="F151" t="s">
        <v>1416</v>
      </c>
      <c r="G151">
        <v>-18</v>
      </c>
    </row>
    <row r="152" spans="1:7" hidden="1">
      <c r="A152">
        <v>149</v>
      </c>
      <c r="B152" t="s">
        <v>78</v>
      </c>
      <c r="C152" t="s">
        <v>868</v>
      </c>
      <c r="D152" t="s">
        <v>1032</v>
      </c>
      <c r="E152">
        <v>11</v>
      </c>
      <c r="F152" t="s">
        <v>1418</v>
      </c>
      <c r="G152">
        <v>-33</v>
      </c>
    </row>
    <row r="153" spans="1:7" hidden="1">
      <c r="A153">
        <v>150</v>
      </c>
      <c r="B153" t="s">
        <v>155</v>
      </c>
      <c r="C153" t="s">
        <v>921</v>
      </c>
      <c r="D153" t="s">
        <v>1025</v>
      </c>
      <c r="E153">
        <v>11</v>
      </c>
      <c r="F153" t="s">
        <v>1417</v>
      </c>
      <c r="G153">
        <v>-25</v>
      </c>
    </row>
    <row r="154" spans="1:7" hidden="1">
      <c r="A154">
        <v>151</v>
      </c>
      <c r="B154" t="s">
        <v>196</v>
      </c>
      <c r="C154" t="s">
        <v>881</v>
      </c>
      <c r="D154" t="s">
        <v>1048</v>
      </c>
      <c r="E154">
        <v>7</v>
      </c>
      <c r="F154" t="s">
        <v>1416</v>
      </c>
      <c r="G154">
        <v>-8</v>
      </c>
    </row>
    <row r="155" spans="1:7" hidden="1">
      <c r="A155">
        <v>152</v>
      </c>
      <c r="B155" t="s">
        <v>147</v>
      </c>
      <c r="C155" t="s">
        <v>910</v>
      </c>
      <c r="D155" t="s">
        <v>1033</v>
      </c>
      <c r="E155">
        <v>13</v>
      </c>
      <c r="F155" t="s">
        <v>1416</v>
      </c>
      <c r="G155">
        <v>8</v>
      </c>
    </row>
    <row r="156" spans="1:7" hidden="1">
      <c r="A156">
        <v>153</v>
      </c>
      <c r="B156" t="s">
        <v>2008</v>
      </c>
      <c r="C156" t="s">
        <v>941</v>
      </c>
      <c r="D156" t="s">
        <v>1022</v>
      </c>
      <c r="E156">
        <v>11</v>
      </c>
      <c r="F156" t="s">
        <v>1416</v>
      </c>
      <c r="G156">
        <v>23</v>
      </c>
    </row>
    <row r="157" spans="1:7" hidden="1">
      <c r="A157">
        <v>154</v>
      </c>
      <c r="B157" t="s">
        <v>194</v>
      </c>
      <c r="C157" t="s">
        <v>879</v>
      </c>
      <c r="D157" t="s">
        <v>1052</v>
      </c>
      <c r="E157">
        <v>8</v>
      </c>
      <c r="F157" t="s">
        <v>1418</v>
      </c>
      <c r="G157">
        <v>-22</v>
      </c>
    </row>
    <row r="158" spans="1:7" hidden="1">
      <c r="A158">
        <v>155</v>
      </c>
      <c r="B158" t="s">
        <v>292</v>
      </c>
      <c r="C158" t="s">
        <v>876</v>
      </c>
      <c r="D158" t="s">
        <v>1023</v>
      </c>
      <c r="E158">
        <v>13</v>
      </c>
      <c r="F158" t="s">
        <v>1418</v>
      </c>
      <c r="G158">
        <v>33</v>
      </c>
    </row>
    <row r="159" spans="1:7" hidden="1">
      <c r="A159">
        <v>156</v>
      </c>
      <c r="B159" t="s">
        <v>282</v>
      </c>
      <c r="C159" t="s">
        <v>879</v>
      </c>
      <c r="D159" t="s">
        <v>1035</v>
      </c>
      <c r="E159">
        <v>8</v>
      </c>
      <c r="F159" t="s">
        <v>1416</v>
      </c>
      <c r="G159">
        <v>11</v>
      </c>
    </row>
    <row r="160" spans="1:7" hidden="1">
      <c r="A160">
        <v>157</v>
      </c>
      <c r="B160" t="s">
        <v>166</v>
      </c>
      <c r="C160" t="s">
        <v>941</v>
      </c>
      <c r="D160" t="s">
        <v>1034</v>
      </c>
      <c r="E160">
        <v>11</v>
      </c>
      <c r="F160" t="s">
        <v>1416</v>
      </c>
      <c r="G160">
        <v>-9</v>
      </c>
    </row>
    <row r="161" spans="1:7" hidden="1">
      <c r="A161">
        <v>158</v>
      </c>
      <c r="B161" t="s">
        <v>191</v>
      </c>
      <c r="C161" t="s">
        <v>937</v>
      </c>
      <c r="D161" t="s">
        <v>1113</v>
      </c>
      <c r="E161">
        <v>9</v>
      </c>
      <c r="F161" t="s">
        <v>1416</v>
      </c>
      <c r="G161">
        <v>36</v>
      </c>
    </row>
    <row r="162" spans="1:7" hidden="1">
      <c r="A162">
        <v>159</v>
      </c>
      <c r="B162" t="s">
        <v>230</v>
      </c>
      <c r="C162" t="s">
        <v>910</v>
      </c>
      <c r="D162" t="s">
        <v>1036</v>
      </c>
      <c r="E162">
        <v>13</v>
      </c>
      <c r="F162" t="s">
        <v>1417</v>
      </c>
      <c r="G162">
        <v>37</v>
      </c>
    </row>
    <row r="163" spans="1:7" hidden="1">
      <c r="A163">
        <v>160</v>
      </c>
      <c r="B163" t="s">
        <v>220</v>
      </c>
      <c r="C163" t="s">
        <v>902</v>
      </c>
      <c r="D163" t="s">
        <v>1049</v>
      </c>
      <c r="E163">
        <v>7</v>
      </c>
      <c r="F163" t="s">
        <v>1420</v>
      </c>
      <c r="G163">
        <v>4</v>
      </c>
    </row>
    <row r="164" spans="1:7" hidden="1">
      <c r="A164">
        <v>161</v>
      </c>
      <c r="B164" t="s">
        <v>2035</v>
      </c>
      <c r="C164" t="s">
        <v>925</v>
      </c>
      <c r="D164" t="s">
        <v>1043</v>
      </c>
      <c r="E164">
        <v>5</v>
      </c>
      <c r="F164" t="s">
        <v>1416</v>
      </c>
      <c r="G164">
        <v>-25</v>
      </c>
    </row>
    <row r="165" spans="1:7" hidden="1">
      <c r="A165">
        <v>162</v>
      </c>
      <c r="B165" t="s">
        <v>83</v>
      </c>
      <c r="C165" t="s">
        <v>875</v>
      </c>
      <c r="D165" t="s">
        <v>1044</v>
      </c>
      <c r="E165">
        <v>8</v>
      </c>
      <c r="F165" t="s">
        <v>1417</v>
      </c>
      <c r="G165">
        <v>-33</v>
      </c>
    </row>
    <row r="166" spans="1:7" hidden="1">
      <c r="A166">
        <v>163</v>
      </c>
      <c r="B166" t="s">
        <v>314</v>
      </c>
      <c r="C166" t="s">
        <v>874</v>
      </c>
      <c r="D166" t="s">
        <v>1050</v>
      </c>
      <c r="E166">
        <v>11</v>
      </c>
      <c r="F166" t="s">
        <v>1417</v>
      </c>
      <c r="G166">
        <v>2</v>
      </c>
    </row>
    <row r="167" spans="1:7" hidden="1">
      <c r="A167">
        <v>164</v>
      </c>
      <c r="B167" t="s">
        <v>178</v>
      </c>
      <c r="C167" t="s">
        <v>893</v>
      </c>
      <c r="D167" t="s">
        <v>1037</v>
      </c>
      <c r="E167">
        <v>10</v>
      </c>
      <c r="F167" t="s">
        <v>1417</v>
      </c>
      <c r="G167">
        <v>37</v>
      </c>
    </row>
    <row r="168" spans="1:7" hidden="1">
      <c r="A168">
        <v>165</v>
      </c>
      <c r="B168" t="s">
        <v>206</v>
      </c>
      <c r="C168" t="s">
        <v>874</v>
      </c>
      <c r="D168" t="s">
        <v>1055</v>
      </c>
      <c r="E168">
        <v>11</v>
      </c>
      <c r="F168" t="s">
        <v>1418</v>
      </c>
      <c r="G168">
        <v>-38</v>
      </c>
    </row>
    <row r="169" spans="1:7" hidden="1">
      <c r="A169">
        <v>166</v>
      </c>
      <c r="B169" t="s">
        <v>53</v>
      </c>
      <c r="C169" t="s">
        <v>916</v>
      </c>
      <c r="D169" t="s">
        <v>1045</v>
      </c>
      <c r="E169">
        <v>8</v>
      </c>
      <c r="F169" t="s">
        <v>1416</v>
      </c>
      <c r="G169">
        <v>-22</v>
      </c>
    </row>
    <row r="170" spans="1:7" hidden="1">
      <c r="A170">
        <v>167</v>
      </c>
      <c r="B170" t="s">
        <v>167</v>
      </c>
      <c r="C170" t="s">
        <v>935</v>
      </c>
      <c r="D170" t="s">
        <v>1057</v>
      </c>
      <c r="E170">
        <v>10</v>
      </c>
      <c r="F170" t="s">
        <v>1417</v>
      </c>
      <c r="G170">
        <v>-22</v>
      </c>
    </row>
    <row r="171" spans="1:7" hidden="1">
      <c r="A171">
        <v>168</v>
      </c>
      <c r="B171" t="s">
        <v>208</v>
      </c>
      <c r="C171" t="s">
        <v>907</v>
      </c>
      <c r="D171" t="s">
        <v>1059</v>
      </c>
      <c r="E171">
        <v>11</v>
      </c>
      <c r="F171" t="s">
        <v>1418</v>
      </c>
      <c r="G171">
        <v>-28</v>
      </c>
    </row>
    <row r="172" spans="1:7" hidden="1">
      <c r="A172">
        <v>169</v>
      </c>
      <c r="B172" t="s">
        <v>99</v>
      </c>
      <c r="C172" t="s">
        <v>869</v>
      </c>
      <c r="D172" t="s">
        <v>1038</v>
      </c>
      <c r="E172">
        <v>6</v>
      </c>
      <c r="F172" t="s">
        <v>1419</v>
      </c>
      <c r="G172">
        <v>-7</v>
      </c>
    </row>
    <row r="173" spans="1:7" hidden="1">
      <c r="A173">
        <v>170</v>
      </c>
      <c r="B173" t="s">
        <v>87</v>
      </c>
      <c r="C173" t="s">
        <v>941</v>
      </c>
      <c r="D173" t="s">
        <v>1039</v>
      </c>
      <c r="E173">
        <v>11</v>
      </c>
      <c r="F173" t="s">
        <v>1416</v>
      </c>
      <c r="G173">
        <v>13</v>
      </c>
    </row>
    <row r="174" spans="1:7" hidden="1">
      <c r="A174">
        <v>171</v>
      </c>
      <c r="B174" t="s">
        <v>242</v>
      </c>
      <c r="C174" t="s">
        <v>879</v>
      </c>
      <c r="D174" t="s">
        <v>1051</v>
      </c>
      <c r="E174">
        <v>8</v>
      </c>
      <c r="F174" t="s">
        <v>1417</v>
      </c>
      <c r="G174">
        <v>-32</v>
      </c>
    </row>
    <row r="175" spans="1:7" hidden="1">
      <c r="A175">
        <v>172</v>
      </c>
      <c r="B175" t="s">
        <v>150</v>
      </c>
      <c r="C175" t="s">
        <v>918</v>
      </c>
      <c r="D175" t="s">
        <v>1114</v>
      </c>
      <c r="E175">
        <v>5</v>
      </c>
      <c r="F175" t="s">
        <v>1418</v>
      </c>
      <c r="G175">
        <v>32</v>
      </c>
    </row>
    <row r="176" spans="1:7" hidden="1">
      <c r="A176">
        <v>173</v>
      </c>
      <c r="B176" t="s">
        <v>179</v>
      </c>
      <c r="C176" t="s">
        <v>870</v>
      </c>
      <c r="D176" t="s">
        <v>1060</v>
      </c>
      <c r="E176">
        <v>10</v>
      </c>
      <c r="F176" t="s">
        <v>1421</v>
      </c>
      <c r="G176">
        <v>-23</v>
      </c>
    </row>
    <row r="177" spans="1:7" hidden="1">
      <c r="A177">
        <v>174</v>
      </c>
      <c r="B177" t="s">
        <v>238</v>
      </c>
      <c r="C177" t="s">
        <v>870</v>
      </c>
      <c r="D177" t="s">
        <v>1040</v>
      </c>
      <c r="E177">
        <v>10</v>
      </c>
      <c r="F177" t="s">
        <v>1417</v>
      </c>
      <c r="G177">
        <v>43</v>
      </c>
    </row>
    <row r="178" spans="1:7" hidden="1">
      <c r="A178">
        <v>175</v>
      </c>
      <c r="B178" t="s">
        <v>134</v>
      </c>
      <c r="C178" t="s">
        <v>901</v>
      </c>
      <c r="D178" t="s">
        <v>1090</v>
      </c>
      <c r="E178">
        <v>7</v>
      </c>
      <c r="F178" t="s">
        <v>1418</v>
      </c>
      <c r="G178">
        <v>17</v>
      </c>
    </row>
    <row r="179" spans="1:7" hidden="1">
      <c r="A179">
        <v>176</v>
      </c>
      <c r="B179" t="s">
        <v>174</v>
      </c>
      <c r="C179" t="s">
        <v>898</v>
      </c>
      <c r="D179" t="s">
        <v>1041</v>
      </c>
      <c r="E179">
        <v>7</v>
      </c>
      <c r="F179" t="s">
        <v>1418</v>
      </c>
      <c r="G179">
        <v>36</v>
      </c>
    </row>
    <row r="180" spans="1:7" hidden="1">
      <c r="A180">
        <v>177</v>
      </c>
      <c r="B180" t="s">
        <v>297</v>
      </c>
      <c r="C180" t="s">
        <v>876</v>
      </c>
      <c r="D180" t="s">
        <v>1042</v>
      </c>
      <c r="E180">
        <v>13</v>
      </c>
      <c r="F180" t="s">
        <v>1418</v>
      </c>
      <c r="G180">
        <v>32</v>
      </c>
    </row>
    <row r="181" spans="1:7" hidden="1">
      <c r="A181">
        <v>178</v>
      </c>
      <c r="B181" t="s">
        <v>2020</v>
      </c>
      <c r="C181" t="s">
        <v>910</v>
      </c>
      <c r="D181" t="s">
        <v>1046</v>
      </c>
      <c r="E181">
        <v>13</v>
      </c>
      <c r="F181" t="s">
        <v>1417</v>
      </c>
      <c r="G181">
        <v>12</v>
      </c>
    </row>
    <row r="182" spans="1:7" hidden="1">
      <c r="A182">
        <v>179</v>
      </c>
      <c r="B182" t="s">
        <v>2022</v>
      </c>
      <c r="C182" t="s">
        <v>872</v>
      </c>
      <c r="D182" t="s">
        <v>1047</v>
      </c>
      <c r="E182">
        <v>14</v>
      </c>
      <c r="F182" t="s">
        <v>1418</v>
      </c>
      <c r="G182">
        <v>74</v>
      </c>
    </row>
    <row r="183" spans="1:7">
      <c r="A183">
        <v>180</v>
      </c>
      <c r="B183" t="s">
        <v>198</v>
      </c>
      <c r="C183" t="s">
        <v>872</v>
      </c>
      <c r="D183" t="s">
        <v>1075</v>
      </c>
      <c r="E183">
        <v>14</v>
      </c>
      <c r="F183" t="s">
        <v>1418</v>
      </c>
      <c r="G183">
        <v>-56</v>
      </c>
    </row>
    <row r="184" spans="1:7" hidden="1">
      <c r="A184">
        <v>181</v>
      </c>
      <c r="B184" t="s">
        <v>323</v>
      </c>
      <c r="C184" t="s">
        <v>921</v>
      </c>
      <c r="D184" t="s">
        <v>1062</v>
      </c>
      <c r="E184">
        <v>11</v>
      </c>
      <c r="F184" t="s">
        <v>1416</v>
      </c>
      <c r="G184">
        <v>-3</v>
      </c>
    </row>
    <row r="185" spans="1:7" hidden="1">
      <c r="A185">
        <v>182</v>
      </c>
      <c r="B185" t="s">
        <v>70</v>
      </c>
      <c r="C185" t="s">
        <v>871</v>
      </c>
      <c r="D185" t="s">
        <v>1091</v>
      </c>
      <c r="E185">
        <v>6</v>
      </c>
      <c r="F185" t="s">
        <v>1419</v>
      </c>
      <c r="G185">
        <v>-7</v>
      </c>
    </row>
    <row r="186" spans="1:7" hidden="1">
      <c r="A186">
        <v>183</v>
      </c>
      <c r="B186" t="s">
        <v>364</v>
      </c>
      <c r="C186" t="s">
        <v>907</v>
      </c>
      <c r="D186" t="s">
        <v>1101</v>
      </c>
      <c r="E186">
        <v>11</v>
      </c>
      <c r="F186" t="s">
        <v>1416</v>
      </c>
      <c r="G186">
        <v>-3</v>
      </c>
    </row>
    <row r="187" spans="1:7" hidden="1">
      <c r="A187">
        <v>184</v>
      </c>
      <c r="B187" t="s">
        <v>182</v>
      </c>
      <c r="C187" t="s">
        <v>927</v>
      </c>
      <c r="D187" t="s">
        <v>1064</v>
      </c>
      <c r="E187">
        <v>9</v>
      </c>
      <c r="F187" t="s">
        <v>1419</v>
      </c>
      <c r="G187">
        <v>24</v>
      </c>
    </row>
    <row r="188" spans="1:7" hidden="1">
      <c r="A188">
        <v>185</v>
      </c>
      <c r="B188" t="s">
        <v>185</v>
      </c>
      <c r="C188" t="s">
        <v>869</v>
      </c>
      <c r="D188" t="s">
        <v>1066</v>
      </c>
      <c r="E188">
        <v>6</v>
      </c>
      <c r="F188" t="s">
        <v>1420</v>
      </c>
      <c r="G188">
        <v>-3</v>
      </c>
    </row>
    <row r="189" spans="1:7" hidden="1">
      <c r="A189">
        <v>186</v>
      </c>
      <c r="B189" t="s">
        <v>1592</v>
      </c>
      <c r="C189" t="s">
        <v>881</v>
      </c>
      <c r="D189" t="s">
        <v>1068</v>
      </c>
      <c r="E189">
        <v>7</v>
      </c>
      <c r="F189" t="s">
        <v>1416</v>
      </c>
      <c r="G189">
        <v>7</v>
      </c>
    </row>
    <row r="190" spans="1:7" hidden="1">
      <c r="A190">
        <v>187</v>
      </c>
      <c r="B190" t="s">
        <v>312</v>
      </c>
      <c r="C190" t="s">
        <v>898</v>
      </c>
      <c r="D190" t="s">
        <v>1107</v>
      </c>
      <c r="E190">
        <v>7</v>
      </c>
      <c r="F190" t="s">
        <v>1416</v>
      </c>
      <c r="G190">
        <v>-2</v>
      </c>
    </row>
    <row r="191" spans="1:7" hidden="1">
      <c r="A191">
        <v>188</v>
      </c>
      <c r="B191" t="s">
        <v>249</v>
      </c>
      <c r="C191" t="s">
        <v>935</v>
      </c>
      <c r="D191" t="s">
        <v>1088</v>
      </c>
      <c r="E191">
        <v>10</v>
      </c>
      <c r="F191" t="s">
        <v>1418</v>
      </c>
      <c r="G191">
        <v>39</v>
      </c>
    </row>
    <row r="192" spans="1:7" hidden="1">
      <c r="A192">
        <v>189</v>
      </c>
      <c r="B192" t="s">
        <v>62</v>
      </c>
      <c r="C192" t="s">
        <v>937</v>
      </c>
      <c r="D192" t="s">
        <v>1089</v>
      </c>
      <c r="E192">
        <v>9</v>
      </c>
      <c r="F192" t="s">
        <v>1416</v>
      </c>
      <c r="G192">
        <v>-5</v>
      </c>
    </row>
    <row r="193" spans="1:7" hidden="1">
      <c r="A193">
        <v>190</v>
      </c>
      <c r="B193" t="s">
        <v>210</v>
      </c>
      <c r="C193" t="s">
        <v>898</v>
      </c>
      <c r="D193" t="s">
        <v>1070</v>
      </c>
      <c r="E193">
        <v>7</v>
      </c>
      <c r="F193" t="s">
        <v>1416</v>
      </c>
      <c r="G193">
        <v>29</v>
      </c>
    </row>
    <row r="194" spans="1:7">
      <c r="A194">
        <v>191</v>
      </c>
      <c r="B194" t="s">
        <v>203</v>
      </c>
      <c r="C194" t="s">
        <v>898</v>
      </c>
      <c r="D194" t="s">
        <v>1077</v>
      </c>
      <c r="E194">
        <v>7</v>
      </c>
      <c r="F194" t="s">
        <v>1418</v>
      </c>
      <c r="G194">
        <v>-40</v>
      </c>
    </row>
    <row r="195" spans="1:7">
      <c r="A195">
        <v>192</v>
      </c>
      <c r="B195" t="s">
        <v>214</v>
      </c>
      <c r="C195" t="s">
        <v>879</v>
      </c>
      <c r="D195" t="s">
        <v>1078</v>
      </c>
      <c r="E195">
        <v>8</v>
      </c>
      <c r="F195" t="s">
        <v>1418</v>
      </c>
      <c r="G195">
        <v>-22</v>
      </c>
    </row>
    <row r="196" spans="1:7" hidden="1">
      <c r="A196">
        <v>193</v>
      </c>
      <c r="B196" t="s">
        <v>181</v>
      </c>
      <c r="C196" t="s">
        <v>889</v>
      </c>
      <c r="D196" t="s">
        <v>1071</v>
      </c>
      <c r="E196">
        <v>13</v>
      </c>
      <c r="F196" t="s">
        <v>1419</v>
      </c>
      <c r="G196">
        <v>-12</v>
      </c>
    </row>
    <row r="197" spans="1:7" hidden="1">
      <c r="A197">
        <v>194</v>
      </c>
      <c r="B197" t="s">
        <v>187</v>
      </c>
      <c r="C197" t="s">
        <v>885</v>
      </c>
      <c r="D197" t="s">
        <v>1092</v>
      </c>
      <c r="E197">
        <v>13</v>
      </c>
      <c r="F197" t="s">
        <v>1417</v>
      </c>
      <c r="G197">
        <v>24</v>
      </c>
    </row>
    <row r="198" spans="1:7" hidden="1">
      <c r="A198">
        <v>195</v>
      </c>
      <c r="B198" t="s">
        <v>325</v>
      </c>
      <c r="C198" t="s">
        <v>898</v>
      </c>
      <c r="D198" t="s">
        <v>1102</v>
      </c>
      <c r="E198">
        <v>7</v>
      </c>
      <c r="F198" t="s">
        <v>1417</v>
      </c>
      <c r="G198">
        <v>-34</v>
      </c>
    </row>
    <row r="199" spans="1:7" hidden="1">
      <c r="A199">
        <v>196</v>
      </c>
      <c r="B199" t="s">
        <v>291</v>
      </c>
      <c r="C199" t="s">
        <v>877</v>
      </c>
      <c r="D199" t="s">
        <v>1096</v>
      </c>
      <c r="E199">
        <v>6</v>
      </c>
      <c r="F199" t="s">
        <v>1416</v>
      </c>
      <c r="G199">
        <v>46</v>
      </c>
    </row>
    <row r="200" spans="1:7" hidden="1">
      <c r="A200">
        <v>197</v>
      </c>
      <c r="B200" t="s">
        <v>2025</v>
      </c>
      <c r="C200" t="s">
        <v>873</v>
      </c>
      <c r="D200" t="s">
        <v>1108</v>
      </c>
      <c r="E200">
        <v>8</v>
      </c>
      <c r="F200" t="s">
        <v>1418</v>
      </c>
      <c r="G200">
        <v>18</v>
      </c>
    </row>
    <row r="201" spans="1:7">
      <c r="A201">
        <v>198</v>
      </c>
      <c r="B201" t="s">
        <v>361</v>
      </c>
      <c r="C201" t="s">
        <v>881</v>
      </c>
      <c r="D201" t="s">
        <v>1079</v>
      </c>
      <c r="E201">
        <v>7</v>
      </c>
      <c r="F201" t="s">
        <v>1417</v>
      </c>
      <c r="G201">
        <v>-27</v>
      </c>
    </row>
    <row r="202" spans="1:7" hidden="1">
      <c r="A202">
        <v>199</v>
      </c>
      <c r="B202" t="s">
        <v>2031</v>
      </c>
      <c r="C202" t="s">
        <v>889</v>
      </c>
      <c r="D202" t="s">
        <v>1097</v>
      </c>
      <c r="E202">
        <v>13</v>
      </c>
      <c r="F202" t="s">
        <v>1417</v>
      </c>
      <c r="G202">
        <v>-25</v>
      </c>
    </row>
    <row r="203" spans="1:7" hidden="1">
      <c r="A203">
        <v>200</v>
      </c>
      <c r="B203" t="s">
        <v>2028</v>
      </c>
      <c r="C203" t="s">
        <v>937</v>
      </c>
      <c r="D203" t="s">
        <v>1109</v>
      </c>
      <c r="E203">
        <v>9</v>
      </c>
      <c r="F203" t="s">
        <v>1416</v>
      </c>
      <c r="G203">
        <v>16</v>
      </c>
    </row>
    <row r="204" spans="1:7" hidden="1">
      <c r="A204">
        <v>201</v>
      </c>
      <c r="B204" t="s">
        <v>79</v>
      </c>
      <c r="C204" t="s">
        <v>881</v>
      </c>
      <c r="D204" t="s">
        <v>1098</v>
      </c>
      <c r="E204">
        <v>7</v>
      </c>
      <c r="F204" t="s">
        <v>1417</v>
      </c>
      <c r="G204">
        <v>98</v>
      </c>
    </row>
    <row r="205" spans="1:7">
      <c r="A205">
        <v>202</v>
      </c>
      <c r="B205" t="s">
        <v>335</v>
      </c>
      <c r="C205" t="s">
        <v>907</v>
      </c>
      <c r="D205" t="s">
        <v>1080</v>
      </c>
      <c r="E205">
        <v>11</v>
      </c>
      <c r="F205" t="s">
        <v>1417</v>
      </c>
      <c r="G205">
        <v>-36</v>
      </c>
    </row>
    <row r="206" spans="1:7" hidden="1">
      <c r="A206">
        <v>203</v>
      </c>
      <c r="B206" t="s">
        <v>2012</v>
      </c>
      <c r="C206" t="s">
        <v>910</v>
      </c>
      <c r="D206" t="s">
        <v>1110</v>
      </c>
      <c r="E206">
        <v>13</v>
      </c>
      <c r="F206" t="s">
        <v>1417</v>
      </c>
      <c r="G206">
        <v>-46</v>
      </c>
    </row>
    <row r="207" spans="1:7" hidden="1">
      <c r="A207">
        <v>204</v>
      </c>
      <c r="B207" t="s">
        <v>2039</v>
      </c>
      <c r="C207" t="s">
        <v>872</v>
      </c>
      <c r="D207" t="s">
        <v>1116</v>
      </c>
      <c r="E207">
        <v>14</v>
      </c>
      <c r="F207" t="s">
        <v>1417</v>
      </c>
      <c r="G207">
        <v>58</v>
      </c>
    </row>
    <row r="208" spans="1:7" hidden="1">
      <c r="A208">
        <v>205</v>
      </c>
      <c r="B208" t="s">
        <v>270</v>
      </c>
      <c r="C208" t="s">
        <v>893</v>
      </c>
      <c r="D208" t="s">
        <v>1117</v>
      </c>
      <c r="E208">
        <v>10</v>
      </c>
      <c r="F208" t="s">
        <v>1418</v>
      </c>
      <c r="G208">
        <v>-5</v>
      </c>
    </row>
    <row r="209" spans="1:7" hidden="1">
      <c r="A209">
        <v>206</v>
      </c>
      <c r="B209" t="s">
        <v>480</v>
      </c>
      <c r="C209" t="s">
        <v>891</v>
      </c>
      <c r="D209" t="s">
        <v>1115</v>
      </c>
      <c r="E209">
        <v>14</v>
      </c>
      <c r="F209" t="s">
        <v>1418</v>
      </c>
      <c r="G209">
        <v>7</v>
      </c>
    </row>
    <row r="210" spans="1:7" hidden="1">
      <c r="A210">
        <v>207</v>
      </c>
      <c r="B210" t="s">
        <v>2026</v>
      </c>
      <c r="C210" t="s">
        <v>902</v>
      </c>
      <c r="D210" t="s">
        <v>1118</v>
      </c>
      <c r="E210">
        <v>7</v>
      </c>
      <c r="F210" t="s">
        <v>1417</v>
      </c>
      <c r="G210">
        <v>0</v>
      </c>
    </row>
    <row r="211" spans="1:7" hidden="1">
      <c r="A211">
        <v>208</v>
      </c>
      <c r="B211" t="s">
        <v>81</v>
      </c>
      <c r="C211" t="s">
        <v>869</v>
      </c>
      <c r="D211" t="s">
        <v>1111</v>
      </c>
      <c r="E211">
        <v>6</v>
      </c>
      <c r="F211" t="s">
        <v>1417</v>
      </c>
      <c r="G211">
        <v>-55</v>
      </c>
    </row>
    <row r="212" spans="1:7" hidden="1">
      <c r="A212">
        <v>209</v>
      </c>
      <c r="B212" t="s">
        <v>146</v>
      </c>
      <c r="C212" t="s">
        <v>889</v>
      </c>
      <c r="D212" t="s">
        <v>1099</v>
      </c>
      <c r="E212">
        <v>13</v>
      </c>
      <c r="F212" t="s">
        <v>1417</v>
      </c>
      <c r="G212">
        <v>87</v>
      </c>
    </row>
    <row r="213" spans="1:7" hidden="1">
      <c r="A213">
        <v>210</v>
      </c>
      <c r="B213" t="s">
        <v>244</v>
      </c>
      <c r="C213" t="s">
        <v>879</v>
      </c>
      <c r="D213" t="s">
        <v>1100</v>
      </c>
      <c r="E213">
        <v>8</v>
      </c>
      <c r="F213" t="s">
        <v>1416</v>
      </c>
      <c r="G213">
        <v>49</v>
      </c>
    </row>
    <row r="214" spans="1:7" hidden="1">
      <c r="A214">
        <v>211</v>
      </c>
      <c r="B214" t="s">
        <v>199</v>
      </c>
      <c r="C214" t="s">
        <v>925</v>
      </c>
      <c r="D214" t="s">
        <v>1073</v>
      </c>
      <c r="E214">
        <v>5</v>
      </c>
      <c r="F214" t="s">
        <v>1416</v>
      </c>
      <c r="G214">
        <v>39</v>
      </c>
    </row>
    <row r="215" spans="1:7" hidden="1">
      <c r="A215">
        <v>212</v>
      </c>
      <c r="B215" t="s">
        <v>215</v>
      </c>
      <c r="C215" t="s">
        <v>887</v>
      </c>
      <c r="D215" t="s">
        <v>1131</v>
      </c>
      <c r="E215">
        <v>11</v>
      </c>
      <c r="F215" t="s">
        <v>1418</v>
      </c>
      <c r="G215">
        <v>28</v>
      </c>
    </row>
    <row r="216" spans="1:7" hidden="1">
      <c r="A216">
        <v>213</v>
      </c>
      <c r="B216" t="s">
        <v>300</v>
      </c>
      <c r="C216" t="s">
        <v>871</v>
      </c>
      <c r="D216" t="s">
        <v>1103</v>
      </c>
      <c r="E216">
        <v>6</v>
      </c>
      <c r="F216" t="s">
        <v>1417</v>
      </c>
      <c r="G216">
        <v>42</v>
      </c>
    </row>
    <row r="217" spans="1:7">
      <c r="A217">
        <v>214</v>
      </c>
      <c r="B217" t="s">
        <v>380</v>
      </c>
      <c r="C217" t="s">
        <v>873</v>
      </c>
      <c r="D217" t="s">
        <v>1081</v>
      </c>
      <c r="E217">
        <v>8</v>
      </c>
      <c r="F217" t="s">
        <v>1419</v>
      </c>
      <c r="G217">
        <v>7</v>
      </c>
    </row>
    <row r="218" spans="1:7">
      <c r="A218">
        <v>215</v>
      </c>
      <c r="B218" t="s">
        <v>319</v>
      </c>
      <c r="C218" t="s">
        <v>889</v>
      </c>
      <c r="D218" t="s">
        <v>1082</v>
      </c>
      <c r="E218">
        <v>13</v>
      </c>
      <c r="F218" t="s">
        <v>1416</v>
      </c>
      <c r="G218">
        <v>-29</v>
      </c>
    </row>
    <row r="219" spans="1:7" hidden="1">
      <c r="A219">
        <v>216</v>
      </c>
      <c r="B219" t="s">
        <v>209</v>
      </c>
      <c r="C219" t="s">
        <v>927</v>
      </c>
      <c r="D219" t="s">
        <v>1112</v>
      </c>
      <c r="E219">
        <v>9</v>
      </c>
      <c r="F219" t="s">
        <v>1418</v>
      </c>
      <c r="G219">
        <v>64</v>
      </c>
    </row>
    <row r="220" spans="1:7" hidden="1">
      <c r="A220">
        <v>217</v>
      </c>
      <c r="B220" t="s">
        <v>160</v>
      </c>
      <c r="C220" t="s">
        <v>877</v>
      </c>
      <c r="D220" t="s">
        <v>1120</v>
      </c>
      <c r="E220">
        <v>6</v>
      </c>
      <c r="F220" t="s">
        <v>1416</v>
      </c>
      <c r="G220">
        <v>6</v>
      </c>
    </row>
    <row r="221" spans="1:7" hidden="1">
      <c r="A221">
        <v>218</v>
      </c>
      <c r="B221" t="s">
        <v>120</v>
      </c>
      <c r="C221" t="s">
        <v>875</v>
      </c>
      <c r="D221" t="s">
        <v>1121</v>
      </c>
      <c r="E221">
        <v>8</v>
      </c>
      <c r="F221" t="s">
        <v>1417</v>
      </c>
      <c r="G221">
        <v>-20</v>
      </c>
    </row>
    <row r="222" spans="1:7" hidden="1">
      <c r="A222">
        <v>219</v>
      </c>
      <c r="B222" t="s">
        <v>322</v>
      </c>
      <c r="C222" t="s">
        <v>907</v>
      </c>
      <c r="D222" t="s">
        <v>1136</v>
      </c>
      <c r="E222">
        <v>11</v>
      </c>
      <c r="F222" t="s">
        <v>1417</v>
      </c>
      <c r="G222">
        <v>-8</v>
      </c>
    </row>
    <row r="223" spans="1:7">
      <c r="A223">
        <v>220</v>
      </c>
      <c r="B223" t="s">
        <v>202</v>
      </c>
      <c r="C223" t="s">
        <v>871</v>
      </c>
      <c r="D223" t="s">
        <v>1083</v>
      </c>
      <c r="E223">
        <v>6</v>
      </c>
      <c r="F223" t="s">
        <v>1419</v>
      </c>
      <c r="G223">
        <v>-10</v>
      </c>
    </row>
    <row r="224" spans="1:7">
      <c r="A224">
        <v>221</v>
      </c>
      <c r="B224" t="s">
        <v>229</v>
      </c>
      <c r="C224" t="s">
        <v>866</v>
      </c>
      <c r="D224" t="s">
        <v>1084</v>
      </c>
      <c r="E224">
        <v>6</v>
      </c>
      <c r="F224" t="s">
        <v>1418</v>
      </c>
      <c r="G224">
        <v>49</v>
      </c>
    </row>
    <row r="225" spans="1:7" hidden="1">
      <c r="A225">
        <v>222</v>
      </c>
      <c r="B225" t="s">
        <v>75</v>
      </c>
      <c r="C225" t="s">
        <v>887</v>
      </c>
      <c r="D225" t="s">
        <v>1137</v>
      </c>
      <c r="E225">
        <v>11</v>
      </c>
      <c r="F225" t="s">
        <v>1417</v>
      </c>
      <c r="G225">
        <v>-33</v>
      </c>
    </row>
    <row r="226" spans="1:7" hidden="1">
      <c r="A226">
        <v>223</v>
      </c>
      <c r="B226" t="s">
        <v>223</v>
      </c>
      <c r="C226" t="s">
        <v>927</v>
      </c>
      <c r="D226" t="s">
        <v>1165</v>
      </c>
      <c r="E226">
        <v>9</v>
      </c>
      <c r="F226" t="s">
        <v>1418</v>
      </c>
      <c r="G226">
        <v>12</v>
      </c>
    </row>
    <row r="227" spans="1:7" hidden="1">
      <c r="A227">
        <v>224</v>
      </c>
      <c r="B227" t="s">
        <v>1541</v>
      </c>
      <c r="C227" t="s">
        <v>907</v>
      </c>
      <c r="D227" t="s">
        <v>1138</v>
      </c>
      <c r="E227">
        <v>11</v>
      </c>
      <c r="F227" t="s">
        <v>1417</v>
      </c>
      <c r="G227">
        <v>21</v>
      </c>
    </row>
    <row r="228" spans="1:7" hidden="1">
      <c r="A228">
        <v>225</v>
      </c>
      <c r="B228" t="s">
        <v>129</v>
      </c>
      <c r="C228" t="s">
        <v>875</v>
      </c>
      <c r="D228" t="s">
        <v>1104</v>
      </c>
      <c r="E228">
        <v>8</v>
      </c>
      <c r="F228" t="s">
        <v>1417</v>
      </c>
      <c r="G228">
        <v>56</v>
      </c>
    </row>
    <row r="229" spans="1:7" hidden="1">
      <c r="A229">
        <v>226</v>
      </c>
      <c r="B229" t="s">
        <v>2050</v>
      </c>
      <c r="C229" t="s">
        <v>875</v>
      </c>
      <c r="D229" t="s">
        <v>1105</v>
      </c>
      <c r="E229">
        <v>8</v>
      </c>
      <c r="F229" t="s">
        <v>1417</v>
      </c>
      <c r="G229">
        <v>-1</v>
      </c>
    </row>
    <row r="230" spans="1:7">
      <c r="A230">
        <v>227</v>
      </c>
      <c r="B230" t="s">
        <v>406</v>
      </c>
      <c r="C230" t="s">
        <v>929</v>
      </c>
      <c r="D230" t="s">
        <v>1085</v>
      </c>
      <c r="E230">
        <v>10</v>
      </c>
      <c r="F230" t="s">
        <v>1421</v>
      </c>
      <c r="G230">
        <v>39</v>
      </c>
    </row>
    <row r="231" spans="1:7" hidden="1">
      <c r="A231">
        <v>228</v>
      </c>
      <c r="B231" t="s">
        <v>201</v>
      </c>
      <c r="C231" t="s">
        <v>871</v>
      </c>
      <c r="D231" t="s">
        <v>1132</v>
      </c>
      <c r="E231">
        <v>6</v>
      </c>
      <c r="F231" t="s">
        <v>1419</v>
      </c>
      <c r="G231">
        <v>3</v>
      </c>
    </row>
    <row r="232" spans="1:7" hidden="1">
      <c r="A232">
        <v>229</v>
      </c>
      <c r="B232" t="s">
        <v>2023</v>
      </c>
      <c r="C232" t="s">
        <v>877</v>
      </c>
      <c r="D232" t="s">
        <v>1106</v>
      </c>
      <c r="E232">
        <v>6</v>
      </c>
      <c r="F232" t="s">
        <v>1416</v>
      </c>
      <c r="G232">
        <v>1</v>
      </c>
    </row>
    <row r="233" spans="1:7" hidden="1">
      <c r="A233">
        <v>230</v>
      </c>
      <c r="B233" t="s">
        <v>2030</v>
      </c>
      <c r="C233" t="s">
        <v>877</v>
      </c>
      <c r="D233" t="s">
        <v>1119</v>
      </c>
      <c r="E233">
        <v>6</v>
      </c>
      <c r="F233" t="s">
        <v>1416</v>
      </c>
      <c r="G233">
        <v>31</v>
      </c>
    </row>
    <row r="234" spans="1:7" hidden="1">
      <c r="A234">
        <v>231</v>
      </c>
      <c r="B234" t="s">
        <v>2021</v>
      </c>
      <c r="C234" t="s">
        <v>868</v>
      </c>
      <c r="D234" t="s">
        <v>1122</v>
      </c>
      <c r="E234">
        <v>11</v>
      </c>
      <c r="F234" t="s">
        <v>1416</v>
      </c>
      <c r="G234">
        <v>25</v>
      </c>
    </row>
    <row r="235" spans="1:7" hidden="1">
      <c r="A235">
        <v>232</v>
      </c>
      <c r="B235" t="s">
        <v>377</v>
      </c>
      <c r="C235" t="s">
        <v>937</v>
      </c>
      <c r="D235" t="s">
        <v>1156</v>
      </c>
      <c r="E235">
        <v>9</v>
      </c>
      <c r="F235" t="s">
        <v>1416</v>
      </c>
      <c r="G235">
        <v>-27</v>
      </c>
    </row>
    <row r="236" spans="1:7" hidden="1">
      <c r="A236">
        <v>233</v>
      </c>
      <c r="B236" t="s">
        <v>197</v>
      </c>
      <c r="C236" t="s">
        <v>901</v>
      </c>
      <c r="D236" t="s">
        <v>1151</v>
      </c>
      <c r="E236">
        <v>7</v>
      </c>
      <c r="F236" t="s">
        <v>1416</v>
      </c>
      <c r="G236">
        <v>25</v>
      </c>
    </row>
    <row r="237" spans="1:7">
      <c r="A237">
        <v>234</v>
      </c>
      <c r="B237" t="s">
        <v>2049</v>
      </c>
      <c r="C237" t="s">
        <v>921</v>
      </c>
      <c r="D237" t="s">
        <v>1086</v>
      </c>
      <c r="E237">
        <v>11</v>
      </c>
      <c r="F237" t="s">
        <v>1420</v>
      </c>
      <c r="G237">
        <v>-20</v>
      </c>
    </row>
    <row r="238" spans="1:7" hidden="1">
      <c r="A238">
        <v>235</v>
      </c>
      <c r="B238" t="s">
        <v>172</v>
      </c>
      <c r="C238" t="s">
        <v>910</v>
      </c>
      <c r="D238" t="s">
        <v>1166</v>
      </c>
      <c r="E238">
        <v>13</v>
      </c>
      <c r="F238" t="s">
        <v>1417</v>
      </c>
      <c r="G238">
        <v>-6</v>
      </c>
    </row>
    <row r="239" spans="1:7">
      <c r="A239">
        <v>236</v>
      </c>
      <c r="B239" t="s">
        <v>212</v>
      </c>
      <c r="C239" t="s">
        <v>893</v>
      </c>
      <c r="D239" t="s">
        <v>1087</v>
      </c>
      <c r="E239">
        <v>10</v>
      </c>
      <c r="F239" t="s">
        <v>1416</v>
      </c>
      <c r="G239">
        <v>33</v>
      </c>
    </row>
    <row r="240" spans="1:7" hidden="1">
      <c r="A240">
        <v>237</v>
      </c>
      <c r="B240" t="s">
        <v>127</v>
      </c>
      <c r="C240" t="s">
        <v>907</v>
      </c>
      <c r="D240" t="s">
        <v>1124</v>
      </c>
      <c r="E240">
        <v>11</v>
      </c>
      <c r="F240" t="s">
        <v>1416</v>
      </c>
      <c r="G240">
        <v>50</v>
      </c>
    </row>
    <row r="241" spans="1:7">
      <c r="A241">
        <v>238</v>
      </c>
      <c r="B241" t="s">
        <v>2011</v>
      </c>
      <c r="C241" t="s">
        <v>874</v>
      </c>
      <c r="D241" t="s">
        <v>1134</v>
      </c>
      <c r="E241">
        <v>11</v>
      </c>
      <c r="F241" t="s">
        <v>1418</v>
      </c>
      <c r="G241">
        <v>-47</v>
      </c>
    </row>
    <row r="242" spans="1:7" hidden="1">
      <c r="A242">
        <v>239</v>
      </c>
      <c r="B242" t="s">
        <v>213</v>
      </c>
      <c r="C242" t="s">
        <v>893</v>
      </c>
      <c r="D242" t="s">
        <v>1157</v>
      </c>
      <c r="E242">
        <v>10</v>
      </c>
      <c r="F242" t="s">
        <v>1418</v>
      </c>
      <c r="G242">
        <v>-42</v>
      </c>
    </row>
    <row r="243" spans="1:7" hidden="1">
      <c r="A243">
        <v>240</v>
      </c>
      <c r="B243" t="s">
        <v>293</v>
      </c>
      <c r="C243" t="s">
        <v>941</v>
      </c>
      <c r="D243" t="s">
        <v>1152</v>
      </c>
      <c r="E243">
        <v>11</v>
      </c>
      <c r="F243" t="s">
        <v>1419</v>
      </c>
      <c r="G243">
        <v>53</v>
      </c>
    </row>
    <row r="244" spans="1:7" hidden="1">
      <c r="A244">
        <v>241</v>
      </c>
      <c r="B244" t="s">
        <v>449</v>
      </c>
      <c r="C244" t="s">
        <v>877</v>
      </c>
      <c r="D244" t="s">
        <v>1158</v>
      </c>
      <c r="E244">
        <v>6</v>
      </c>
      <c r="F244" t="s">
        <v>1419</v>
      </c>
      <c r="G244">
        <v>30</v>
      </c>
    </row>
    <row r="245" spans="1:7" hidden="1">
      <c r="A245">
        <v>242</v>
      </c>
      <c r="B245" t="s">
        <v>52</v>
      </c>
      <c r="C245" t="s">
        <v>891</v>
      </c>
      <c r="D245" t="s">
        <v>1139</v>
      </c>
      <c r="E245">
        <v>14</v>
      </c>
      <c r="F245" t="s">
        <v>1418</v>
      </c>
      <c r="G245">
        <v>-63</v>
      </c>
    </row>
    <row r="246" spans="1:7" hidden="1">
      <c r="A246">
        <v>243</v>
      </c>
      <c r="B246" t="s">
        <v>359</v>
      </c>
      <c r="C246" t="s">
        <v>935</v>
      </c>
      <c r="D246" t="s">
        <v>1125</v>
      </c>
      <c r="E246">
        <v>10</v>
      </c>
      <c r="F246" t="s">
        <v>1418</v>
      </c>
      <c r="G246">
        <v>14</v>
      </c>
    </row>
    <row r="247" spans="1:7" hidden="1">
      <c r="A247">
        <v>244</v>
      </c>
      <c r="B247" t="s">
        <v>383</v>
      </c>
      <c r="C247" t="s">
        <v>879</v>
      </c>
      <c r="D247" t="s">
        <v>1126</v>
      </c>
      <c r="E247">
        <v>8</v>
      </c>
      <c r="F247" t="s">
        <v>1416</v>
      </c>
      <c r="G247">
        <v>24</v>
      </c>
    </row>
    <row r="248" spans="1:7" hidden="1">
      <c r="A248">
        <v>245</v>
      </c>
      <c r="B248" t="s">
        <v>2017</v>
      </c>
      <c r="C248" t="s">
        <v>927</v>
      </c>
      <c r="D248" t="s">
        <v>1127</v>
      </c>
      <c r="E248">
        <v>9</v>
      </c>
      <c r="F248" t="s">
        <v>1416</v>
      </c>
      <c r="G248">
        <v>33</v>
      </c>
    </row>
    <row r="249" spans="1:7" hidden="1">
      <c r="A249">
        <v>246</v>
      </c>
      <c r="B249" t="s">
        <v>326</v>
      </c>
      <c r="C249" t="s">
        <v>887</v>
      </c>
      <c r="D249" t="s">
        <v>1140</v>
      </c>
      <c r="E249">
        <v>11</v>
      </c>
      <c r="F249" t="s">
        <v>1417</v>
      </c>
      <c r="G249">
        <v>19</v>
      </c>
    </row>
    <row r="250" spans="1:7" hidden="1">
      <c r="A250">
        <v>247</v>
      </c>
      <c r="B250" t="s">
        <v>2018</v>
      </c>
      <c r="C250" t="s">
        <v>902</v>
      </c>
      <c r="D250" t="s">
        <v>1128</v>
      </c>
      <c r="E250">
        <v>7</v>
      </c>
      <c r="F250" t="s">
        <v>1418</v>
      </c>
      <c r="G250">
        <v>-13</v>
      </c>
    </row>
    <row r="251" spans="1:7" hidden="1">
      <c r="A251">
        <v>248</v>
      </c>
      <c r="B251" t="s">
        <v>239</v>
      </c>
      <c r="C251" t="s">
        <v>889</v>
      </c>
      <c r="D251" t="s">
        <v>1141</v>
      </c>
      <c r="E251">
        <v>13</v>
      </c>
      <c r="F251" t="s">
        <v>1416</v>
      </c>
      <c r="G251">
        <v>-10</v>
      </c>
    </row>
    <row r="252" spans="1:7" hidden="1">
      <c r="A252">
        <v>249</v>
      </c>
      <c r="B252" t="s">
        <v>131</v>
      </c>
      <c r="C252" t="s">
        <v>901</v>
      </c>
      <c r="D252" t="s">
        <v>1129</v>
      </c>
      <c r="E252">
        <v>7</v>
      </c>
      <c r="F252" t="s">
        <v>1417</v>
      </c>
      <c r="G252">
        <v>30</v>
      </c>
    </row>
    <row r="253" spans="1:7" hidden="1">
      <c r="A253">
        <v>250</v>
      </c>
      <c r="B253" t="s">
        <v>2047</v>
      </c>
      <c r="C253" t="s">
        <v>893</v>
      </c>
      <c r="D253" t="s">
        <v>1130</v>
      </c>
      <c r="E253">
        <v>10</v>
      </c>
      <c r="F253" t="s">
        <v>1417</v>
      </c>
      <c r="G253">
        <v>-6</v>
      </c>
    </row>
    <row r="254" spans="1:7" hidden="1">
      <c r="A254">
        <v>251</v>
      </c>
      <c r="B254" t="s">
        <v>101</v>
      </c>
      <c r="C254" t="s">
        <v>898</v>
      </c>
      <c r="D254" t="s">
        <v>1189</v>
      </c>
      <c r="E254">
        <v>7</v>
      </c>
      <c r="F254" t="s">
        <v>1417</v>
      </c>
      <c r="G254">
        <v>-88</v>
      </c>
    </row>
    <row r="255" spans="1:7" hidden="1">
      <c r="A255">
        <v>252</v>
      </c>
      <c r="B255" t="s">
        <v>256</v>
      </c>
      <c r="C255" t="s">
        <v>877</v>
      </c>
      <c r="D255" t="s">
        <v>1142</v>
      </c>
      <c r="E255">
        <v>6</v>
      </c>
      <c r="F255" t="s">
        <v>1416</v>
      </c>
      <c r="G255">
        <v>58</v>
      </c>
    </row>
    <row r="256" spans="1:7" hidden="1">
      <c r="A256">
        <v>253</v>
      </c>
      <c r="B256" t="s">
        <v>2029</v>
      </c>
      <c r="C256" t="s">
        <v>869</v>
      </c>
      <c r="D256" t="s">
        <v>1143</v>
      </c>
      <c r="E256">
        <v>6</v>
      </c>
      <c r="F256" t="s">
        <v>1417</v>
      </c>
      <c r="G256">
        <v>-21</v>
      </c>
    </row>
    <row r="257" spans="1:7">
      <c r="A257">
        <v>254</v>
      </c>
      <c r="B257" t="s">
        <v>225</v>
      </c>
      <c r="C257" t="s">
        <v>925</v>
      </c>
      <c r="D257" t="s">
        <v>1135</v>
      </c>
      <c r="E257">
        <v>5</v>
      </c>
      <c r="F257" t="s">
        <v>1419</v>
      </c>
      <c r="G257">
        <v>-48</v>
      </c>
    </row>
    <row r="258" spans="1:7" hidden="1">
      <c r="A258">
        <v>255</v>
      </c>
      <c r="B258" t="s">
        <v>272</v>
      </c>
      <c r="C258" t="s">
        <v>916</v>
      </c>
      <c r="D258" t="s">
        <v>1149</v>
      </c>
      <c r="E258">
        <v>8</v>
      </c>
      <c r="F258" t="s">
        <v>1416</v>
      </c>
      <c r="G258">
        <v>-6</v>
      </c>
    </row>
    <row r="259" spans="1:7" hidden="1">
      <c r="A259">
        <v>256</v>
      </c>
      <c r="B259" t="s">
        <v>345</v>
      </c>
      <c r="C259" t="s">
        <v>866</v>
      </c>
      <c r="D259" t="s">
        <v>1144</v>
      </c>
      <c r="E259">
        <v>6</v>
      </c>
      <c r="F259" t="s">
        <v>1418</v>
      </c>
      <c r="G259">
        <v>50</v>
      </c>
    </row>
    <row r="260" spans="1:7">
      <c r="A260">
        <v>257</v>
      </c>
      <c r="B260" t="s">
        <v>211</v>
      </c>
      <c r="C260" t="s">
        <v>927</v>
      </c>
      <c r="D260" t="s">
        <v>1154</v>
      </c>
      <c r="E260">
        <v>9</v>
      </c>
      <c r="F260" t="s">
        <v>1417</v>
      </c>
      <c r="G260">
        <v>-33</v>
      </c>
    </row>
    <row r="261" spans="1:7" hidden="1">
      <c r="A261">
        <v>258</v>
      </c>
      <c r="B261" t="s">
        <v>2040</v>
      </c>
      <c r="C261" t="s">
        <v>885</v>
      </c>
      <c r="D261" t="s">
        <v>1145</v>
      </c>
      <c r="E261">
        <v>13</v>
      </c>
      <c r="F261" t="s">
        <v>1417</v>
      </c>
      <c r="G261">
        <v>37</v>
      </c>
    </row>
    <row r="262" spans="1:7" hidden="1">
      <c r="A262">
        <v>259</v>
      </c>
      <c r="B262" t="s">
        <v>108</v>
      </c>
      <c r="C262" t="s">
        <v>935</v>
      </c>
      <c r="D262" t="s">
        <v>1190</v>
      </c>
      <c r="E262">
        <v>10</v>
      </c>
      <c r="F262" t="s">
        <v>1417</v>
      </c>
      <c r="G262">
        <v>38</v>
      </c>
    </row>
    <row r="263" spans="1:7" hidden="1">
      <c r="A263">
        <v>260</v>
      </c>
      <c r="B263" t="s">
        <v>255</v>
      </c>
      <c r="C263" t="s">
        <v>937</v>
      </c>
      <c r="D263" t="s">
        <v>1150</v>
      </c>
      <c r="E263">
        <v>9</v>
      </c>
      <c r="F263" t="s">
        <v>1416</v>
      </c>
      <c r="G263">
        <v>15</v>
      </c>
    </row>
    <row r="264" spans="1:7" hidden="1">
      <c r="A264">
        <v>261</v>
      </c>
      <c r="B264" t="s">
        <v>2053</v>
      </c>
      <c r="C264" t="s">
        <v>925</v>
      </c>
      <c r="D264" t="s">
        <v>1159</v>
      </c>
      <c r="E264">
        <v>5</v>
      </c>
      <c r="F264" t="s">
        <v>1418</v>
      </c>
      <c r="G264">
        <v>-9</v>
      </c>
    </row>
    <row r="265" spans="1:7" hidden="1">
      <c r="A265">
        <v>262</v>
      </c>
      <c r="B265" t="s">
        <v>451</v>
      </c>
      <c r="C265" t="s">
        <v>925</v>
      </c>
      <c r="D265" t="s">
        <v>1160</v>
      </c>
      <c r="E265">
        <v>5</v>
      </c>
      <c r="F265" t="s">
        <v>1418</v>
      </c>
      <c r="G265" t="s">
        <v>1422</v>
      </c>
    </row>
    <row r="266" spans="1:7" hidden="1">
      <c r="A266">
        <v>263</v>
      </c>
      <c r="B266" t="s">
        <v>481</v>
      </c>
      <c r="C266" t="s">
        <v>874</v>
      </c>
      <c r="D266" t="s">
        <v>1191</v>
      </c>
      <c r="E266">
        <v>11</v>
      </c>
      <c r="F266" t="s">
        <v>1417</v>
      </c>
      <c r="G266">
        <v>-86</v>
      </c>
    </row>
    <row r="267" spans="1:7" hidden="1">
      <c r="A267">
        <v>264</v>
      </c>
      <c r="B267" t="s">
        <v>287</v>
      </c>
      <c r="C267" t="s">
        <v>873</v>
      </c>
      <c r="D267" t="s">
        <v>1146</v>
      </c>
      <c r="E267">
        <v>8</v>
      </c>
      <c r="F267" t="s">
        <v>1418</v>
      </c>
      <c r="G267">
        <v>28</v>
      </c>
    </row>
    <row r="268" spans="1:7" hidden="1">
      <c r="A268">
        <v>265</v>
      </c>
      <c r="B268" t="s">
        <v>376</v>
      </c>
      <c r="C268" t="s">
        <v>937</v>
      </c>
      <c r="D268" t="s">
        <v>1161</v>
      </c>
      <c r="E268">
        <v>9</v>
      </c>
      <c r="F268" t="s">
        <v>1416</v>
      </c>
      <c r="G268">
        <v>-5</v>
      </c>
    </row>
    <row r="269" spans="1:7" hidden="1">
      <c r="A269">
        <v>266</v>
      </c>
      <c r="B269" t="s">
        <v>204</v>
      </c>
      <c r="C269" t="s">
        <v>916</v>
      </c>
      <c r="D269" t="s">
        <v>1147</v>
      </c>
      <c r="E269">
        <v>8</v>
      </c>
      <c r="F269" t="s">
        <v>1416</v>
      </c>
      <c r="G269">
        <v>6</v>
      </c>
    </row>
    <row r="270" spans="1:7" hidden="1">
      <c r="A270">
        <v>267</v>
      </c>
      <c r="B270" t="s">
        <v>295</v>
      </c>
      <c r="C270" t="s">
        <v>910</v>
      </c>
      <c r="D270" t="s">
        <v>1148</v>
      </c>
      <c r="E270">
        <v>13</v>
      </c>
      <c r="F270" t="s">
        <v>1416</v>
      </c>
      <c r="G270" t="s">
        <v>1422</v>
      </c>
    </row>
    <row r="271" spans="1:7" hidden="1">
      <c r="A271">
        <v>268</v>
      </c>
      <c r="B271" t="s">
        <v>231</v>
      </c>
      <c r="C271" t="s">
        <v>876</v>
      </c>
      <c r="D271" t="s">
        <v>1162</v>
      </c>
      <c r="E271">
        <v>13</v>
      </c>
      <c r="F271" t="s">
        <v>1418</v>
      </c>
      <c r="G271">
        <v>23</v>
      </c>
    </row>
    <row r="272" spans="1:7" hidden="1">
      <c r="A272">
        <v>269</v>
      </c>
      <c r="B272" t="s">
        <v>296</v>
      </c>
      <c r="C272" t="s">
        <v>907</v>
      </c>
      <c r="D272" t="s">
        <v>1169</v>
      </c>
      <c r="E272">
        <v>11</v>
      </c>
      <c r="F272" t="s">
        <v>1416</v>
      </c>
      <c r="G272">
        <v>20</v>
      </c>
    </row>
    <row r="273" spans="1:7" hidden="1">
      <c r="A273">
        <v>270</v>
      </c>
      <c r="B273" t="s">
        <v>280</v>
      </c>
      <c r="C273" t="s">
        <v>901</v>
      </c>
      <c r="D273" t="s">
        <v>1163</v>
      </c>
      <c r="E273">
        <v>7</v>
      </c>
      <c r="F273" t="s">
        <v>1418</v>
      </c>
      <c r="G273">
        <v>14</v>
      </c>
    </row>
    <row r="274" spans="1:7">
      <c r="A274">
        <v>271</v>
      </c>
      <c r="B274" t="s">
        <v>207</v>
      </c>
      <c r="C274" t="s">
        <v>935</v>
      </c>
      <c r="D274" t="s">
        <v>1155</v>
      </c>
      <c r="E274">
        <v>10</v>
      </c>
      <c r="F274" t="s">
        <v>1420</v>
      </c>
      <c r="G274">
        <v>-28</v>
      </c>
    </row>
    <row r="275" spans="1:7" hidden="1">
      <c r="A275">
        <v>272</v>
      </c>
      <c r="B275" t="s">
        <v>2027</v>
      </c>
      <c r="C275" t="s">
        <v>876</v>
      </c>
      <c r="D275" t="s">
        <v>1167</v>
      </c>
      <c r="E275">
        <v>13</v>
      </c>
      <c r="F275" t="s">
        <v>1420</v>
      </c>
      <c r="G275">
        <v>-70</v>
      </c>
    </row>
    <row r="276" spans="1:7">
      <c r="A276">
        <v>273</v>
      </c>
      <c r="B276" t="s">
        <v>316</v>
      </c>
      <c r="C276" t="s">
        <v>869</v>
      </c>
      <c r="D276" t="s">
        <v>1187</v>
      </c>
      <c r="E276">
        <v>6</v>
      </c>
      <c r="F276" t="s">
        <v>1418</v>
      </c>
      <c r="G276">
        <v>-37</v>
      </c>
    </row>
    <row r="277" spans="1:7" hidden="1">
      <c r="A277">
        <v>274</v>
      </c>
      <c r="B277" t="s">
        <v>2038</v>
      </c>
      <c r="C277" t="s">
        <v>889</v>
      </c>
      <c r="D277" t="s">
        <v>1170</v>
      </c>
      <c r="E277">
        <v>13</v>
      </c>
      <c r="F277" t="s">
        <v>1417</v>
      </c>
      <c r="G277">
        <v>20</v>
      </c>
    </row>
    <row r="278" spans="1:7" hidden="1">
      <c r="A278">
        <v>275</v>
      </c>
      <c r="B278" t="s">
        <v>226</v>
      </c>
      <c r="C278" t="s">
        <v>875</v>
      </c>
      <c r="D278" t="s">
        <v>1171</v>
      </c>
      <c r="E278">
        <v>8</v>
      </c>
      <c r="F278" t="s">
        <v>1417</v>
      </c>
      <c r="G278" t="s">
        <v>1422</v>
      </c>
    </row>
    <row r="279" spans="1:7" hidden="1">
      <c r="A279">
        <v>276</v>
      </c>
      <c r="B279" t="s">
        <v>289</v>
      </c>
      <c r="C279" t="s">
        <v>875</v>
      </c>
      <c r="D279" t="s">
        <v>1192</v>
      </c>
      <c r="E279">
        <v>8</v>
      </c>
      <c r="F279" t="s">
        <v>1416</v>
      </c>
      <c r="G279">
        <v>-48</v>
      </c>
    </row>
    <row r="280" spans="1:7" hidden="1">
      <c r="A280">
        <v>277</v>
      </c>
      <c r="B280" t="s">
        <v>190</v>
      </c>
      <c r="C280" t="s">
        <v>918</v>
      </c>
      <c r="D280" t="s">
        <v>1172</v>
      </c>
      <c r="E280">
        <v>5</v>
      </c>
      <c r="F280" t="s">
        <v>1418</v>
      </c>
      <c r="G280" t="s">
        <v>1422</v>
      </c>
    </row>
    <row r="281" spans="1:7" hidden="1">
      <c r="A281">
        <v>278</v>
      </c>
      <c r="B281" t="s">
        <v>154</v>
      </c>
      <c r="C281" t="s">
        <v>935</v>
      </c>
      <c r="D281" t="s">
        <v>1173</v>
      </c>
      <c r="E281">
        <v>10</v>
      </c>
      <c r="F281" t="s">
        <v>1418</v>
      </c>
      <c r="G281">
        <v>5</v>
      </c>
    </row>
    <row r="282" spans="1:7" hidden="1">
      <c r="A282">
        <v>279</v>
      </c>
      <c r="B282" t="s">
        <v>228</v>
      </c>
      <c r="C282" t="s">
        <v>910</v>
      </c>
      <c r="D282" t="s">
        <v>1193</v>
      </c>
      <c r="E282">
        <v>13</v>
      </c>
      <c r="F282" t="s">
        <v>1417</v>
      </c>
      <c r="G282">
        <v>-59</v>
      </c>
    </row>
    <row r="283" spans="1:7" hidden="1">
      <c r="A283">
        <v>280</v>
      </c>
      <c r="B283" t="s">
        <v>232</v>
      </c>
      <c r="C283" t="s">
        <v>885</v>
      </c>
      <c r="D283" t="s">
        <v>1164</v>
      </c>
      <c r="E283">
        <v>13</v>
      </c>
      <c r="F283" t="s">
        <v>1417</v>
      </c>
      <c r="G283" t="s">
        <v>1422</v>
      </c>
    </row>
    <row r="284" spans="1:7" hidden="1">
      <c r="A284">
        <v>281</v>
      </c>
      <c r="B284" t="s">
        <v>374</v>
      </c>
      <c r="C284" t="s">
        <v>881</v>
      </c>
      <c r="D284" t="s">
        <v>1174</v>
      </c>
      <c r="E284">
        <v>7</v>
      </c>
      <c r="F284" t="s">
        <v>1417</v>
      </c>
      <c r="G284" t="s">
        <v>1422</v>
      </c>
    </row>
    <row r="285" spans="1:7" hidden="1">
      <c r="A285">
        <v>282</v>
      </c>
      <c r="B285" t="s">
        <v>177</v>
      </c>
      <c r="C285" t="s">
        <v>921</v>
      </c>
      <c r="D285" t="s">
        <v>1182</v>
      </c>
      <c r="E285">
        <v>11</v>
      </c>
      <c r="F285" t="s">
        <v>1418</v>
      </c>
      <c r="G285">
        <v>3</v>
      </c>
    </row>
    <row r="286" spans="1:7" hidden="1">
      <c r="A286">
        <v>283</v>
      </c>
      <c r="B286" t="s">
        <v>143</v>
      </c>
      <c r="C286" t="s">
        <v>868</v>
      </c>
      <c r="D286" t="s">
        <v>1168</v>
      </c>
      <c r="E286">
        <v>11</v>
      </c>
      <c r="F286" t="s">
        <v>1417</v>
      </c>
      <c r="G286">
        <v>-44</v>
      </c>
    </row>
    <row r="287" spans="1:7" hidden="1">
      <c r="A287">
        <v>284</v>
      </c>
      <c r="B287" t="s">
        <v>151</v>
      </c>
      <c r="C287" t="s">
        <v>873</v>
      </c>
      <c r="D287" t="s">
        <v>1194</v>
      </c>
      <c r="E287">
        <v>8</v>
      </c>
      <c r="F287" t="s">
        <v>1418</v>
      </c>
      <c r="G287">
        <v>21</v>
      </c>
    </row>
    <row r="288" spans="1:7" hidden="1">
      <c r="A288">
        <v>285</v>
      </c>
      <c r="B288" t="s">
        <v>158</v>
      </c>
      <c r="C288" t="s">
        <v>868</v>
      </c>
      <c r="D288" t="s">
        <v>1196</v>
      </c>
      <c r="E288">
        <v>11</v>
      </c>
      <c r="F288" t="s">
        <v>1417</v>
      </c>
      <c r="G288">
        <v>-59</v>
      </c>
    </row>
    <row r="289" spans="1:7" hidden="1">
      <c r="A289">
        <v>286</v>
      </c>
      <c r="B289" t="s">
        <v>237</v>
      </c>
      <c r="C289" t="s">
        <v>873</v>
      </c>
      <c r="D289" t="s">
        <v>1183</v>
      </c>
      <c r="E289">
        <v>8</v>
      </c>
      <c r="F289" t="s">
        <v>1416</v>
      </c>
      <c r="G289">
        <v>16</v>
      </c>
    </row>
    <row r="290" spans="1:7" hidden="1">
      <c r="A290">
        <v>287</v>
      </c>
      <c r="B290" t="s">
        <v>2051</v>
      </c>
      <c r="C290" t="s">
        <v>870</v>
      </c>
      <c r="D290" t="s">
        <v>1423</v>
      </c>
      <c r="E290">
        <v>10</v>
      </c>
      <c r="F290" t="s">
        <v>1417</v>
      </c>
      <c r="G290">
        <v>-65</v>
      </c>
    </row>
    <row r="291" spans="1:7" hidden="1">
      <c r="A291">
        <v>288</v>
      </c>
      <c r="B291" t="s">
        <v>373</v>
      </c>
      <c r="C291" t="s">
        <v>876</v>
      </c>
      <c r="D291" t="s">
        <v>1424</v>
      </c>
      <c r="E291">
        <v>13</v>
      </c>
      <c r="F291" t="s">
        <v>1420</v>
      </c>
      <c r="G291">
        <v>-55</v>
      </c>
    </row>
    <row r="292" spans="1:7" hidden="1">
      <c r="A292">
        <v>289</v>
      </c>
      <c r="B292" t="s">
        <v>419</v>
      </c>
      <c r="C292" t="s">
        <v>916</v>
      </c>
      <c r="D292" t="s">
        <v>1185</v>
      </c>
      <c r="E292">
        <v>8</v>
      </c>
      <c r="F292" t="s">
        <v>1419</v>
      </c>
      <c r="G292">
        <v>33</v>
      </c>
    </row>
    <row r="293" spans="1:7" hidden="1">
      <c r="A293">
        <v>290</v>
      </c>
      <c r="B293" t="s">
        <v>438</v>
      </c>
      <c r="C293" t="s">
        <v>941</v>
      </c>
      <c r="D293" t="s">
        <v>1425</v>
      </c>
      <c r="E293">
        <v>11</v>
      </c>
      <c r="F293" t="s">
        <v>1417</v>
      </c>
      <c r="G293">
        <v>-43</v>
      </c>
    </row>
    <row r="294" spans="1:7" hidden="1">
      <c r="A294">
        <v>291</v>
      </c>
      <c r="B294" t="s">
        <v>205</v>
      </c>
      <c r="C294" t="s">
        <v>866</v>
      </c>
      <c r="D294" t="s">
        <v>1429</v>
      </c>
      <c r="E294">
        <v>6</v>
      </c>
      <c r="F294" t="s">
        <v>1416</v>
      </c>
      <c r="G294">
        <v>-17</v>
      </c>
    </row>
    <row r="295" spans="1:7" hidden="1">
      <c r="A295">
        <v>292</v>
      </c>
      <c r="B295" t="s">
        <v>148</v>
      </c>
      <c r="C295" t="s">
        <v>870</v>
      </c>
      <c r="D295" t="s">
        <v>1175</v>
      </c>
      <c r="E295">
        <v>10</v>
      </c>
      <c r="F295" t="s">
        <v>1417</v>
      </c>
      <c r="G295">
        <v>-16</v>
      </c>
    </row>
    <row r="296" spans="1:7" hidden="1">
      <c r="A296">
        <v>293</v>
      </c>
      <c r="B296" t="s">
        <v>382</v>
      </c>
      <c r="C296" t="s">
        <v>868</v>
      </c>
      <c r="D296" t="s">
        <v>1197</v>
      </c>
      <c r="E296">
        <v>11</v>
      </c>
      <c r="F296" t="s">
        <v>1417</v>
      </c>
      <c r="G296">
        <v>18</v>
      </c>
    </row>
    <row r="297" spans="1:7" hidden="1">
      <c r="A297">
        <v>294</v>
      </c>
      <c r="B297" t="s">
        <v>2054</v>
      </c>
      <c r="C297" t="s">
        <v>901</v>
      </c>
      <c r="D297" t="s">
        <v>1195</v>
      </c>
      <c r="E297">
        <v>7</v>
      </c>
      <c r="F297" t="s">
        <v>1417</v>
      </c>
      <c r="G297">
        <v>19</v>
      </c>
    </row>
    <row r="298" spans="1:7" hidden="1">
      <c r="A298">
        <v>295</v>
      </c>
      <c r="B298" t="s">
        <v>277</v>
      </c>
      <c r="C298" t="s">
        <v>925</v>
      </c>
      <c r="D298" t="s">
        <v>1176</v>
      </c>
      <c r="E298">
        <v>5</v>
      </c>
      <c r="F298" t="s">
        <v>1416</v>
      </c>
      <c r="G298">
        <v>-22</v>
      </c>
    </row>
    <row r="299" spans="1:7" hidden="1">
      <c r="A299">
        <v>296</v>
      </c>
      <c r="B299" t="s">
        <v>401</v>
      </c>
      <c r="C299" t="s">
        <v>872</v>
      </c>
      <c r="D299" t="s">
        <v>1177</v>
      </c>
      <c r="E299">
        <v>14</v>
      </c>
      <c r="F299" t="s">
        <v>1417</v>
      </c>
      <c r="G299">
        <v>25</v>
      </c>
    </row>
    <row r="300" spans="1:7" hidden="1">
      <c r="A300">
        <v>297</v>
      </c>
      <c r="B300" t="s">
        <v>2033</v>
      </c>
      <c r="C300" t="s">
        <v>889</v>
      </c>
      <c r="D300" t="s">
        <v>1178</v>
      </c>
      <c r="E300">
        <v>13</v>
      </c>
      <c r="F300" t="s">
        <v>1416</v>
      </c>
      <c r="G300" t="s">
        <v>1422</v>
      </c>
    </row>
    <row r="301" spans="1:7" hidden="1">
      <c r="A301">
        <v>298</v>
      </c>
      <c r="B301" t="s">
        <v>324</v>
      </c>
      <c r="C301" t="s">
        <v>941</v>
      </c>
      <c r="D301" t="s">
        <v>1445</v>
      </c>
      <c r="E301">
        <v>11</v>
      </c>
      <c r="F301" t="s">
        <v>1417</v>
      </c>
      <c r="G301">
        <v>-52</v>
      </c>
    </row>
    <row r="302" spans="1:7" hidden="1">
      <c r="A302">
        <v>299</v>
      </c>
      <c r="B302" t="s">
        <v>170</v>
      </c>
      <c r="C302" t="s">
        <v>870</v>
      </c>
      <c r="D302" t="s">
        <v>1426</v>
      </c>
      <c r="E302">
        <v>10</v>
      </c>
      <c r="F302" t="s">
        <v>1417</v>
      </c>
      <c r="G302" t="s">
        <v>1422</v>
      </c>
    </row>
    <row r="303" spans="1:7" hidden="1">
      <c r="A303">
        <v>300</v>
      </c>
      <c r="B303" t="s">
        <v>281</v>
      </c>
      <c r="C303" t="s">
        <v>875</v>
      </c>
      <c r="D303" t="s">
        <v>1179</v>
      </c>
      <c r="E303">
        <v>8</v>
      </c>
      <c r="F303" t="s">
        <v>1417</v>
      </c>
      <c r="G303">
        <v>-33</v>
      </c>
    </row>
    <row r="304" spans="1:7" hidden="1">
      <c r="A304">
        <v>301</v>
      </c>
      <c r="B304" t="s">
        <v>378</v>
      </c>
      <c r="C304" t="s">
        <v>921</v>
      </c>
      <c r="D304" t="s">
        <v>1427</v>
      </c>
      <c r="E304">
        <v>11</v>
      </c>
      <c r="F304" t="s">
        <v>1418</v>
      </c>
      <c r="G304" t="s">
        <v>1422</v>
      </c>
    </row>
    <row r="305" spans="1:7" hidden="1">
      <c r="A305">
        <v>302</v>
      </c>
      <c r="B305" t="s">
        <v>2044</v>
      </c>
      <c r="C305" t="s">
        <v>873</v>
      </c>
      <c r="D305" t="s">
        <v>1430</v>
      </c>
      <c r="E305">
        <v>8</v>
      </c>
      <c r="F305" t="s">
        <v>1416</v>
      </c>
      <c r="G305">
        <v>-39</v>
      </c>
    </row>
    <row r="306" spans="1:7" hidden="1">
      <c r="A306">
        <v>303</v>
      </c>
      <c r="B306" t="s">
        <v>248</v>
      </c>
      <c r="C306" t="s">
        <v>1123</v>
      </c>
      <c r="D306" t="s">
        <v>1180</v>
      </c>
      <c r="E306" t="s">
        <v>1422</v>
      </c>
      <c r="F306" t="s">
        <v>1422</v>
      </c>
      <c r="G306">
        <v>-49</v>
      </c>
    </row>
    <row r="307" spans="1:7" hidden="1">
      <c r="A307">
        <v>304</v>
      </c>
      <c r="B307" t="s">
        <v>363</v>
      </c>
      <c r="C307" t="s">
        <v>941</v>
      </c>
      <c r="D307" t="s">
        <v>1428</v>
      </c>
      <c r="E307">
        <v>11</v>
      </c>
      <c r="F307" t="s">
        <v>1416</v>
      </c>
      <c r="G307" t="s">
        <v>1422</v>
      </c>
    </row>
    <row r="308" spans="1:7" hidden="1">
      <c r="A308">
        <v>305</v>
      </c>
      <c r="B308" t="s">
        <v>394</v>
      </c>
      <c r="C308" t="s">
        <v>885</v>
      </c>
      <c r="D308" t="s">
        <v>1199</v>
      </c>
      <c r="E308">
        <v>13</v>
      </c>
      <c r="F308" t="s">
        <v>1419</v>
      </c>
      <c r="G308">
        <v>4</v>
      </c>
    </row>
    <row r="309" spans="1:7" hidden="1">
      <c r="A309">
        <v>306</v>
      </c>
      <c r="B309" t="s">
        <v>305</v>
      </c>
      <c r="C309" t="s">
        <v>918</v>
      </c>
      <c r="D309" t="s">
        <v>1436</v>
      </c>
      <c r="E309">
        <v>5</v>
      </c>
      <c r="F309" t="s">
        <v>1418</v>
      </c>
      <c r="G309">
        <v>-3</v>
      </c>
    </row>
    <row r="310" spans="1:7" hidden="1">
      <c r="A310">
        <v>307</v>
      </c>
      <c r="B310" t="s">
        <v>189</v>
      </c>
      <c r="C310" t="s">
        <v>921</v>
      </c>
      <c r="D310" t="s">
        <v>1431</v>
      </c>
      <c r="E310">
        <v>11</v>
      </c>
      <c r="F310" t="s">
        <v>1418</v>
      </c>
      <c r="G310" t="s">
        <v>1422</v>
      </c>
    </row>
    <row r="311" spans="1:7" hidden="1">
      <c r="A311">
        <v>308</v>
      </c>
      <c r="B311" t="s">
        <v>240</v>
      </c>
      <c r="C311" t="s">
        <v>866</v>
      </c>
      <c r="D311" t="s">
        <v>1432</v>
      </c>
      <c r="E311">
        <v>6</v>
      </c>
      <c r="F311" t="s">
        <v>1417</v>
      </c>
      <c r="G311" t="s">
        <v>1422</v>
      </c>
    </row>
    <row r="312" spans="1:7" hidden="1">
      <c r="A312">
        <v>309</v>
      </c>
      <c r="B312" t="s">
        <v>137</v>
      </c>
      <c r="C312" t="s">
        <v>873</v>
      </c>
      <c r="D312" t="s">
        <v>1435</v>
      </c>
      <c r="E312">
        <v>8</v>
      </c>
      <c r="F312" t="s">
        <v>1418</v>
      </c>
      <c r="G312">
        <v>-45</v>
      </c>
    </row>
    <row r="313" spans="1:7" hidden="1">
      <c r="A313">
        <v>310</v>
      </c>
      <c r="B313" t="s">
        <v>467</v>
      </c>
      <c r="C313" t="s">
        <v>927</v>
      </c>
      <c r="D313" t="s">
        <v>1439</v>
      </c>
      <c r="E313">
        <v>9</v>
      </c>
      <c r="F313" t="s">
        <v>1418</v>
      </c>
      <c r="G313" t="s">
        <v>1422</v>
      </c>
    </row>
    <row r="314" spans="1:7" hidden="1">
      <c r="A314">
        <v>311</v>
      </c>
      <c r="B314" t="s">
        <v>1605</v>
      </c>
      <c r="C314" t="s">
        <v>898</v>
      </c>
      <c r="D314" t="s">
        <v>1446</v>
      </c>
      <c r="E314">
        <v>7</v>
      </c>
      <c r="F314" t="s">
        <v>1417</v>
      </c>
      <c r="G314" t="s">
        <v>1422</v>
      </c>
    </row>
    <row r="315" spans="1:7" hidden="1">
      <c r="A315">
        <v>312</v>
      </c>
      <c r="B315" t="s">
        <v>141</v>
      </c>
      <c r="C315" t="s">
        <v>891</v>
      </c>
      <c r="D315" t="s">
        <v>1181</v>
      </c>
      <c r="E315">
        <v>14</v>
      </c>
      <c r="F315" t="s">
        <v>1418</v>
      </c>
      <c r="G315">
        <v>-109</v>
      </c>
    </row>
    <row r="316" spans="1:7" hidden="1">
      <c r="A316">
        <v>313</v>
      </c>
      <c r="B316" t="s">
        <v>145</v>
      </c>
      <c r="C316" t="s">
        <v>873</v>
      </c>
      <c r="D316" t="s">
        <v>1433</v>
      </c>
      <c r="E316">
        <v>8</v>
      </c>
      <c r="F316" t="s">
        <v>1418</v>
      </c>
      <c r="G316" t="s">
        <v>1422</v>
      </c>
    </row>
    <row r="317" spans="1:7" hidden="1">
      <c r="A317">
        <v>314</v>
      </c>
      <c r="B317" t="s">
        <v>279</v>
      </c>
      <c r="C317" t="s">
        <v>918</v>
      </c>
      <c r="D317" t="s">
        <v>1434</v>
      </c>
      <c r="E317">
        <v>5</v>
      </c>
      <c r="F317" t="s">
        <v>1420</v>
      </c>
      <c r="G317" t="s">
        <v>1422</v>
      </c>
    </row>
    <row r="318" spans="1:7" hidden="1">
      <c r="A318">
        <v>315</v>
      </c>
      <c r="B318" t="s">
        <v>306</v>
      </c>
      <c r="C318" t="s">
        <v>929</v>
      </c>
      <c r="D318" t="s">
        <v>1201</v>
      </c>
      <c r="E318">
        <v>10</v>
      </c>
      <c r="F318" t="s">
        <v>1418</v>
      </c>
      <c r="G318">
        <v>-17</v>
      </c>
    </row>
    <row r="319" spans="1:7" hidden="1">
      <c r="A319">
        <v>316</v>
      </c>
      <c r="B319" t="s">
        <v>276</v>
      </c>
      <c r="C319" t="s">
        <v>916</v>
      </c>
      <c r="D319" t="s">
        <v>1437</v>
      </c>
      <c r="E319">
        <v>8</v>
      </c>
      <c r="F319" t="s">
        <v>1416</v>
      </c>
      <c r="G319">
        <v>-39</v>
      </c>
    </row>
    <row r="320" spans="1:7" hidden="1">
      <c r="A320">
        <v>317</v>
      </c>
      <c r="B320" t="s">
        <v>365</v>
      </c>
      <c r="C320" t="s">
        <v>876</v>
      </c>
      <c r="D320" t="s">
        <v>1452</v>
      </c>
      <c r="E320">
        <v>13</v>
      </c>
      <c r="F320" t="s">
        <v>1416</v>
      </c>
      <c r="G320" t="s">
        <v>1422</v>
      </c>
    </row>
    <row r="321" spans="1:7" hidden="1">
      <c r="A321">
        <v>318</v>
      </c>
      <c r="B321" t="s">
        <v>398</v>
      </c>
      <c r="C321" t="s">
        <v>868</v>
      </c>
      <c r="D321" t="s">
        <v>1438</v>
      </c>
      <c r="E321">
        <v>11</v>
      </c>
      <c r="F321" t="s">
        <v>1416</v>
      </c>
      <c r="G321">
        <v>0</v>
      </c>
    </row>
    <row r="322" spans="1:7" hidden="1">
      <c r="A322">
        <v>319</v>
      </c>
      <c r="B322" t="s">
        <v>250</v>
      </c>
      <c r="C322" t="s">
        <v>866</v>
      </c>
      <c r="D322" t="s">
        <v>1440</v>
      </c>
      <c r="E322">
        <v>6</v>
      </c>
      <c r="F322" t="s">
        <v>1418</v>
      </c>
      <c r="G322" t="s">
        <v>1422</v>
      </c>
    </row>
    <row r="323" spans="1:7" hidden="1">
      <c r="A323">
        <v>320</v>
      </c>
      <c r="B323" t="s">
        <v>224</v>
      </c>
      <c r="C323" t="s">
        <v>870</v>
      </c>
      <c r="D323" t="s">
        <v>1441</v>
      </c>
      <c r="E323">
        <v>10</v>
      </c>
      <c r="F323" t="s">
        <v>1417</v>
      </c>
      <c r="G323" t="s">
        <v>1422</v>
      </c>
    </row>
    <row r="324" spans="1:7" hidden="1">
      <c r="A324">
        <v>321</v>
      </c>
      <c r="B324" t="s">
        <v>35</v>
      </c>
      <c r="C324" t="s">
        <v>1123</v>
      </c>
      <c r="D324" t="s">
        <v>1442</v>
      </c>
      <c r="E324" t="s">
        <v>1422</v>
      </c>
      <c r="F324" t="s">
        <v>1422</v>
      </c>
      <c r="G324">
        <v>-134</v>
      </c>
    </row>
    <row r="325" spans="1:7" hidden="1">
      <c r="A325">
        <v>322</v>
      </c>
      <c r="B325" t="s">
        <v>2052</v>
      </c>
      <c r="C325" t="s">
        <v>916</v>
      </c>
      <c r="D325" t="s">
        <v>1454</v>
      </c>
      <c r="E325">
        <v>8</v>
      </c>
      <c r="F325" t="s">
        <v>1418</v>
      </c>
      <c r="G325" t="s">
        <v>1422</v>
      </c>
    </row>
    <row r="326" spans="1:7">
      <c r="A326">
        <v>323</v>
      </c>
      <c r="B326" t="s">
        <v>2055</v>
      </c>
      <c r="C326" t="s">
        <v>916</v>
      </c>
      <c r="D326" t="s">
        <v>1188</v>
      </c>
      <c r="E326">
        <v>8</v>
      </c>
      <c r="F326" t="s">
        <v>1419</v>
      </c>
      <c r="G326">
        <v>1</v>
      </c>
    </row>
    <row r="327" spans="1:7" hidden="1">
      <c r="A327">
        <v>324</v>
      </c>
      <c r="B327" t="s">
        <v>490</v>
      </c>
      <c r="C327" t="s">
        <v>879</v>
      </c>
      <c r="D327" t="s">
        <v>1448</v>
      </c>
      <c r="E327">
        <v>8</v>
      </c>
      <c r="F327" t="s">
        <v>1416</v>
      </c>
      <c r="G327" t="s">
        <v>1422</v>
      </c>
    </row>
    <row r="328" spans="1:7" hidden="1">
      <c r="A328">
        <v>325</v>
      </c>
      <c r="B328" t="s">
        <v>253</v>
      </c>
      <c r="C328" t="s">
        <v>1123</v>
      </c>
      <c r="D328" t="s">
        <v>1443</v>
      </c>
      <c r="E328" t="s">
        <v>1422</v>
      </c>
      <c r="F328" t="s">
        <v>1422</v>
      </c>
      <c r="G328">
        <v>-43</v>
      </c>
    </row>
    <row r="329" spans="1:7" hidden="1">
      <c r="A329">
        <v>326</v>
      </c>
      <c r="B329" t="s">
        <v>269</v>
      </c>
      <c r="C329" t="s">
        <v>941</v>
      </c>
      <c r="D329" t="s">
        <v>1444</v>
      </c>
      <c r="E329">
        <v>11</v>
      </c>
      <c r="F329" t="s">
        <v>1416</v>
      </c>
      <c r="G329" t="s">
        <v>1422</v>
      </c>
    </row>
    <row r="330" spans="1:7" hidden="1">
      <c r="A330">
        <v>327</v>
      </c>
      <c r="B330" t="s">
        <v>2058</v>
      </c>
      <c r="C330" t="s">
        <v>916</v>
      </c>
      <c r="D330" t="s">
        <v>1450</v>
      </c>
      <c r="E330">
        <v>8</v>
      </c>
      <c r="F330" t="s">
        <v>1416</v>
      </c>
      <c r="G330" t="s">
        <v>1422</v>
      </c>
    </row>
    <row r="331" spans="1:7" hidden="1">
      <c r="A331">
        <v>328</v>
      </c>
      <c r="B331" t="s">
        <v>246</v>
      </c>
      <c r="C331" t="s">
        <v>907</v>
      </c>
      <c r="D331" t="s">
        <v>1457</v>
      </c>
      <c r="E331">
        <v>11</v>
      </c>
      <c r="F331" t="s">
        <v>1416</v>
      </c>
      <c r="G331" t="s">
        <v>1422</v>
      </c>
    </row>
    <row r="332" spans="1:7" hidden="1">
      <c r="A332">
        <v>329</v>
      </c>
      <c r="B332" t="s">
        <v>152</v>
      </c>
      <c r="C332" t="s">
        <v>902</v>
      </c>
      <c r="D332" t="s">
        <v>1449</v>
      </c>
      <c r="E332">
        <v>7</v>
      </c>
      <c r="F332" t="s">
        <v>1417</v>
      </c>
      <c r="G332" t="s">
        <v>1422</v>
      </c>
    </row>
    <row r="333" spans="1:7" hidden="1">
      <c r="A333">
        <v>330</v>
      </c>
      <c r="B333" t="s">
        <v>273</v>
      </c>
      <c r="C333" t="s">
        <v>877</v>
      </c>
      <c r="D333" t="s">
        <v>1455</v>
      </c>
      <c r="E333">
        <v>6</v>
      </c>
      <c r="F333" t="s">
        <v>1416</v>
      </c>
      <c r="G333" t="s">
        <v>1422</v>
      </c>
    </row>
    <row r="334" spans="1:7" hidden="1">
      <c r="A334">
        <v>331</v>
      </c>
      <c r="B334" t="s">
        <v>258</v>
      </c>
      <c r="C334" t="s">
        <v>872</v>
      </c>
      <c r="D334" t="s">
        <v>1202</v>
      </c>
      <c r="E334">
        <v>14</v>
      </c>
      <c r="F334" t="s">
        <v>1420</v>
      </c>
      <c r="G334">
        <v>-80</v>
      </c>
    </row>
    <row r="335" spans="1:7" hidden="1">
      <c r="A335">
        <v>332</v>
      </c>
      <c r="B335" t="s">
        <v>218</v>
      </c>
      <c r="C335" t="s">
        <v>1123</v>
      </c>
      <c r="D335" t="s">
        <v>1451</v>
      </c>
      <c r="E335" t="s">
        <v>1422</v>
      </c>
      <c r="F335" t="s">
        <v>1422</v>
      </c>
      <c r="G335" t="s">
        <v>1422</v>
      </c>
    </row>
    <row r="336" spans="1:7" hidden="1">
      <c r="A336">
        <v>333</v>
      </c>
      <c r="B336" t="s">
        <v>260</v>
      </c>
      <c r="C336" t="s">
        <v>929</v>
      </c>
      <c r="D336" t="s">
        <v>1468</v>
      </c>
      <c r="E336">
        <v>10</v>
      </c>
      <c r="F336" t="s">
        <v>1418</v>
      </c>
      <c r="G336" t="s">
        <v>1422</v>
      </c>
    </row>
    <row r="337" spans="1:7" hidden="1">
      <c r="A337">
        <v>334</v>
      </c>
      <c r="B337" t="s">
        <v>331</v>
      </c>
      <c r="C337" t="s">
        <v>874</v>
      </c>
      <c r="D337" t="s">
        <v>1472</v>
      </c>
      <c r="E337">
        <v>11</v>
      </c>
      <c r="F337" t="s">
        <v>1417</v>
      </c>
      <c r="G337" t="s">
        <v>1422</v>
      </c>
    </row>
    <row r="338" spans="1:7" hidden="1">
      <c r="A338">
        <v>335</v>
      </c>
      <c r="B338" t="s">
        <v>2109</v>
      </c>
      <c r="C338" t="s">
        <v>871</v>
      </c>
      <c r="D338" t="s">
        <v>1460</v>
      </c>
      <c r="E338">
        <v>6</v>
      </c>
      <c r="F338" t="s">
        <v>1419</v>
      </c>
      <c r="G338">
        <v>-34</v>
      </c>
    </row>
    <row r="339" spans="1:7" hidden="1">
      <c r="A339">
        <v>336</v>
      </c>
      <c r="B339" t="s">
        <v>355</v>
      </c>
      <c r="C339" t="s">
        <v>901</v>
      </c>
      <c r="D339" t="s">
        <v>1474</v>
      </c>
      <c r="E339">
        <v>7</v>
      </c>
      <c r="F339" t="s">
        <v>1416</v>
      </c>
      <c r="G339" t="s">
        <v>1422</v>
      </c>
    </row>
    <row r="340" spans="1:7" hidden="1">
      <c r="A340">
        <v>337</v>
      </c>
      <c r="B340" t="s">
        <v>2060</v>
      </c>
      <c r="C340" t="s">
        <v>921</v>
      </c>
      <c r="D340" t="s">
        <v>1479</v>
      </c>
      <c r="E340">
        <v>11</v>
      </c>
      <c r="F340" t="s">
        <v>1417</v>
      </c>
      <c r="G340" t="s">
        <v>1422</v>
      </c>
    </row>
    <row r="341" spans="1:7" hidden="1">
      <c r="A341">
        <v>338</v>
      </c>
      <c r="B341" t="s">
        <v>329</v>
      </c>
      <c r="C341" t="s">
        <v>893</v>
      </c>
      <c r="D341" t="s">
        <v>1456</v>
      </c>
      <c r="E341">
        <v>10</v>
      </c>
      <c r="F341" t="s">
        <v>1417</v>
      </c>
      <c r="G341" t="s">
        <v>1422</v>
      </c>
    </row>
    <row r="342" spans="1:7" hidden="1">
      <c r="A342">
        <v>339</v>
      </c>
      <c r="B342" t="s">
        <v>2056</v>
      </c>
      <c r="C342" t="s">
        <v>891</v>
      </c>
      <c r="D342" t="s">
        <v>1447</v>
      </c>
      <c r="E342">
        <v>14</v>
      </c>
      <c r="F342" t="s">
        <v>1418</v>
      </c>
      <c r="G342" t="s">
        <v>1422</v>
      </c>
    </row>
    <row r="343" spans="1:7" hidden="1">
      <c r="A343">
        <v>340</v>
      </c>
      <c r="B343" t="s">
        <v>2065</v>
      </c>
      <c r="C343" t="s">
        <v>891</v>
      </c>
      <c r="D343" t="s">
        <v>1465</v>
      </c>
      <c r="E343">
        <v>14</v>
      </c>
      <c r="F343" t="s">
        <v>1418</v>
      </c>
      <c r="G343" t="s">
        <v>1422</v>
      </c>
    </row>
    <row r="344" spans="1:7" hidden="1">
      <c r="A344">
        <v>341</v>
      </c>
      <c r="B344" t="s">
        <v>420</v>
      </c>
      <c r="C344" t="s">
        <v>891</v>
      </c>
      <c r="D344" t="s">
        <v>1461</v>
      </c>
      <c r="E344">
        <v>14</v>
      </c>
      <c r="F344" t="s">
        <v>1418</v>
      </c>
      <c r="G344" t="s">
        <v>1422</v>
      </c>
    </row>
    <row r="345" spans="1:7" hidden="1">
      <c r="A345">
        <v>342</v>
      </c>
      <c r="B345" t="s">
        <v>2061</v>
      </c>
      <c r="C345" t="s">
        <v>874</v>
      </c>
      <c r="D345" t="s">
        <v>1490</v>
      </c>
      <c r="E345">
        <v>11</v>
      </c>
      <c r="F345" t="s">
        <v>1417</v>
      </c>
      <c r="G345">
        <v>-35</v>
      </c>
    </row>
    <row r="346" spans="1:7" hidden="1">
      <c r="A346">
        <v>343</v>
      </c>
      <c r="B346" t="s">
        <v>2057</v>
      </c>
      <c r="C346" t="s">
        <v>874</v>
      </c>
      <c r="D346" t="s">
        <v>1462</v>
      </c>
      <c r="E346">
        <v>11</v>
      </c>
      <c r="F346" t="s">
        <v>1420</v>
      </c>
      <c r="G346" t="s">
        <v>1422</v>
      </c>
    </row>
    <row r="347" spans="1:7" hidden="1">
      <c r="A347">
        <v>344</v>
      </c>
      <c r="B347" t="s">
        <v>2063</v>
      </c>
      <c r="C347" t="s">
        <v>898</v>
      </c>
      <c r="D347" t="s">
        <v>1464</v>
      </c>
      <c r="E347">
        <v>7</v>
      </c>
      <c r="F347" t="s">
        <v>1418</v>
      </c>
      <c r="G347" t="s">
        <v>1422</v>
      </c>
    </row>
    <row r="348" spans="1:7" hidden="1">
      <c r="A348">
        <v>345</v>
      </c>
      <c r="B348" t="s">
        <v>320</v>
      </c>
      <c r="C348" t="s">
        <v>902</v>
      </c>
      <c r="D348" t="s">
        <v>1466</v>
      </c>
      <c r="E348">
        <v>7</v>
      </c>
      <c r="F348" t="s">
        <v>1418</v>
      </c>
      <c r="G348" t="s">
        <v>1422</v>
      </c>
    </row>
    <row r="349" spans="1:7">
      <c r="A349">
        <v>346</v>
      </c>
      <c r="B349" t="s">
        <v>236</v>
      </c>
      <c r="C349" t="s">
        <v>901</v>
      </c>
      <c r="D349" t="s">
        <v>1453</v>
      </c>
      <c r="E349">
        <v>7</v>
      </c>
      <c r="F349" t="s">
        <v>1418</v>
      </c>
      <c r="G349">
        <v>-56</v>
      </c>
    </row>
    <row r="350" spans="1:7" hidden="1">
      <c r="A350">
        <v>347</v>
      </c>
      <c r="B350" t="s">
        <v>397</v>
      </c>
      <c r="C350" t="s">
        <v>868</v>
      </c>
      <c r="D350" t="s">
        <v>1467</v>
      </c>
      <c r="E350">
        <v>11</v>
      </c>
      <c r="F350" t="s">
        <v>1416</v>
      </c>
      <c r="G350" t="s">
        <v>1422</v>
      </c>
    </row>
    <row r="351" spans="1:7" hidden="1">
      <c r="A351">
        <v>348</v>
      </c>
      <c r="B351" t="s">
        <v>184</v>
      </c>
      <c r="C351" t="s">
        <v>901</v>
      </c>
      <c r="D351" t="s">
        <v>1469</v>
      </c>
      <c r="E351">
        <v>7</v>
      </c>
      <c r="F351" t="s">
        <v>1417</v>
      </c>
      <c r="G351" t="s">
        <v>1422</v>
      </c>
    </row>
    <row r="352" spans="1:7" hidden="1">
      <c r="A352">
        <v>349</v>
      </c>
      <c r="B352" t="s">
        <v>284</v>
      </c>
      <c r="C352" t="s">
        <v>925</v>
      </c>
      <c r="D352" t="s">
        <v>1492</v>
      </c>
      <c r="E352">
        <v>5</v>
      </c>
      <c r="F352" t="s">
        <v>1417</v>
      </c>
      <c r="G352" t="s">
        <v>1422</v>
      </c>
    </row>
    <row r="353" spans="1:7" hidden="1">
      <c r="A353">
        <v>350</v>
      </c>
      <c r="B353" t="s">
        <v>2062</v>
      </c>
      <c r="C353" t="s">
        <v>866</v>
      </c>
      <c r="D353" t="s">
        <v>1507</v>
      </c>
      <c r="E353">
        <v>6</v>
      </c>
      <c r="F353" t="s">
        <v>1416</v>
      </c>
      <c r="G353" t="s">
        <v>1422</v>
      </c>
    </row>
    <row r="354" spans="1:7" hidden="1">
      <c r="A354">
        <v>351</v>
      </c>
      <c r="B354" t="s">
        <v>133</v>
      </c>
      <c r="C354" t="s">
        <v>869</v>
      </c>
      <c r="D354" t="s">
        <v>1463</v>
      </c>
      <c r="E354">
        <v>6</v>
      </c>
      <c r="F354" t="s">
        <v>1419</v>
      </c>
      <c r="G354">
        <v>-39</v>
      </c>
    </row>
    <row r="355" spans="1:7" hidden="1">
      <c r="A355">
        <v>352</v>
      </c>
      <c r="B355" t="s">
        <v>266</v>
      </c>
      <c r="C355" t="s">
        <v>925</v>
      </c>
      <c r="D355" t="s">
        <v>1470</v>
      </c>
      <c r="E355">
        <v>5</v>
      </c>
      <c r="F355" t="s">
        <v>1418</v>
      </c>
      <c r="G355" t="s">
        <v>1422</v>
      </c>
    </row>
    <row r="356" spans="1:7">
      <c r="A356">
        <v>353</v>
      </c>
      <c r="B356" t="s">
        <v>243</v>
      </c>
      <c r="C356" t="s">
        <v>870</v>
      </c>
      <c r="D356" t="s">
        <v>1458</v>
      </c>
      <c r="E356">
        <v>10</v>
      </c>
      <c r="F356" t="s">
        <v>1419</v>
      </c>
      <c r="G356">
        <v>-38</v>
      </c>
    </row>
    <row r="357" spans="1:7" hidden="1">
      <c r="A357">
        <v>354</v>
      </c>
      <c r="B357" t="s">
        <v>2069</v>
      </c>
      <c r="C357" t="s">
        <v>876</v>
      </c>
      <c r="D357" t="s">
        <v>1475</v>
      </c>
      <c r="E357">
        <v>13</v>
      </c>
      <c r="F357" t="s">
        <v>1418</v>
      </c>
      <c r="G357" t="s">
        <v>1422</v>
      </c>
    </row>
    <row r="358" spans="1:7" hidden="1">
      <c r="A358">
        <v>355</v>
      </c>
      <c r="B358" t="s">
        <v>482</v>
      </c>
      <c r="C358" t="s">
        <v>902</v>
      </c>
      <c r="D358" t="s">
        <v>1476</v>
      </c>
      <c r="E358">
        <v>7</v>
      </c>
      <c r="F358" t="s">
        <v>1418</v>
      </c>
      <c r="G358" t="s">
        <v>1422</v>
      </c>
    </row>
    <row r="359" spans="1:7" hidden="1">
      <c r="A359">
        <v>356</v>
      </c>
      <c r="B359" t="s">
        <v>357</v>
      </c>
      <c r="C359" t="s">
        <v>875</v>
      </c>
      <c r="D359" t="s">
        <v>1471</v>
      </c>
      <c r="E359">
        <v>8</v>
      </c>
      <c r="F359" t="s">
        <v>1420</v>
      </c>
      <c r="G359">
        <v>-115</v>
      </c>
    </row>
    <row r="360" spans="1:7" hidden="1">
      <c r="A360">
        <v>357</v>
      </c>
      <c r="B360" t="s">
        <v>2059</v>
      </c>
      <c r="C360" t="s">
        <v>918</v>
      </c>
      <c r="D360" t="s">
        <v>1478</v>
      </c>
      <c r="E360">
        <v>5</v>
      </c>
      <c r="F360" t="s">
        <v>1418</v>
      </c>
      <c r="G360" t="s">
        <v>1422</v>
      </c>
    </row>
    <row r="361" spans="1:7" hidden="1">
      <c r="A361">
        <v>358</v>
      </c>
      <c r="B361" t="s">
        <v>351</v>
      </c>
      <c r="C361" t="s">
        <v>872</v>
      </c>
      <c r="D361" t="s">
        <v>1482</v>
      </c>
      <c r="E361">
        <v>14</v>
      </c>
      <c r="F361" t="s">
        <v>1418</v>
      </c>
      <c r="G361" t="s">
        <v>1422</v>
      </c>
    </row>
    <row r="362" spans="1:7">
      <c r="A362">
        <v>359</v>
      </c>
      <c r="B362" t="s">
        <v>2043</v>
      </c>
      <c r="C362" t="s">
        <v>887</v>
      </c>
      <c r="D362" t="s">
        <v>1459</v>
      </c>
      <c r="E362">
        <v>11</v>
      </c>
      <c r="F362" t="s">
        <v>1417</v>
      </c>
      <c r="G362">
        <v>-71</v>
      </c>
    </row>
    <row r="363" spans="1:7" hidden="1">
      <c r="A363">
        <v>360</v>
      </c>
      <c r="B363" t="s">
        <v>161</v>
      </c>
      <c r="C363" t="s">
        <v>916</v>
      </c>
      <c r="D363" t="s">
        <v>1485</v>
      </c>
      <c r="E363">
        <v>8</v>
      </c>
      <c r="F363" t="s">
        <v>1416</v>
      </c>
      <c r="G363" t="s">
        <v>1422</v>
      </c>
    </row>
    <row r="364" spans="1:7" hidden="1">
      <c r="A364">
        <v>361</v>
      </c>
      <c r="B364" t="s">
        <v>2073</v>
      </c>
      <c r="C364" t="s">
        <v>929</v>
      </c>
      <c r="D364" t="s">
        <v>1486</v>
      </c>
      <c r="E364">
        <v>10</v>
      </c>
      <c r="F364" t="s">
        <v>1416</v>
      </c>
      <c r="G364" t="s">
        <v>1422</v>
      </c>
    </row>
    <row r="365" spans="1:7" hidden="1">
      <c r="A365">
        <v>362</v>
      </c>
      <c r="B365" t="s">
        <v>257</v>
      </c>
      <c r="C365" t="s">
        <v>918</v>
      </c>
      <c r="D365" t="s">
        <v>1512</v>
      </c>
      <c r="E365">
        <v>5</v>
      </c>
      <c r="F365" t="s">
        <v>1418</v>
      </c>
      <c r="G365" t="s">
        <v>1422</v>
      </c>
    </row>
    <row r="366" spans="1:7" hidden="1">
      <c r="A366">
        <v>363</v>
      </c>
      <c r="B366" t="s">
        <v>265</v>
      </c>
      <c r="C366" t="s">
        <v>927</v>
      </c>
      <c r="D366" t="s">
        <v>1487</v>
      </c>
      <c r="E366">
        <v>9</v>
      </c>
      <c r="F366" t="s">
        <v>1416</v>
      </c>
      <c r="G366" t="s">
        <v>1422</v>
      </c>
    </row>
    <row r="367" spans="1:7" hidden="1">
      <c r="A367">
        <v>364</v>
      </c>
      <c r="B367" t="s">
        <v>462</v>
      </c>
      <c r="C367" t="s">
        <v>929</v>
      </c>
      <c r="D367" t="s">
        <v>1488</v>
      </c>
      <c r="E367">
        <v>10</v>
      </c>
      <c r="F367" t="s">
        <v>1416</v>
      </c>
      <c r="G367" t="s">
        <v>1422</v>
      </c>
    </row>
    <row r="368" spans="1:7" hidden="1">
      <c r="A368">
        <v>365</v>
      </c>
      <c r="B368" t="s">
        <v>1591</v>
      </c>
      <c r="C368" t="s">
        <v>873</v>
      </c>
      <c r="D368" t="s">
        <v>1477</v>
      </c>
      <c r="E368">
        <v>8</v>
      </c>
      <c r="F368" t="s">
        <v>1420</v>
      </c>
      <c r="G368" t="s">
        <v>1422</v>
      </c>
    </row>
    <row r="369" spans="1:7" hidden="1">
      <c r="A369">
        <v>366</v>
      </c>
      <c r="B369" t="s">
        <v>334</v>
      </c>
      <c r="C369" t="s">
        <v>941</v>
      </c>
      <c r="D369" t="s">
        <v>1481</v>
      </c>
      <c r="E369">
        <v>11</v>
      </c>
      <c r="F369" t="s">
        <v>1416</v>
      </c>
      <c r="G369" t="s">
        <v>1422</v>
      </c>
    </row>
    <row r="370" spans="1:7" hidden="1">
      <c r="A370">
        <v>367</v>
      </c>
      <c r="B370" t="s">
        <v>2064</v>
      </c>
      <c r="C370" t="s">
        <v>927</v>
      </c>
      <c r="D370" t="s">
        <v>1484</v>
      </c>
      <c r="E370">
        <v>9</v>
      </c>
      <c r="F370" t="s">
        <v>1418</v>
      </c>
      <c r="G370" t="s">
        <v>1422</v>
      </c>
    </row>
    <row r="371" spans="1:7" hidden="1">
      <c r="A371">
        <v>368</v>
      </c>
      <c r="B371" t="s">
        <v>82</v>
      </c>
      <c r="C371" t="s">
        <v>1123</v>
      </c>
      <c r="D371" t="s">
        <v>1489</v>
      </c>
      <c r="E371" t="s">
        <v>1422</v>
      </c>
      <c r="F371" t="s">
        <v>1422</v>
      </c>
      <c r="G371">
        <v>-120</v>
      </c>
    </row>
    <row r="372" spans="1:7" hidden="1">
      <c r="A372">
        <v>369</v>
      </c>
      <c r="B372" t="s">
        <v>2070</v>
      </c>
      <c r="C372" t="s">
        <v>877</v>
      </c>
      <c r="D372" t="s">
        <v>1495</v>
      </c>
      <c r="E372">
        <v>6</v>
      </c>
      <c r="F372" t="s">
        <v>1416</v>
      </c>
      <c r="G372" t="s">
        <v>1422</v>
      </c>
    </row>
    <row r="373" spans="1:7" hidden="1">
      <c r="A373">
        <v>370</v>
      </c>
      <c r="B373" t="s">
        <v>173</v>
      </c>
      <c r="C373" t="s">
        <v>929</v>
      </c>
      <c r="D373" t="s">
        <v>1493</v>
      </c>
      <c r="E373">
        <v>10</v>
      </c>
      <c r="F373" t="s">
        <v>1418</v>
      </c>
      <c r="G373" t="s">
        <v>1422</v>
      </c>
    </row>
    <row r="374" spans="1:7" hidden="1">
      <c r="A374">
        <v>371</v>
      </c>
      <c r="B374" t="s">
        <v>93</v>
      </c>
      <c r="C374" t="s">
        <v>925</v>
      </c>
      <c r="D374" t="s">
        <v>1491</v>
      </c>
      <c r="E374">
        <v>5</v>
      </c>
      <c r="F374" t="s">
        <v>1418</v>
      </c>
      <c r="G374" t="s">
        <v>1422</v>
      </c>
    </row>
    <row r="375" spans="1:7" hidden="1">
      <c r="A375">
        <v>372</v>
      </c>
      <c r="B375" t="s">
        <v>1610</v>
      </c>
      <c r="C375" t="s">
        <v>918</v>
      </c>
      <c r="D375" t="s">
        <v>1480</v>
      </c>
      <c r="E375">
        <v>5</v>
      </c>
      <c r="F375" t="s">
        <v>1416</v>
      </c>
      <c r="G375">
        <v>-55</v>
      </c>
    </row>
    <row r="376" spans="1:7" hidden="1">
      <c r="A376">
        <v>373</v>
      </c>
      <c r="B376" t="s">
        <v>271</v>
      </c>
      <c r="C376" t="s">
        <v>893</v>
      </c>
      <c r="D376" t="s">
        <v>1509</v>
      </c>
      <c r="E376">
        <v>10</v>
      </c>
      <c r="F376" t="s">
        <v>1417</v>
      </c>
      <c r="G376">
        <v>-59</v>
      </c>
    </row>
    <row r="377" spans="1:7" hidden="1">
      <c r="A377">
        <v>374</v>
      </c>
      <c r="B377" t="s">
        <v>288</v>
      </c>
      <c r="C377" t="s">
        <v>876</v>
      </c>
      <c r="D377" t="s">
        <v>1500</v>
      </c>
      <c r="E377">
        <v>13</v>
      </c>
      <c r="F377" t="s">
        <v>1418</v>
      </c>
      <c r="G377" t="s">
        <v>1422</v>
      </c>
    </row>
    <row r="378" spans="1:7" hidden="1">
      <c r="A378">
        <v>375</v>
      </c>
      <c r="B378" t="s">
        <v>1597</v>
      </c>
      <c r="C378" t="s">
        <v>871</v>
      </c>
      <c r="D378" t="s">
        <v>1494</v>
      </c>
      <c r="E378">
        <v>6</v>
      </c>
      <c r="F378" t="s">
        <v>1419</v>
      </c>
      <c r="G378" t="s">
        <v>1422</v>
      </c>
    </row>
    <row r="379" spans="1:7" hidden="1">
      <c r="A379">
        <v>376</v>
      </c>
      <c r="B379" t="s">
        <v>485</v>
      </c>
      <c r="C379" t="s">
        <v>937</v>
      </c>
      <c r="D379" t="s">
        <v>1496</v>
      </c>
      <c r="E379">
        <v>9</v>
      </c>
      <c r="F379" t="s">
        <v>1416</v>
      </c>
      <c r="G379" t="s">
        <v>1422</v>
      </c>
    </row>
    <row r="380" spans="1:7" hidden="1">
      <c r="A380">
        <v>377</v>
      </c>
      <c r="B380" t="s">
        <v>337</v>
      </c>
      <c r="C380" t="s">
        <v>874</v>
      </c>
      <c r="D380" t="s">
        <v>1502</v>
      </c>
      <c r="E380">
        <v>11</v>
      </c>
      <c r="F380" t="s">
        <v>1420</v>
      </c>
      <c r="G380" t="s">
        <v>1422</v>
      </c>
    </row>
    <row r="381" spans="1:7" hidden="1">
      <c r="A381">
        <v>378</v>
      </c>
      <c r="B381" t="s">
        <v>346</v>
      </c>
      <c r="C381" t="s">
        <v>873</v>
      </c>
      <c r="D381" t="s">
        <v>1503</v>
      </c>
      <c r="E381">
        <v>8</v>
      </c>
      <c r="F381" t="s">
        <v>1418</v>
      </c>
      <c r="G381" t="s">
        <v>1422</v>
      </c>
    </row>
    <row r="382" spans="1:7" hidden="1">
      <c r="A382">
        <v>379</v>
      </c>
      <c r="B382" t="s">
        <v>2081</v>
      </c>
      <c r="C382" t="s">
        <v>866</v>
      </c>
      <c r="D382" t="s">
        <v>1504</v>
      </c>
      <c r="E382">
        <v>6</v>
      </c>
      <c r="F382" t="s">
        <v>1417</v>
      </c>
      <c r="G382" t="s">
        <v>1422</v>
      </c>
    </row>
    <row r="383" spans="1:7" hidden="1">
      <c r="A383">
        <v>380</v>
      </c>
      <c r="B383" t="s">
        <v>233</v>
      </c>
      <c r="C383" t="s">
        <v>885</v>
      </c>
      <c r="D383" t="s">
        <v>1497</v>
      </c>
      <c r="E383">
        <v>13</v>
      </c>
      <c r="F383" t="s">
        <v>1417</v>
      </c>
      <c r="G383" t="s">
        <v>1422</v>
      </c>
    </row>
    <row r="384" spans="1:7" hidden="1">
      <c r="A384">
        <v>381</v>
      </c>
      <c r="B384" t="s">
        <v>2088</v>
      </c>
      <c r="C384" t="s">
        <v>875</v>
      </c>
      <c r="D384" t="s">
        <v>1505</v>
      </c>
      <c r="E384">
        <v>8</v>
      </c>
      <c r="F384" t="s">
        <v>1417</v>
      </c>
      <c r="G384">
        <v>-95</v>
      </c>
    </row>
    <row r="385" spans="1:7" hidden="1">
      <c r="A385">
        <v>382</v>
      </c>
      <c r="B385" t="s">
        <v>367</v>
      </c>
      <c r="C385" t="s">
        <v>887</v>
      </c>
      <c r="D385" t="s">
        <v>1510</v>
      </c>
      <c r="E385">
        <v>11</v>
      </c>
      <c r="F385" t="s">
        <v>1419</v>
      </c>
      <c r="G385" t="s">
        <v>1422</v>
      </c>
    </row>
    <row r="386" spans="1:7" hidden="1">
      <c r="A386">
        <v>383</v>
      </c>
      <c r="B386" t="s">
        <v>1608</v>
      </c>
      <c r="C386" t="s">
        <v>937</v>
      </c>
      <c r="D386" t="s">
        <v>1513</v>
      </c>
      <c r="E386">
        <v>9</v>
      </c>
      <c r="F386" t="s">
        <v>1418</v>
      </c>
      <c r="G386">
        <v>-56</v>
      </c>
    </row>
    <row r="387" spans="1:7" hidden="1">
      <c r="A387">
        <v>384</v>
      </c>
      <c r="B387" t="s">
        <v>362</v>
      </c>
      <c r="C387" t="s">
        <v>918</v>
      </c>
      <c r="D387" t="s">
        <v>1515</v>
      </c>
      <c r="E387">
        <v>5</v>
      </c>
      <c r="F387" t="s">
        <v>1418</v>
      </c>
      <c r="G387" t="s">
        <v>1422</v>
      </c>
    </row>
    <row r="388" spans="1:7" hidden="1">
      <c r="A388">
        <v>385</v>
      </c>
      <c r="B388" t="s">
        <v>1612</v>
      </c>
      <c r="C388" t="s">
        <v>889</v>
      </c>
      <c r="D388" t="s">
        <v>1498</v>
      </c>
      <c r="E388">
        <v>13</v>
      </c>
      <c r="F388" t="s">
        <v>1416</v>
      </c>
      <c r="G388" t="s">
        <v>1422</v>
      </c>
    </row>
    <row r="389" spans="1:7" hidden="1">
      <c r="A389">
        <v>386</v>
      </c>
      <c r="B389" t="s">
        <v>2066</v>
      </c>
      <c r="C389" t="s">
        <v>877</v>
      </c>
      <c r="D389" t="s">
        <v>1516</v>
      </c>
      <c r="E389">
        <v>6</v>
      </c>
      <c r="F389" t="s">
        <v>1419</v>
      </c>
      <c r="G389" t="s">
        <v>1422</v>
      </c>
    </row>
    <row r="390" spans="1:7" hidden="1">
      <c r="A390">
        <v>387</v>
      </c>
      <c r="B390" t="s">
        <v>404</v>
      </c>
      <c r="C390" t="s">
        <v>866</v>
      </c>
      <c r="D390" t="s">
        <v>1530</v>
      </c>
      <c r="E390">
        <v>6</v>
      </c>
      <c r="F390" t="s">
        <v>1417</v>
      </c>
      <c r="G390">
        <v>-68</v>
      </c>
    </row>
    <row r="391" spans="1:7" hidden="1">
      <c r="A391">
        <v>388</v>
      </c>
      <c r="B391" t="s">
        <v>318</v>
      </c>
      <c r="C391" t="s">
        <v>916</v>
      </c>
      <c r="D391" t="s">
        <v>1518</v>
      </c>
      <c r="E391">
        <v>8</v>
      </c>
      <c r="F391" t="s">
        <v>1418</v>
      </c>
      <c r="G391" t="s">
        <v>1422</v>
      </c>
    </row>
    <row r="392" spans="1:7" hidden="1">
      <c r="A392">
        <v>389</v>
      </c>
      <c r="B392" t="s">
        <v>2067</v>
      </c>
      <c r="C392" t="s">
        <v>874</v>
      </c>
      <c r="D392" t="s">
        <v>1499</v>
      </c>
      <c r="E392">
        <v>11</v>
      </c>
      <c r="F392" t="s">
        <v>1416</v>
      </c>
      <c r="G392">
        <v>-64</v>
      </c>
    </row>
    <row r="393" spans="1:7" hidden="1">
      <c r="A393">
        <v>390</v>
      </c>
      <c r="B393" t="s">
        <v>2041</v>
      </c>
      <c r="C393" t="s">
        <v>879</v>
      </c>
      <c r="D393" t="s">
        <v>1501</v>
      </c>
      <c r="E393">
        <v>8</v>
      </c>
      <c r="F393" t="s">
        <v>1417</v>
      </c>
      <c r="G393" t="s">
        <v>1422</v>
      </c>
    </row>
    <row r="394" spans="1:7" hidden="1">
      <c r="A394">
        <v>391</v>
      </c>
      <c r="B394" t="s">
        <v>408</v>
      </c>
      <c r="C394" t="s">
        <v>918</v>
      </c>
      <c r="D394" t="s">
        <v>1522</v>
      </c>
      <c r="E394">
        <v>5</v>
      </c>
      <c r="F394" t="s">
        <v>1418</v>
      </c>
      <c r="G394" t="s">
        <v>1422</v>
      </c>
    </row>
    <row r="395" spans="1:7" hidden="1">
      <c r="A395">
        <v>392</v>
      </c>
      <c r="B395" t="s">
        <v>427</v>
      </c>
      <c r="C395" t="s">
        <v>873</v>
      </c>
      <c r="D395" t="s">
        <v>1508</v>
      </c>
      <c r="E395">
        <v>8</v>
      </c>
      <c r="F395" t="s">
        <v>1418</v>
      </c>
      <c r="G395" t="s">
        <v>1422</v>
      </c>
    </row>
    <row r="396" spans="1:7" hidden="1">
      <c r="A396">
        <v>393</v>
      </c>
      <c r="B396" t="s">
        <v>379</v>
      </c>
      <c r="C396" t="s">
        <v>902</v>
      </c>
      <c r="D396" t="s">
        <v>1517</v>
      </c>
      <c r="E396">
        <v>7</v>
      </c>
      <c r="F396" t="s">
        <v>1418</v>
      </c>
      <c r="G396" t="s">
        <v>1422</v>
      </c>
    </row>
    <row r="397" spans="1:7" hidden="1">
      <c r="A397">
        <v>394</v>
      </c>
      <c r="B397" t="s">
        <v>2077</v>
      </c>
      <c r="C397" t="s">
        <v>885</v>
      </c>
      <c r="D397" t="s">
        <v>1519</v>
      </c>
      <c r="E397">
        <v>13</v>
      </c>
      <c r="F397" t="s">
        <v>1417</v>
      </c>
      <c r="G397" t="s">
        <v>1422</v>
      </c>
    </row>
    <row r="398" spans="1:7">
      <c r="A398">
        <v>395</v>
      </c>
      <c r="B398" t="s">
        <v>431</v>
      </c>
      <c r="C398" t="s">
        <v>885</v>
      </c>
      <c r="D398" t="s">
        <v>1473</v>
      </c>
      <c r="E398">
        <v>13</v>
      </c>
      <c r="F398" t="s">
        <v>1417</v>
      </c>
      <c r="G398">
        <v>-79</v>
      </c>
    </row>
    <row r="399" spans="1:7" hidden="1">
      <c r="A399">
        <v>396</v>
      </c>
      <c r="B399" t="s">
        <v>299</v>
      </c>
      <c r="C399" t="s">
        <v>866</v>
      </c>
      <c r="D399" t="s">
        <v>1511</v>
      </c>
      <c r="E399">
        <v>6</v>
      </c>
      <c r="F399" t="s">
        <v>1416</v>
      </c>
      <c r="G399" t="s">
        <v>1422</v>
      </c>
    </row>
    <row r="400" spans="1:7" hidden="1">
      <c r="A400">
        <v>397</v>
      </c>
      <c r="B400" t="s">
        <v>341</v>
      </c>
      <c r="C400" t="s">
        <v>902</v>
      </c>
      <c r="D400" t="s">
        <v>1548</v>
      </c>
      <c r="E400">
        <v>7</v>
      </c>
      <c r="F400" t="s">
        <v>1420</v>
      </c>
      <c r="G400" t="s">
        <v>1422</v>
      </c>
    </row>
    <row r="401" spans="1:7">
      <c r="A401">
        <v>398</v>
      </c>
      <c r="B401" t="s">
        <v>308</v>
      </c>
      <c r="C401" t="s">
        <v>916</v>
      </c>
      <c r="D401" t="s">
        <v>1483</v>
      </c>
      <c r="E401">
        <v>8</v>
      </c>
      <c r="F401" t="s">
        <v>1419</v>
      </c>
      <c r="G401" t="s">
        <v>1422</v>
      </c>
    </row>
    <row r="402" spans="1:7" hidden="1">
      <c r="A402">
        <v>399</v>
      </c>
      <c r="B402" t="s">
        <v>2084</v>
      </c>
      <c r="C402" t="s">
        <v>916</v>
      </c>
      <c r="D402" t="s">
        <v>1520</v>
      </c>
      <c r="E402">
        <v>8</v>
      </c>
      <c r="F402" t="s">
        <v>1416</v>
      </c>
      <c r="G402" t="s">
        <v>1422</v>
      </c>
    </row>
    <row r="403" spans="1:7" hidden="1">
      <c r="A403">
        <v>400</v>
      </c>
      <c r="B403" t="s">
        <v>2075</v>
      </c>
      <c r="C403" t="s">
        <v>881</v>
      </c>
      <c r="D403" t="s">
        <v>1524</v>
      </c>
      <c r="E403">
        <v>7</v>
      </c>
      <c r="F403" t="s">
        <v>1417</v>
      </c>
      <c r="G403" t="s">
        <v>1422</v>
      </c>
    </row>
    <row r="404" spans="1:7">
      <c r="A404">
        <v>401</v>
      </c>
      <c r="B404" t="s">
        <v>2068</v>
      </c>
      <c r="C404" t="s">
        <v>1123</v>
      </c>
      <c r="D404" t="s">
        <v>1506</v>
      </c>
      <c r="E404" t="s">
        <v>1422</v>
      </c>
      <c r="F404" t="s">
        <v>1422</v>
      </c>
      <c r="G404" t="s">
        <v>1422</v>
      </c>
    </row>
    <row r="405" spans="1:7" hidden="1">
      <c r="A405">
        <v>402</v>
      </c>
      <c r="B405" t="s">
        <v>472</v>
      </c>
      <c r="C405" t="s">
        <v>937</v>
      </c>
      <c r="D405" t="s">
        <v>1552</v>
      </c>
      <c r="E405">
        <v>9</v>
      </c>
      <c r="F405" t="s">
        <v>1416</v>
      </c>
      <c r="G405" t="s">
        <v>1422</v>
      </c>
    </row>
    <row r="406" spans="1:7" hidden="1">
      <c r="A406">
        <v>403</v>
      </c>
      <c r="B406" t="s">
        <v>429</v>
      </c>
      <c r="C406" t="s">
        <v>918</v>
      </c>
      <c r="D406" t="s">
        <v>1559</v>
      </c>
      <c r="E406">
        <v>5</v>
      </c>
      <c r="F406" t="s">
        <v>1418</v>
      </c>
      <c r="G406" t="s">
        <v>1422</v>
      </c>
    </row>
    <row r="407" spans="1:7" hidden="1">
      <c r="A407">
        <v>404</v>
      </c>
      <c r="B407" t="s">
        <v>375</v>
      </c>
      <c r="C407" t="s">
        <v>875</v>
      </c>
      <c r="D407" t="s">
        <v>1526</v>
      </c>
      <c r="E407">
        <v>8</v>
      </c>
      <c r="F407" t="s">
        <v>1417</v>
      </c>
      <c r="G407" t="s">
        <v>1422</v>
      </c>
    </row>
    <row r="408" spans="1:7">
      <c r="A408">
        <v>405</v>
      </c>
      <c r="B408" t="s">
        <v>413</v>
      </c>
      <c r="C408" t="s">
        <v>868</v>
      </c>
      <c r="D408" t="s">
        <v>1514</v>
      </c>
      <c r="E408">
        <v>11</v>
      </c>
      <c r="F408" t="s">
        <v>1421</v>
      </c>
      <c r="G408">
        <v>-79</v>
      </c>
    </row>
    <row r="409" spans="1:7" hidden="1">
      <c r="A409">
        <v>406</v>
      </c>
      <c r="B409" t="s">
        <v>348</v>
      </c>
      <c r="C409" t="s">
        <v>874</v>
      </c>
      <c r="D409" t="s">
        <v>1523</v>
      </c>
      <c r="E409">
        <v>11</v>
      </c>
      <c r="F409" t="s">
        <v>1420</v>
      </c>
      <c r="G409" t="s">
        <v>1422</v>
      </c>
    </row>
    <row r="410" spans="1:7" hidden="1">
      <c r="A410">
        <v>407</v>
      </c>
      <c r="B410" t="s">
        <v>2076</v>
      </c>
      <c r="C410" t="s">
        <v>874</v>
      </c>
      <c r="D410" t="s">
        <v>1531</v>
      </c>
      <c r="E410">
        <v>11</v>
      </c>
      <c r="F410" t="s">
        <v>1420</v>
      </c>
      <c r="G410" t="s">
        <v>1422</v>
      </c>
    </row>
    <row r="411" spans="1:7" hidden="1">
      <c r="A411">
        <v>408</v>
      </c>
      <c r="B411" t="s">
        <v>157</v>
      </c>
      <c r="C411" t="s">
        <v>887</v>
      </c>
      <c r="D411" t="s">
        <v>1560</v>
      </c>
      <c r="E411">
        <v>11</v>
      </c>
      <c r="F411" t="s">
        <v>1418</v>
      </c>
      <c r="G411" t="s">
        <v>1422</v>
      </c>
    </row>
    <row r="412" spans="1:7" hidden="1">
      <c r="A412">
        <v>409</v>
      </c>
      <c r="B412" t="s">
        <v>2074</v>
      </c>
      <c r="C412" t="s">
        <v>1123</v>
      </c>
      <c r="D412" t="s">
        <v>1528</v>
      </c>
      <c r="E412" t="s">
        <v>1422</v>
      </c>
      <c r="F412" t="s">
        <v>1422</v>
      </c>
      <c r="G412" t="s">
        <v>1422</v>
      </c>
    </row>
    <row r="413" spans="1:7" hidden="1">
      <c r="A413">
        <v>410</v>
      </c>
      <c r="B413" t="s">
        <v>471</v>
      </c>
      <c r="C413" t="s">
        <v>876</v>
      </c>
      <c r="D413" t="s">
        <v>1529</v>
      </c>
      <c r="E413">
        <v>13</v>
      </c>
      <c r="F413" t="s">
        <v>1418</v>
      </c>
      <c r="G413" t="s">
        <v>1422</v>
      </c>
    </row>
    <row r="414" spans="1:7" hidden="1">
      <c r="A414">
        <v>411</v>
      </c>
      <c r="B414" t="s">
        <v>464</v>
      </c>
      <c r="C414" t="s">
        <v>902</v>
      </c>
      <c r="D414" t="s">
        <v>1532</v>
      </c>
      <c r="E414">
        <v>7</v>
      </c>
      <c r="F414" t="s">
        <v>1418</v>
      </c>
      <c r="G414" t="s">
        <v>1422</v>
      </c>
    </row>
    <row r="415" spans="1:7" hidden="1">
      <c r="A415">
        <v>412</v>
      </c>
      <c r="B415" t="s">
        <v>433</v>
      </c>
      <c r="C415" t="s">
        <v>889</v>
      </c>
      <c r="D415" t="s">
        <v>1534</v>
      </c>
      <c r="E415">
        <v>13</v>
      </c>
      <c r="F415" t="s">
        <v>1417</v>
      </c>
      <c r="G415" t="s">
        <v>1422</v>
      </c>
    </row>
    <row r="416" spans="1:7" hidden="1">
      <c r="A416">
        <v>413</v>
      </c>
      <c r="B416" t="s">
        <v>1566</v>
      </c>
      <c r="C416" t="s">
        <v>876</v>
      </c>
      <c r="D416" t="s">
        <v>1547</v>
      </c>
      <c r="E416">
        <v>13</v>
      </c>
      <c r="F416" t="s">
        <v>1417</v>
      </c>
      <c r="G416">
        <v>-113</v>
      </c>
    </row>
    <row r="417" spans="1:7" hidden="1">
      <c r="A417">
        <v>414</v>
      </c>
      <c r="B417" t="s">
        <v>368</v>
      </c>
      <c r="C417" t="s">
        <v>902</v>
      </c>
      <c r="D417" t="s">
        <v>1567</v>
      </c>
      <c r="E417">
        <v>7</v>
      </c>
      <c r="F417" t="s">
        <v>1418</v>
      </c>
      <c r="G417" t="s">
        <v>1422</v>
      </c>
    </row>
    <row r="418" spans="1:7" hidden="1">
      <c r="A418">
        <v>415</v>
      </c>
      <c r="B418" t="s">
        <v>149</v>
      </c>
      <c r="C418" t="s">
        <v>1123</v>
      </c>
      <c r="D418" t="s">
        <v>1538</v>
      </c>
      <c r="E418" t="s">
        <v>1422</v>
      </c>
      <c r="F418" t="s">
        <v>1422</v>
      </c>
      <c r="G418">
        <v>-178</v>
      </c>
    </row>
    <row r="419" spans="1:7">
      <c r="A419">
        <v>416</v>
      </c>
      <c r="B419" t="s">
        <v>392</v>
      </c>
      <c r="C419" t="s">
        <v>910</v>
      </c>
      <c r="D419" t="s">
        <v>1521</v>
      </c>
      <c r="E419">
        <v>13</v>
      </c>
      <c r="F419" t="s">
        <v>1418</v>
      </c>
      <c r="G419" t="s">
        <v>1422</v>
      </c>
    </row>
    <row r="420" spans="1:7" hidden="1">
      <c r="A420">
        <v>417</v>
      </c>
      <c r="B420" t="s">
        <v>301</v>
      </c>
      <c r="C420" t="s">
        <v>1123</v>
      </c>
      <c r="D420" t="s">
        <v>1539</v>
      </c>
      <c r="E420" t="s">
        <v>1422</v>
      </c>
      <c r="F420" t="s">
        <v>1422</v>
      </c>
      <c r="G420" t="s">
        <v>1422</v>
      </c>
    </row>
    <row r="421" spans="1:7" hidden="1">
      <c r="A421">
        <v>418</v>
      </c>
      <c r="B421" t="s">
        <v>2078</v>
      </c>
      <c r="C421" t="s">
        <v>910</v>
      </c>
      <c r="D421" t="s">
        <v>1545</v>
      </c>
      <c r="E421">
        <v>13</v>
      </c>
      <c r="F421" t="s">
        <v>1417</v>
      </c>
      <c r="G421" t="s">
        <v>1422</v>
      </c>
    </row>
    <row r="422" spans="1:7" hidden="1">
      <c r="A422">
        <v>419</v>
      </c>
      <c r="B422" t="s">
        <v>369</v>
      </c>
      <c r="C422" t="s">
        <v>887</v>
      </c>
      <c r="D422" t="s">
        <v>1574</v>
      </c>
      <c r="E422">
        <v>11</v>
      </c>
      <c r="F422" t="s">
        <v>1418</v>
      </c>
      <c r="G422" t="s">
        <v>1422</v>
      </c>
    </row>
    <row r="423" spans="1:7">
      <c r="A423">
        <v>420</v>
      </c>
      <c r="B423" t="s">
        <v>2072</v>
      </c>
      <c r="C423" t="s">
        <v>918</v>
      </c>
      <c r="D423" t="s">
        <v>1525</v>
      </c>
      <c r="E423">
        <v>5</v>
      </c>
      <c r="F423" t="s">
        <v>1421</v>
      </c>
      <c r="G423" t="s">
        <v>1422</v>
      </c>
    </row>
    <row r="424" spans="1:7" hidden="1">
      <c r="A424">
        <v>421</v>
      </c>
      <c r="B424" t="s">
        <v>442</v>
      </c>
      <c r="C424" t="s">
        <v>868</v>
      </c>
      <c r="D424" t="s">
        <v>1540</v>
      </c>
      <c r="E424">
        <v>11</v>
      </c>
      <c r="F424" t="s">
        <v>1418</v>
      </c>
      <c r="G424" t="s">
        <v>1422</v>
      </c>
    </row>
    <row r="425" spans="1:7" hidden="1">
      <c r="A425">
        <v>422</v>
      </c>
      <c r="B425" t="s">
        <v>2018</v>
      </c>
      <c r="C425" t="s">
        <v>1123</v>
      </c>
      <c r="D425" t="s">
        <v>1542</v>
      </c>
      <c r="E425" t="s">
        <v>1422</v>
      </c>
      <c r="F425" t="s">
        <v>1422</v>
      </c>
      <c r="G425" t="s">
        <v>1422</v>
      </c>
    </row>
    <row r="426" spans="1:7" hidden="1">
      <c r="A426">
        <v>423</v>
      </c>
      <c r="B426" t="s">
        <v>444</v>
      </c>
      <c r="C426" t="s">
        <v>902</v>
      </c>
      <c r="D426" t="s">
        <v>1546</v>
      </c>
      <c r="E426">
        <v>7</v>
      </c>
      <c r="F426" t="s">
        <v>1417</v>
      </c>
      <c r="G426" t="s">
        <v>1422</v>
      </c>
    </row>
    <row r="427" spans="1:7">
      <c r="A427">
        <v>424</v>
      </c>
      <c r="B427" t="s">
        <v>409</v>
      </c>
      <c r="C427" t="s">
        <v>891</v>
      </c>
      <c r="D427" t="s">
        <v>1527</v>
      </c>
      <c r="E427">
        <v>14</v>
      </c>
      <c r="F427" t="s">
        <v>1418</v>
      </c>
      <c r="G427" t="s">
        <v>1422</v>
      </c>
    </row>
    <row r="428" spans="1:7" hidden="1">
      <c r="A428">
        <v>425</v>
      </c>
      <c r="B428" t="s">
        <v>339</v>
      </c>
      <c r="C428" t="s">
        <v>877</v>
      </c>
      <c r="D428" t="s">
        <v>1593</v>
      </c>
      <c r="E428">
        <v>6</v>
      </c>
      <c r="F428" t="s">
        <v>1416</v>
      </c>
      <c r="G428">
        <v>-95</v>
      </c>
    </row>
    <row r="429" spans="1:7" hidden="1">
      <c r="A429">
        <v>426</v>
      </c>
      <c r="B429" t="s">
        <v>2135</v>
      </c>
      <c r="C429" t="s">
        <v>921</v>
      </c>
      <c r="D429" t="s">
        <v>1549</v>
      </c>
      <c r="E429">
        <v>11</v>
      </c>
      <c r="F429" t="s">
        <v>1418</v>
      </c>
      <c r="G429" t="s">
        <v>1422</v>
      </c>
    </row>
    <row r="430" spans="1:7" hidden="1">
      <c r="A430">
        <v>427</v>
      </c>
      <c r="B430" t="s">
        <v>274</v>
      </c>
      <c r="C430" t="s">
        <v>1123</v>
      </c>
      <c r="D430" t="s">
        <v>1535</v>
      </c>
      <c r="E430" t="s">
        <v>1422</v>
      </c>
      <c r="F430" t="s">
        <v>1422</v>
      </c>
      <c r="G430" t="s">
        <v>1422</v>
      </c>
    </row>
    <row r="431" spans="1:7" hidden="1">
      <c r="A431">
        <v>428</v>
      </c>
      <c r="B431" t="s">
        <v>384</v>
      </c>
      <c r="C431" t="s">
        <v>868</v>
      </c>
      <c r="D431" t="s">
        <v>1580</v>
      </c>
      <c r="E431">
        <v>11</v>
      </c>
      <c r="F431" t="s">
        <v>1416</v>
      </c>
      <c r="G431" t="s">
        <v>1422</v>
      </c>
    </row>
    <row r="432" spans="1:7" hidden="1">
      <c r="A432">
        <v>429</v>
      </c>
      <c r="B432" t="s">
        <v>2094</v>
      </c>
      <c r="C432" t="s">
        <v>929</v>
      </c>
      <c r="D432" t="s">
        <v>1536</v>
      </c>
      <c r="E432">
        <v>10</v>
      </c>
      <c r="F432" t="s">
        <v>1416</v>
      </c>
      <c r="G432" t="s">
        <v>1422</v>
      </c>
    </row>
    <row r="433" spans="1:7" hidden="1">
      <c r="A433">
        <v>430</v>
      </c>
      <c r="B433" t="s">
        <v>327</v>
      </c>
      <c r="C433" t="s">
        <v>1123</v>
      </c>
      <c r="D433" t="s">
        <v>1550</v>
      </c>
      <c r="E433" t="s">
        <v>1422</v>
      </c>
      <c r="F433" t="s">
        <v>1422</v>
      </c>
      <c r="G433" t="s">
        <v>1422</v>
      </c>
    </row>
    <row r="434" spans="1:7" hidden="1">
      <c r="A434">
        <v>431</v>
      </c>
      <c r="B434" t="s">
        <v>267</v>
      </c>
      <c r="C434" t="s">
        <v>902</v>
      </c>
      <c r="D434" t="s">
        <v>1537</v>
      </c>
      <c r="E434">
        <v>7</v>
      </c>
      <c r="F434" t="s">
        <v>1418</v>
      </c>
      <c r="G434" t="s">
        <v>1422</v>
      </c>
    </row>
    <row r="435" spans="1:7" hidden="1">
      <c r="A435">
        <v>432</v>
      </c>
      <c r="B435" t="s">
        <v>2092</v>
      </c>
      <c r="C435" t="s">
        <v>885</v>
      </c>
      <c r="D435" t="s">
        <v>1544</v>
      </c>
      <c r="E435">
        <v>13</v>
      </c>
      <c r="F435" t="s">
        <v>1417</v>
      </c>
      <c r="G435" t="s">
        <v>1422</v>
      </c>
    </row>
    <row r="436" spans="1:7" hidden="1">
      <c r="A436">
        <v>433</v>
      </c>
      <c r="B436" t="s">
        <v>2080</v>
      </c>
      <c r="C436" t="s">
        <v>910</v>
      </c>
      <c r="D436" t="s">
        <v>1553</v>
      </c>
      <c r="E436">
        <v>13</v>
      </c>
      <c r="F436" t="s">
        <v>1417</v>
      </c>
      <c r="G436" t="s">
        <v>1422</v>
      </c>
    </row>
    <row r="437" spans="1:7">
      <c r="A437">
        <v>434</v>
      </c>
      <c r="B437" t="s">
        <v>2087</v>
      </c>
      <c r="C437" t="s">
        <v>902</v>
      </c>
      <c r="D437" t="s">
        <v>1533</v>
      </c>
      <c r="E437">
        <v>7</v>
      </c>
      <c r="F437" t="s">
        <v>1419</v>
      </c>
      <c r="G437" t="s">
        <v>1422</v>
      </c>
    </row>
    <row r="438" spans="1:7" hidden="1">
      <c r="A438">
        <v>435</v>
      </c>
      <c r="B438" t="s">
        <v>307</v>
      </c>
      <c r="C438" t="s">
        <v>870</v>
      </c>
      <c r="D438" t="s">
        <v>1551</v>
      </c>
      <c r="E438">
        <v>10</v>
      </c>
      <c r="F438" t="s">
        <v>1417</v>
      </c>
      <c r="G438" t="s">
        <v>1422</v>
      </c>
    </row>
    <row r="439" spans="1:7" hidden="1">
      <c r="A439">
        <v>436</v>
      </c>
      <c r="B439" t="s">
        <v>1568</v>
      </c>
      <c r="C439" t="s">
        <v>872</v>
      </c>
      <c r="D439" t="s">
        <v>1554</v>
      </c>
      <c r="E439">
        <v>14</v>
      </c>
      <c r="F439" t="s">
        <v>1417</v>
      </c>
      <c r="G439" t="s">
        <v>1422</v>
      </c>
    </row>
    <row r="440" spans="1:7" hidden="1">
      <c r="A440">
        <v>437</v>
      </c>
      <c r="B440" t="s">
        <v>2113</v>
      </c>
      <c r="C440" t="s">
        <v>866</v>
      </c>
      <c r="D440" t="s">
        <v>1555</v>
      </c>
      <c r="E440">
        <v>6</v>
      </c>
      <c r="F440" t="s">
        <v>1417</v>
      </c>
      <c r="G440" t="s">
        <v>1422</v>
      </c>
    </row>
    <row r="441" spans="1:7" hidden="1">
      <c r="A441">
        <v>438</v>
      </c>
      <c r="B441" t="s">
        <v>457</v>
      </c>
      <c r="C441" t="s">
        <v>902</v>
      </c>
      <c r="D441" t="s">
        <v>1581</v>
      </c>
      <c r="E441">
        <v>7</v>
      </c>
      <c r="F441" t="s">
        <v>1420</v>
      </c>
      <c r="G441" t="s">
        <v>1422</v>
      </c>
    </row>
    <row r="442" spans="1:7" hidden="1">
      <c r="A442">
        <v>439</v>
      </c>
      <c r="B442" t="s">
        <v>479</v>
      </c>
      <c r="C442" t="s">
        <v>874</v>
      </c>
      <c r="D442" t="s">
        <v>1561</v>
      </c>
      <c r="E442">
        <v>11</v>
      </c>
      <c r="F442" t="s">
        <v>1419</v>
      </c>
      <c r="G442" t="s">
        <v>1422</v>
      </c>
    </row>
    <row r="443" spans="1:7">
      <c r="A443">
        <v>440</v>
      </c>
      <c r="B443" t="s">
        <v>2071</v>
      </c>
      <c r="C443" t="s">
        <v>937</v>
      </c>
      <c r="D443" t="s">
        <v>1543</v>
      </c>
      <c r="E443">
        <v>9</v>
      </c>
      <c r="F443" t="s">
        <v>1417</v>
      </c>
      <c r="G443" t="s">
        <v>1422</v>
      </c>
    </row>
    <row r="444" spans="1:7" hidden="1">
      <c r="A444">
        <v>441</v>
      </c>
      <c r="B444" t="s">
        <v>2101</v>
      </c>
      <c r="C444" t="s">
        <v>889</v>
      </c>
      <c r="D444" t="s">
        <v>1582</v>
      </c>
      <c r="E444">
        <v>13</v>
      </c>
      <c r="F444" t="s">
        <v>1417</v>
      </c>
      <c r="G444" t="s">
        <v>1422</v>
      </c>
    </row>
    <row r="445" spans="1:7">
      <c r="A445">
        <v>442</v>
      </c>
      <c r="B445" t="s">
        <v>366</v>
      </c>
      <c r="C445" t="s">
        <v>1123</v>
      </c>
      <c r="D445" t="s">
        <v>1584</v>
      </c>
      <c r="E445" t="s">
        <v>1422</v>
      </c>
      <c r="F445" t="s">
        <v>1422</v>
      </c>
      <c r="G445" t="s">
        <v>1422</v>
      </c>
    </row>
    <row r="446" spans="1:7" hidden="1">
      <c r="A446">
        <v>443</v>
      </c>
      <c r="B446" t="s">
        <v>2136</v>
      </c>
      <c r="C446" t="s">
        <v>918</v>
      </c>
      <c r="D446" t="s">
        <v>1564</v>
      </c>
      <c r="E446">
        <v>5</v>
      </c>
      <c r="F446" t="s">
        <v>1420</v>
      </c>
      <c r="G446" t="s">
        <v>1422</v>
      </c>
    </row>
    <row r="447" spans="1:7" hidden="1">
      <c r="A447">
        <v>444</v>
      </c>
      <c r="B447" t="s">
        <v>2137</v>
      </c>
      <c r="C447" t="s">
        <v>881</v>
      </c>
      <c r="D447" t="s">
        <v>1569</v>
      </c>
      <c r="E447">
        <v>7</v>
      </c>
      <c r="F447" t="s">
        <v>1417</v>
      </c>
      <c r="G447" t="s">
        <v>1422</v>
      </c>
    </row>
    <row r="448" spans="1:7" hidden="1">
      <c r="A448">
        <v>445</v>
      </c>
      <c r="B448" t="s">
        <v>2119</v>
      </c>
      <c r="C448" t="s">
        <v>910</v>
      </c>
      <c r="D448" t="s">
        <v>1575</v>
      </c>
      <c r="E448">
        <v>13</v>
      </c>
      <c r="F448" t="s">
        <v>1416</v>
      </c>
      <c r="G448" t="s">
        <v>1422</v>
      </c>
    </row>
    <row r="449" spans="1:7" hidden="1">
      <c r="A449">
        <v>446</v>
      </c>
      <c r="B449" t="s">
        <v>2085</v>
      </c>
      <c r="C449" t="s">
        <v>1123</v>
      </c>
      <c r="D449" t="s">
        <v>1576</v>
      </c>
      <c r="E449" t="s">
        <v>1422</v>
      </c>
      <c r="F449" t="s">
        <v>1422</v>
      </c>
      <c r="G449" t="s">
        <v>1422</v>
      </c>
    </row>
    <row r="450" spans="1:7" hidden="1">
      <c r="A450">
        <v>447</v>
      </c>
      <c r="B450" t="s">
        <v>414</v>
      </c>
      <c r="C450" t="s">
        <v>869</v>
      </c>
      <c r="D450" t="s">
        <v>1587</v>
      </c>
      <c r="E450">
        <v>6</v>
      </c>
      <c r="F450" t="s">
        <v>1417</v>
      </c>
      <c r="G450" t="s">
        <v>1422</v>
      </c>
    </row>
    <row r="451" spans="1:7" hidden="1">
      <c r="A451">
        <v>448</v>
      </c>
      <c r="B451" t="s">
        <v>2089</v>
      </c>
      <c r="C451" t="s">
        <v>874</v>
      </c>
      <c r="D451" t="s">
        <v>1556</v>
      </c>
      <c r="E451">
        <v>11</v>
      </c>
      <c r="F451" t="s">
        <v>1420</v>
      </c>
      <c r="G451" t="s">
        <v>1422</v>
      </c>
    </row>
    <row r="452" spans="1:7" hidden="1">
      <c r="A452">
        <v>449</v>
      </c>
      <c r="B452" t="s">
        <v>356</v>
      </c>
      <c r="C452" t="s">
        <v>1123</v>
      </c>
      <c r="D452" t="s">
        <v>1562</v>
      </c>
      <c r="E452" t="s">
        <v>1422</v>
      </c>
      <c r="F452" t="s">
        <v>1422</v>
      </c>
      <c r="G452" t="s">
        <v>1422</v>
      </c>
    </row>
    <row r="453" spans="1:7" hidden="1">
      <c r="A453">
        <v>450</v>
      </c>
      <c r="B453" t="s">
        <v>2080</v>
      </c>
      <c r="C453" t="s">
        <v>1123</v>
      </c>
      <c r="D453" t="s">
        <v>1563</v>
      </c>
      <c r="E453" t="s">
        <v>1422</v>
      </c>
      <c r="F453" t="s">
        <v>1422</v>
      </c>
      <c r="G453" t="s">
        <v>1422</v>
      </c>
    </row>
    <row r="454" spans="1:7" hidden="1">
      <c r="A454">
        <v>451</v>
      </c>
      <c r="B454" t="s">
        <v>459</v>
      </c>
      <c r="C454" t="s">
        <v>891</v>
      </c>
      <c r="D454" t="s">
        <v>1589</v>
      </c>
      <c r="E454">
        <v>14</v>
      </c>
      <c r="F454" t="s">
        <v>1418</v>
      </c>
      <c r="G454" t="s">
        <v>1422</v>
      </c>
    </row>
    <row r="455" spans="1:7" hidden="1">
      <c r="A455">
        <v>452</v>
      </c>
      <c r="B455" t="s">
        <v>477</v>
      </c>
      <c r="C455" t="s">
        <v>937</v>
      </c>
      <c r="D455" t="s">
        <v>1585</v>
      </c>
      <c r="E455">
        <v>9</v>
      </c>
      <c r="F455" t="s">
        <v>1416</v>
      </c>
      <c r="G455" t="s">
        <v>1422</v>
      </c>
    </row>
    <row r="456" spans="1:7" hidden="1">
      <c r="A456">
        <v>453</v>
      </c>
      <c r="B456" t="s">
        <v>2079</v>
      </c>
      <c r="C456" t="s">
        <v>929</v>
      </c>
      <c r="D456" t="s">
        <v>1586</v>
      </c>
      <c r="E456">
        <v>10</v>
      </c>
      <c r="F456" t="s">
        <v>1418</v>
      </c>
      <c r="G456" t="s">
        <v>1422</v>
      </c>
    </row>
    <row r="457" spans="1:7" hidden="1">
      <c r="A457">
        <v>454</v>
      </c>
      <c r="B457" t="s">
        <v>2112</v>
      </c>
      <c r="C457" t="s">
        <v>869</v>
      </c>
      <c r="D457" t="s">
        <v>1588</v>
      </c>
      <c r="E457">
        <v>6</v>
      </c>
      <c r="F457" t="s">
        <v>1417</v>
      </c>
      <c r="G457" t="s">
        <v>1422</v>
      </c>
    </row>
    <row r="458" spans="1:7" hidden="1">
      <c r="A458">
        <v>455</v>
      </c>
      <c r="B458" t="s">
        <v>285</v>
      </c>
      <c r="C458" t="s">
        <v>1123</v>
      </c>
      <c r="D458" t="s">
        <v>1595</v>
      </c>
      <c r="E458" t="s">
        <v>1422</v>
      </c>
      <c r="F458" t="s">
        <v>1422</v>
      </c>
      <c r="G458" t="s">
        <v>1422</v>
      </c>
    </row>
    <row r="459" spans="1:7" hidden="1">
      <c r="A459">
        <v>456</v>
      </c>
      <c r="B459" t="s">
        <v>2110</v>
      </c>
      <c r="C459" t="s">
        <v>893</v>
      </c>
      <c r="D459" t="s">
        <v>1598</v>
      </c>
      <c r="E459">
        <v>10</v>
      </c>
      <c r="F459" t="s">
        <v>1418</v>
      </c>
      <c r="G459" t="s">
        <v>1422</v>
      </c>
    </row>
    <row r="460" spans="1:7" hidden="1">
      <c r="A460">
        <v>457</v>
      </c>
      <c r="B460" t="s">
        <v>283</v>
      </c>
      <c r="C460" t="s">
        <v>870</v>
      </c>
      <c r="D460" t="s">
        <v>1570</v>
      </c>
      <c r="E460">
        <v>10</v>
      </c>
      <c r="F460" t="s">
        <v>1417</v>
      </c>
      <c r="G460" t="s">
        <v>1422</v>
      </c>
    </row>
    <row r="461" spans="1:7" hidden="1">
      <c r="A461">
        <v>458</v>
      </c>
      <c r="B461" t="s">
        <v>2082</v>
      </c>
      <c r="C461" t="s">
        <v>879</v>
      </c>
      <c r="D461" t="s">
        <v>1599</v>
      </c>
      <c r="E461">
        <v>8</v>
      </c>
      <c r="F461" t="s">
        <v>1417</v>
      </c>
      <c r="G461" t="s">
        <v>1422</v>
      </c>
    </row>
    <row r="462" spans="1:7" hidden="1">
      <c r="A462">
        <v>459</v>
      </c>
      <c r="B462" t="s">
        <v>395</v>
      </c>
      <c r="C462" t="s">
        <v>873</v>
      </c>
      <c r="D462" t="s">
        <v>1571</v>
      </c>
      <c r="E462">
        <v>8</v>
      </c>
      <c r="F462" t="s">
        <v>1418</v>
      </c>
      <c r="G462" t="s">
        <v>1422</v>
      </c>
    </row>
    <row r="463" spans="1:7" hidden="1">
      <c r="A463">
        <v>460</v>
      </c>
      <c r="B463" t="s">
        <v>219</v>
      </c>
      <c r="C463" t="s">
        <v>1123</v>
      </c>
      <c r="D463" t="s">
        <v>1601</v>
      </c>
      <c r="E463" t="s">
        <v>1422</v>
      </c>
      <c r="F463" t="s">
        <v>1422</v>
      </c>
      <c r="G463" t="s">
        <v>1422</v>
      </c>
    </row>
    <row r="464" spans="1:7" hidden="1">
      <c r="A464">
        <v>461</v>
      </c>
      <c r="B464" t="s">
        <v>2091</v>
      </c>
      <c r="C464" t="s">
        <v>1123</v>
      </c>
      <c r="D464" t="s">
        <v>1572</v>
      </c>
      <c r="E464" t="s">
        <v>1422</v>
      </c>
      <c r="F464" t="s">
        <v>1422</v>
      </c>
      <c r="G464" t="s">
        <v>1422</v>
      </c>
    </row>
    <row r="465" spans="1:7" hidden="1">
      <c r="A465">
        <v>462</v>
      </c>
      <c r="B465" t="s">
        <v>2083</v>
      </c>
      <c r="C465" t="s">
        <v>1123</v>
      </c>
      <c r="D465" t="s">
        <v>1600</v>
      </c>
      <c r="E465" t="s">
        <v>1422</v>
      </c>
      <c r="F465" t="s">
        <v>1422</v>
      </c>
      <c r="G465" t="s">
        <v>1422</v>
      </c>
    </row>
    <row r="466" spans="1:7" hidden="1">
      <c r="A466">
        <v>463</v>
      </c>
      <c r="B466" t="s">
        <v>454</v>
      </c>
      <c r="C466" t="s">
        <v>898</v>
      </c>
      <c r="D466" t="s">
        <v>1609</v>
      </c>
      <c r="E466">
        <v>7</v>
      </c>
      <c r="F466" t="s">
        <v>1416</v>
      </c>
      <c r="G466" t="s">
        <v>1422</v>
      </c>
    </row>
    <row r="467" spans="1:7" hidden="1">
      <c r="A467">
        <v>464</v>
      </c>
      <c r="B467" t="s">
        <v>2111</v>
      </c>
      <c r="C467" t="s">
        <v>875</v>
      </c>
      <c r="D467" t="s">
        <v>1611</v>
      </c>
      <c r="E467">
        <v>8</v>
      </c>
      <c r="F467" t="s">
        <v>1417</v>
      </c>
      <c r="G467" t="s">
        <v>1422</v>
      </c>
    </row>
    <row r="468" spans="1:7" hidden="1">
      <c r="A468">
        <v>465</v>
      </c>
      <c r="B468" t="s">
        <v>498</v>
      </c>
      <c r="C468" t="s">
        <v>935</v>
      </c>
      <c r="D468" t="s">
        <v>1604</v>
      </c>
      <c r="E468">
        <v>10</v>
      </c>
      <c r="F468" t="s">
        <v>1417</v>
      </c>
      <c r="G468" t="s">
        <v>1422</v>
      </c>
    </row>
    <row r="469" spans="1:7" hidden="1">
      <c r="A469">
        <v>466</v>
      </c>
      <c r="B469" t="s">
        <v>2090</v>
      </c>
      <c r="C469" t="s">
        <v>881</v>
      </c>
      <c r="D469" t="s">
        <v>1606</v>
      </c>
      <c r="E469">
        <v>7</v>
      </c>
      <c r="F469" t="s">
        <v>1416</v>
      </c>
      <c r="G469" t="s">
        <v>1422</v>
      </c>
    </row>
    <row r="470" spans="1:7" hidden="1">
      <c r="A470">
        <v>467</v>
      </c>
      <c r="B470" t="s">
        <v>2097</v>
      </c>
      <c r="C470" t="s">
        <v>881</v>
      </c>
      <c r="D470" t="s">
        <v>1615</v>
      </c>
      <c r="E470">
        <v>7</v>
      </c>
      <c r="F470" t="s">
        <v>1416</v>
      </c>
      <c r="G470" t="s">
        <v>1422</v>
      </c>
    </row>
    <row r="471" spans="1:7" hidden="1">
      <c r="A471">
        <v>468</v>
      </c>
      <c r="B471" t="s">
        <v>298</v>
      </c>
      <c r="C471" t="s">
        <v>1123</v>
      </c>
      <c r="D471" t="s">
        <v>1616</v>
      </c>
      <c r="E471" t="s">
        <v>1422</v>
      </c>
      <c r="F471" t="s">
        <v>1422</v>
      </c>
      <c r="G471" t="s">
        <v>1422</v>
      </c>
    </row>
    <row r="472" spans="1:7" hidden="1">
      <c r="A472">
        <v>469</v>
      </c>
      <c r="B472" t="s">
        <v>338</v>
      </c>
      <c r="C472" t="s">
        <v>916</v>
      </c>
      <c r="D472" t="s">
        <v>1613</v>
      </c>
      <c r="E472">
        <v>8</v>
      </c>
      <c r="F472" t="s">
        <v>1416</v>
      </c>
      <c r="G472" t="s">
        <v>1422</v>
      </c>
    </row>
    <row r="473" spans="1:7" hidden="1">
      <c r="A473">
        <v>470</v>
      </c>
      <c r="B473" t="s">
        <v>2100</v>
      </c>
      <c r="C473" t="s">
        <v>901</v>
      </c>
      <c r="D473" t="s">
        <v>1619</v>
      </c>
      <c r="E473">
        <v>7</v>
      </c>
      <c r="F473" t="s">
        <v>1416</v>
      </c>
      <c r="G473" t="s">
        <v>1422</v>
      </c>
    </row>
    <row r="474" spans="1:7" hidden="1">
      <c r="A474">
        <v>471</v>
      </c>
      <c r="B474" t="s">
        <v>441</v>
      </c>
      <c r="C474" t="s">
        <v>872</v>
      </c>
      <c r="D474" t="s">
        <v>1557</v>
      </c>
      <c r="E474">
        <v>14</v>
      </c>
      <c r="F474" t="s">
        <v>1418</v>
      </c>
      <c r="G474" t="s">
        <v>1422</v>
      </c>
    </row>
    <row r="475" spans="1:7" hidden="1">
      <c r="A475">
        <v>472</v>
      </c>
      <c r="B475" t="s">
        <v>1636</v>
      </c>
      <c r="C475" t="s">
        <v>868</v>
      </c>
      <c r="D475" t="s">
        <v>1573</v>
      </c>
      <c r="E475">
        <v>11</v>
      </c>
      <c r="F475" t="s">
        <v>1416</v>
      </c>
      <c r="G475" t="s">
        <v>1422</v>
      </c>
    </row>
    <row r="476" spans="1:7" hidden="1">
      <c r="A476">
        <v>473</v>
      </c>
      <c r="B476" t="s">
        <v>388</v>
      </c>
      <c r="C476" t="s">
        <v>901</v>
      </c>
      <c r="D476" t="s">
        <v>1577</v>
      </c>
      <c r="E476">
        <v>7</v>
      </c>
      <c r="F476" t="s">
        <v>1417</v>
      </c>
      <c r="G476" t="s">
        <v>1422</v>
      </c>
    </row>
    <row r="477" spans="1:7" hidden="1">
      <c r="A477">
        <v>474</v>
      </c>
      <c r="B477" t="s">
        <v>2099</v>
      </c>
      <c r="C477" t="s">
        <v>921</v>
      </c>
      <c r="D477" t="s">
        <v>1614</v>
      </c>
      <c r="E477">
        <v>11</v>
      </c>
      <c r="F477" t="s">
        <v>1418</v>
      </c>
      <c r="G477" t="s">
        <v>1422</v>
      </c>
    </row>
    <row r="478" spans="1:7" hidden="1">
      <c r="A478">
        <v>475</v>
      </c>
      <c r="B478" t="s">
        <v>2095</v>
      </c>
      <c r="C478" t="s">
        <v>925</v>
      </c>
      <c r="D478" t="s">
        <v>1617</v>
      </c>
      <c r="E478">
        <v>5</v>
      </c>
      <c r="F478" t="s">
        <v>1416</v>
      </c>
      <c r="G478" t="s">
        <v>1422</v>
      </c>
    </row>
    <row r="479" spans="1:7" hidden="1">
      <c r="A479">
        <v>476</v>
      </c>
      <c r="B479" t="s">
        <v>2120</v>
      </c>
      <c r="C479" t="s">
        <v>891</v>
      </c>
      <c r="D479" t="s">
        <v>1578</v>
      </c>
      <c r="E479">
        <v>14</v>
      </c>
      <c r="F479" t="s">
        <v>1418</v>
      </c>
      <c r="G479" t="s">
        <v>1422</v>
      </c>
    </row>
    <row r="480" spans="1:7" hidden="1">
      <c r="A480">
        <v>477</v>
      </c>
      <c r="B480" t="s">
        <v>304</v>
      </c>
      <c r="C480" t="s">
        <v>910</v>
      </c>
      <c r="D480" t="s">
        <v>1579</v>
      </c>
      <c r="E480">
        <v>13</v>
      </c>
      <c r="F480" t="s">
        <v>1417</v>
      </c>
      <c r="G480" t="s">
        <v>1422</v>
      </c>
    </row>
    <row r="481" spans="1:7" hidden="1">
      <c r="A481">
        <v>478</v>
      </c>
      <c r="B481" t="s">
        <v>171</v>
      </c>
      <c r="C481" t="s">
        <v>1123</v>
      </c>
      <c r="D481" t="s">
        <v>1623</v>
      </c>
      <c r="E481" t="s">
        <v>1422</v>
      </c>
      <c r="F481" t="s">
        <v>1422</v>
      </c>
      <c r="G481" t="s">
        <v>1422</v>
      </c>
    </row>
    <row r="482" spans="1:7" hidden="1">
      <c r="A482">
        <v>479</v>
      </c>
      <c r="B482" t="s">
        <v>278</v>
      </c>
      <c r="C482" t="s">
        <v>1123</v>
      </c>
      <c r="D482" t="s">
        <v>1590</v>
      </c>
      <c r="E482" t="s">
        <v>1422</v>
      </c>
      <c r="F482" t="s">
        <v>1422</v>
      </c>
      <c r="G482" t="s">
        <v>1422</v>
      </c>
    </row>
    <row r="483" spans="1:7" hidden="1">
      <c r="A483">
        <v>480</v>
      </c>
      <c r="B483" t="s">
        <v>315</v>
      </c>
      <c r="C483" t="s">
        <v>937</v>
      </c>
      <c r="D483" t="s">
        <v>1594</v>
      </c>
      <c r="E483">
        <v>9</v>
      </c>
      <c r="F483" t="s">
        <v>1416</v>
      </c>
      <c r="G483" t="s">
        <v>1422</v>
      </c>
    </row>
    <row r="484" spans="1:7" hidden="1">
      <c r="A484">
        <v>481</v>
      </c>
      <c r="B484" t="s">
        <v>405</v>
      </c>
      <c r="C484" t="s">
        <v>898</v>
      </c>
      <c r="D484" t="s">
        <v>1596</v>
      </c>
      <c r="E484">
        <v>7</v>
      </c>
      <c r="F484" t="s">
        <v>1418</v>
      </c>
      <c r="G484" t="s">
        <v>1422</v>
      </c>
    </row>
    <row r="485" spans="1:7" hidden="1">
      <c r="A485">
        <v>482</v>
      </c>
      <c r="B485" t="s">
        <v>474</v>
      </c>
      <c r="C485" t="s">
        <v>935</v>
      </c>
      <c r="D485" t="s">
        <v>1618</v>
      </c>
      <c r="E485">
        <v>10</v>
      </c>
      <c r="F485" t="s">
        <v>1418</v>
      </c>
      <c r="G485" t="s">
        <v>1422</v>
      </c>
    </row>
    <row r="486" spans="1:7" hidden="1">
      <c r="A486">
        <v>483</v>
      </c>
      <c r="B486" t="s">
        <v>2096</v>
      </c>
      <c r="C486" t="s">
        <v>877</v>
      </c>
      <c r="D486" t="s">
        <v>1625</v>
      </c>
      <c r="E486">
        <v>6</v>
      </c>
      <c r="F486" t="s">
        <v>1419</v>
      </c>
      <c r="G486" t="s">
        <v>1422</v>
      </c>
    </row>
    <row r="487" spans="1:7" hidden="1">
      <c r="A487">
        <v>484</v>
      </c>
      <c r="B487" t="s">
        <v>317</v>
      </c>
      <c r="C487" t="s">
        <v>1123</v>
      </c>
      <c r="D487" t="s">
        <v>1620</v>
      </c>
      <c r="E487" t="s">
        <v>1422</v>
      </c>
      <c r="F487" t="s">
        <v>1422</v>
      </c>
      <c r="G487" t="s">
        <v>1422</v>
      </c>
    </row>
    <row r="488" spans="1:7" hidden="1">
      <c r="A488">
        <v>485</v>
      </c>
      <c r="B488" t="s">
        <v>423</v>
      </c>
      <c r="C488" t="s">
        <v>873</v>
      </c>
      <c r="D488" t="s">
        <v>1602</v>
      </c>
      <c r="E488">
        <v>8</v>
      </c>
      <c r="F488" t="s">
        <v>1418</v>
      </c>
      <c r="G488" t="s">
        <v>1422</v>
      </c>
    </row>
    <row r="489" spans="1:7" hidden="1">
      <c r="A489">
        <v>486</v>
      </c>
      <c r="B489" t="s">
        <v>385</v>
      </c>
      <c r="C489" t="s">
        <v>937</v>
      </c>
      <c r="D489" t="s">
        <v>1621</v>
      </c>
      <c r="E489">
        <v>9</v>
      </c>
      <c r="F489" t="s">
        <v>1416</v>
      </c>
      <c r="G489" t="s">
        <v>1422</v>
      </c>
    </row>
    <row r="490" spans="1:7" hidden="1">
      <c r="A490">
        <v>487</v>
      </c>
      <c r="B490" t="s">
        <v>445</v>
      </c>
      <c r="C490" t="s">
        <v>918</v>
      </c>
      <c r="D490" t="s">
        <v>1603</v>
      </c>
      <c r="E490">
        <v>5</v>
      </c>
      <c r="F490" t="s">
        <v>1418</v>
      </c>
      <c r="G490" t="s">
        <v>1422</v>
      </c>
    </row>
    <row r="491" spans="1:7" hidden="1">
      <c r="A491">
        <v>488</v>
      </c>
      <c r="B491" t="s">
        <v>2138</v>
      </c>
      <c r="C491" t="s">
        <v>929</v>
      </c>
      <c r="D491" t="s">
        <v>2124</v>
      </c>
      <c r="E491">
        <v>10</v>
      </c>
      <c r="F491" t="s">
        <v>1418</v>
      </c>
      <c r="G491" t="s">
        <v>1422</v>
      </c>
    </row>
    <row r="492" spans="1:7" hidden="1">
      <c r="A492">
        <v>489</v>
      </c>
      <c r="B492" t="s">
        <v>2102</v>
      </c>
      <c r="C492" t="s">
        <v>935</v>
      </c>
      <c r="D492" t="s">
        <v>1607</v>
      </c>
      <c r="E492">
        <v>10</v>
      </c>
      <c r="F492" t="s">
        <v>1418</v>
      </c>
      <c r="G492" t="s">
        <v>1422</v>
      </c>
    </row>
    <row r="493" spans="1:7" hidden="1">
      <c r="A493">
        <v>490</v>
      </c>
      <c r="B493" t="s">
        <v>2139</v>
      </c>
      <c r="C493" t="s">
        <v>929</v>
      </c>
      <c r="D493" t="s">
        <v>1622</v>
      </c>
      <c r="E493">
        <v>10</v>
      </c>
      <c r="F493" t="s">
        <v>1416</v>
      </c>
      <c r="G493" t="s">
        <v>1422</v>
      </c>
    </row>
    <row r="494" spans="1:7" hidden="1">
      <c r="A494">
        <v>491</v>
      </c>
      <c r="B494" t="s">
        <v>2140</v>
      </c>
      <c r="C494" t="s">
        <v>921</v>
      </c>
      <c r="D494" t="s">
        <v>2141</v>
      </c>
      <c r="E494">
        <v>11</v>
      </c>
      <c r="F494" t="s">
        <v>1418</v>
      </c>
      <c r="G494" t="s">
        <v>1422</v>
      </c>
    </row>
    <row r="495" spans="1:7" hidden="1">
      <c r="A495">
        <v>492</v>
      </c>
      <c r="B495" t="s">
        <v>352</v>
      </c>
      <c r="C495" t="s">
        <v>869</v>
      </c>
      <c r="D495" t="s">
        <v>1629</v>
      </c>
      <c r="E495">
        <v>6</v>
      </c>
      <c r="F495" t="s">
        <v>1419</v>
      </c>
      <c r="G495" t="s">
        <v>1422</v>
      </c>
    </row>
    <row r="496" spans="1:7" hidden="1">
      <c r="A496">
        <v>493</v>
      </c>
      <c r="B496" t="s">
        <v>2142</v>
      </c>
      <c r="C496" t="s">
        <v>927</v>
      </c>
      <c r="D496" t="s">
        <v>1630</v>
      </c>
      <c r="E496">
        <v>9</v>
      </c>
      <c r="F496" t="s">
        <v>1416</v>
      </c>
      <c r="G496" t="s">
        <v>1422</v>
      </c>
    </row>
    <row r="497" spans="1:7" hidden="1">
      <c r="A497">
        <v>494</v>
      </c>
      <c r="B497" t="s">
        <v>410</v>
      </c>
      <c r="C497" t="s">
        <v>887</v>
      </c>
      <c r="D497" t="s">
        <v>1558</v>
      </c>
      <c r="E497">
        <v>11</v>
      </c>
      <c r="F497" t="s">
        <v>1417</v>
      </c>
      <c r="G497" t="s">
        <v>1422</v>
      </c>
    </row>
    <row r="498" spans="1:7" hidden="1">
      <c r="A498">
        <v>495</v>
      </c>
      <c r="B498" t="s">
        <v>2143</v>
      </c>
      <c r="C498" t="s">
        <v>927</v>
      </c>
      <c r="D498" t="s">
        <v>1565</v>
      </c>
      <c r="E498">
        <v>9</v>
      </c>
      <c r="F498" t="s">
        <v>1418</v>
      </c>
      <c r="G498" t="s">
        <v>1422</v>
      </c>
    </row>
    <row r="499" spans="1:7" hidden="1">
      <c r="A499">
        <v>496</v>
      </c>
      <c r="B499" t="s">
        <v>252</v>
      </c>
      <c r="C499" t="s">
        <v>876</v>
      </c>
      <c r="D499" t="s">
        <v>1631</v>
      </c>
      <c r="E499">
        <v>13</v>
      </c>
      <c r="F499" t="s">
        <v>1418</v>
      </c>
      <c r="G499" t="s">
        <v>1422</v>
      </c>
    </row>
    <row r="500" spans="1:7" hidden="1">
      <c r="A500">
        <v>497</v>
      </c>
      <c r="B500" t="s">
        <v>2144</v>
      </c>
      <c r="C500" t="s">
        <v>881</v>
      </c>
      <c r="D500" t="s">
        <v>1633</v>
      </c>
      <c r="E500">
        <v>7</v>
      </c>
      <c r="F500" t="s">
        <v>1417</v>
      </c>
      <c r="G500" t="s">
        <v>1422</v>
      </c>
    </row>
    <row r="501" spans="1:7" hidden="1">
      <c r="A501">
        <v>498</v>
      </c>
      <c r="B501" t="s">
        <v>2145</v>
      </c>
      <c r="C501" t="s">
        <v>916</v>
      </c>
      <c r="D501" t="s">
        <v>2146</v>
      </c>
      <c r="E501">
        <v>8</v>
      </c>
      <c r="F501" t="s">
        <v>1416</v>
      </c>
      <c r="G501" t="s">
        <v>1422</v>
      </c>
    </row>
    <row r="502" spans="1:7" hidden="1">
      <c r="A502">
        <v>499</v>
      </c>
      <c r="B502" t="s">
        <v>2147</v>
      </c>
      <c r="C502" t="s">
        <v>874</v>
      </c>
      <c r="D502" t="s">
        <v>2148</v>
      </c>
      <c r="E502">
        <v>11</v>
      </c>
      <c r="F502" t="s">
        <v>1419</v>
      </c>
      <c r="G502" t="s">
        <v>1422</v>
      </c>
    </row>
    <row r="503" spans="1:7" hidden="1">
      <c r="A503">
        <v>500</v>
      </c>
      <c r="B503" t="s">
        <v>188</v>
      </c>
      <c r="C503" t="s">
        <v>889</v>
      </c>
      <c r="D503" t="s">
        <v>1635</v>
      </c>
      <c r="E503">
        <v>13</v>
      </c>
      <c r="F503" t="s">
        <v>1417</v>
      </c>
      <c r="G503" t="s">
        <v>1422</v>
      </c>
    </row>
    <row r="504" spans="1:7" hidden="1">
      <c r="A504">
        <v>501</v>
      </c>
      <c r="B504" t="s">
        <v>2114</v>
      </c>
      <c r="C504" t="s">
        <v>879</v>
      </c>
      <c r="D504" t="s">
        <v>2149</v>
      </c>
      <c r="E504">
        <v>8</v>
      </c>
      <c r="F504" t="s">
        <v>1417</v>
      </c>
      <c r="G504" t="s">
        <v>1422</v>
      </c>
    </row>
    <row r="505" spans="1:7" hidden="1">
      <c r="A505">
        <v>502</v>
      </c>
      <c r="B505" t="s">
        <v>2121</v>
      </c>
      <c r="C505" t="s">
        <v>889</v>
      </c>
      <c r="D505" t="s">
        <v>1626</v>
      </c>
      <c r="E505">
        <v>13</v>
      </c>
      <c r="F505" t="s">
        <v>1417</v>
      </c>
      <c r="G505" t="s">
        <v>1422</v>
      </c>
    </row>
    <row r="506" spans="1:7" hidden="1">
      <c r="A506">
        <v>503</v>
      </c>
      <c r="B506" t="s">
        <v>2150</v>
      </c>
      <c r="C506" t="s">
        <v>902</v>
      </c>
      <c r="D506" t="s">
        <v>2151</v>
      </c>
      <c r="E506">
        <v>7</v>
      </c>
      <c r="F506" t="s">
        <v>1417</v>
      </c>
      <c r="G506" t="s">
        <v>1422</v>
      </c>
    </row>
    <row r="507" spans="1:7" hidden="1">
      <c r="A507">
        <v>504</v>
      </c>
      <c r="B507" t="s">
        <v>2152</v>
      </c>
      <c r="C507" t="s">
        <v>907</v>
      </c>
      <c r="D507" t="s">
        <v>2153</v>
      </c>
      <c r="E507">
        <v>11</v>
      </c>
      <c r="F507" t="s">
        <v>1417</v>
      </c>
      <c r="G507" t="s">
        <v>1422</v>
      </c>
    </row>
    <row r="508" spans="1:7" hidden="1">
      <c r="A508">
        <v>505</v>
      </c>
      <c r="B508" t="s">
        <v>393</v>
      </c>
      <c r="C508" t="s">
        <v>879</v>
      </c>
      <c r="D508" t="s">
        <v>1627</v>
      </c>
      <c r="E508">
        <v>8</v>
      </c>
      <c r="F508" t="s">
        <v>1417</v>
      </c>
      <c r="G508" t="s">
        <v>1422</v>
      </c>
    </row>
    <row r="509" spans="1:7" hidden="1">
      <c r="A509">
        <v>506</v>
      </c>
      <c r="B509" t="s">
        <v>2123</v>
      </c>
      <c r="C509" t="s">
        <v>866</v>
      </c>
      <c r="D509" t="s">
        <v>1628</v>
      </c>
      <c r="E509">
        <v>6</v>
      </c>
      <c r="F509" t="s">
        <v>1416</v>
      </c>
      <c r="G509" t="s">
        <v>1422</v>
      </c>
    </row>
    <row r="510" spans="1:7" hidden="1">
      <c r="A510">
        <v>507</v>
      </c>
      <c r="B510" t="s">
        <v>2154</v>
      </c>
      <c r="C510" t="s">
        <v>941</v>
      </c>
      <c r="D510" t="s">
        <v>1583</v>
      </c>
      <c r="E510">
        <v>11</v>
      </c>
      <c r="F510" t="s">
        <v>1417</v>
      </c>
      <c r="G510" t="s">
        <v>1422</v>
      </c>
    </row>
    <row r="511" spans="1:7" hidden="1">
      <c r="A511">
        <v>508</v>
      </c>
      <c r="B511" t="s">
        <v>2086</v>
      </c>
      <c r="C511" t="s">
        <v>885</v>
      </c>
      <c r="D511" t="s">
        <v>2115</v>
      </c>
      <c r="E511">
        <v>13</v>
      </c>
      <c r="F511" t="s">
        <v>1417</v>
      </c>
      <c r="G511" t="s">
        <v>1422</v>
      </c>
    </row>
    <row r="512" spans="1:7" hidden="1">
      <c r="A512">
        <v>509</v>
      </c>
      <c r="B512" t="s">
        <v>495</v>
      </c>
      <c r="C512" t="s">
        <v>871</v>
      </c>
      <c r="D512" t="s">
        <v>1632</v>
      </c>
      <c r="E512">
        <v>6</v>
      </c>
      <c r="F512" t="s">
        <v>1416</v>
      </c>
      <c r="G512" t="s">
        <v>1422</v>
      </c>
    </row>
    <row r="513" spans="1:7" hidden="1">
      <c r="A513">
        <v>510</v>
      </c>
      <c r="B513" t="s">
        <v>2122</v>
      </c>
      <c r="C513" t="s">
        <v>929</v>
      </c>
      <c r="D513" t="s">
        <v>2116</v>
      </c>
      <c r="E513">
        <v>10</v>
      </c>
      <c r="F513" t="s">
        <v>1416</v>
      </c>
      <c r="G513" t="s">
        <v>1422</v>
      </c>
    </row>
    <row r="514" spans="1:7" hidden="1">
      <c r="A514">
        <v>511</v>
      </c>
      <c r="B514" t="s">
        <v>2098</v>
      </c>
      <c r="C514" t="s">
        <v>879</v>
      </c>
      <c r="D514" t="s">
        <v>1637</v>
      </c>
      <c r="E514">
        <v>8</v>
      </c>
      <c r="F514" t="s">
        <v>1416</v>
      </c>
      <c r="G514" t="s">
        <v>1422</v>
      </c>
    </row>
    <row r="515" spans="1:7" hidden="1">
      <c r="A515">
        <v>512</v>
      </c>
      <c r="B515" t="s">
        <v>2155</v>
      </c>
      <c r="C515" t="s">
        <v>869</v>
      </c>
      <c r="D515" t="s">
        <v>2156</v>
      </c>
      <c r="E515">
        <v>6</v>
      </c>
      <c r="F515" t="s">
        <v>1419</v>
      </c>
      <c r="G515" t="s">
        <v>1422</v>
      </c>
    </row>
    <row r="516" spans="1:7" hidden="1">
      <c r="A516">
        <v>513</v>
      </c>
      <c r="B516" t="s">
        <v>2157</v>
      </c>
      <c r="C516" t="s">
        <v>871</v>
      </c>
      <c r="D516" t="s">
        <v>2158</v>
      </c>
      <c r="E516">
        <v>6</v>
      </c>
      <c r="F516" t="s">
        <v>1417</v>
      </c>
      <c r="G516" t="s">
        <v>1422</v>
      </c>
    </row>
    <row r="517" spans="1:7" hidden="1">
      <c r="A517">
        <v>514</v>
      </c>
      <c r="B517" t="s">
        <v>407</v>
      </c>
      <c r="C517" t="s">
        <v>872</v>
      </c>
      <c r="D517" t="s">
        <v>1634</v>
      </c>
      <c r="E517">
        <v>14</v>
      </c>
      <c r="F517" t="s">
        <v>1418</v>
      </c>
      <c r="G517" t="s">
        <v>1422</v>
      </c>
    </row>
    <row r="518" spans="1:7" hidden="1">
      <c r="A518">
        <v>515</v>
      </c>
      <c r="B518" t="s">
        <v>2118</v>
      </c>
      <c r="C518" t="s">
        <v>866</v>
      </c>
      <c r="D518" t="s">
        <v>1638</v>
      </c>
      <c r="E518">
        <v>6</v>
      </c>
      <c r="F518" t="s">
        <v>1416</v>
      </c>
      <c r="G518" t="s">
        <v>1422</v>
      </c>
    </row>
    <row r="519" spans="1:7" hidden="1">
      <c r="A519">
        <v>516</v>
      </c>
      <c r="B519" t="s">
        <v>2103</v>
      </c>
      <c r="C519" t="s">
        <v>935</v>
      </c>
      <c r="D519" t="s">
        <v>2159</v>
      </c>
      <c r="E519">
        <v>10</v>
      </c>
      <c r="F519" t="s">
        <v>1418</v>
      </c>
      <c r="G519" t="s">
        <v>1422</v>
      </c>
    </row>
    <row r="520" spans="1:7" hidden="1">
      <c r="A520">
        <v>517</v>
      </c>
      <c r="B520" t="s">
        <v>2125</v>
      </c>
      <c r="C520" t="s">
        <v>898</v>
      </c>
      <c r="D520" t="s">
        <v>2117</v>
      </c>
      <c r="E520">
        <v>7</v>
      </c>
      <c r="F520" t="s">
        <v>1418</v>
      </c>
      <c r="G520" t="s">
        <v>1422</v>
      </c>
    </row>
    <row r="521" spans="1:7" hidden="1">
      <c r="A521">
        <v>518</v>
      </c>
      <c r="B521" t="s">
        <v>2093</v>
      </c>
      <c r="C521" t="s">
        <v>879</v>
      </c>
      <c r="D521" t="s">
        <v>2160</v>
      </c>
      <c r="E521">
        <v>8</v>
      </c>
      <c r="F521" t="s">
        <v>1417</v>
      </c>
      <c r="G521" t="s">
        <v>1422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9262-B9C6-4603-BF7A-1239846C6267}">
  <sheetPr>
    <tabColor theme="4" tint="0.79998168889431442"/>
  </sheetPr>
  <dimension ref="A1:K140"/>
  <sheetViews>
    <sheetView topLeftCell="A4" workbookViewId="0">
      <selection activeCell="D243" sqref="D243"/>
    </sheetView>
  </sheetViews>
  <sheetFormatPr defaultRowHeight="14"/>
  <cols>
    <col min="1" max="1" width="25.08984375" style="17" customWidth="1"/>
    <col min="2" max="2" width="7.6328125" style="17" customWidth="1"/>
    <col min="3" max="3" width="8.7265625" style="17" customWidth="1"/>
    <col min="4" max="5" width="14.1796875" style="17" customWidth="1"/>
    <col min="6" max="6" width="15.26953125" style="17" customWidth="1"/>
    <col min="7" max="8" width="13.08984375" style="17" customWidth="1"/>
    <col min="9" max="9" width="14.1796875" style="17" customWidth="1"/>
    <col min="10" max="10" width="19.6328125" style="17" customWidth="1"/>
    <col min="11" max="11" width="17.453125" style="17" customWidth="1"/>
    <col min="12" max="16384" width="8.7265625" style="17"/>
  </cols>
  <sheetData>
    <row r="1" spans="1:11" ht="17.399999999999999" customHeight="1">
      <c r="A1" s="16" t="s">
        <v>2164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8" customHeight="1">
      <c r="A2" s="18" t="s">
        <v>2165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22.65" customHeight="1">
      <c r="A4" s="19" t="s">
        <v>503</v>
      </c>
      <c r="B4" s="19" t="s">
        <v>1812</v>
      </c>
      <c r="C4" s="19" t="s">
        <v>515</v>
      </c>
      <c r="D4" s="19" t="s">
        <v>2166</v>
      </c>
      <c r="E4" s="19" t="s">
        <v>2167</v>
      </c>
      <c r="F4" s="19" t="s">
        <v>2168</v>
      </c>
      <c r="G4" s="19" t="s">
        <v>2169</v>
      </c>
      <c r="H4" s="19" t="s">
        <v>2170</v>
      </c>
      <c r="I4" s="19" t="s">
        <v>2171</v>
      </c>
      <c r="J4" s="19" t="s">
        <v>2172</v>
      </c>
      <c r="K4" s="19" t="s">
        <v>2173</v>
      </c>
    </row>
    <row r="5" spans="1:11">
      <c r="A5" s="17" t="s">
        <v>2174</v>
      </c>
      <c r="B5" s="17" t="s">
        <v>865</v>
      </c>
      <c r="C5" s="17" t="s">
        <v>921</v>
      </c>
      <c r="D5" s="20" t="s">
        <v>1205</v>
      </c>
      <c r="E5" s="20" t="s">
        <v>1205</v>
      </c>
      <c r="F5" s="20">
        <v>1124.5</v>
      </c>
      <c r="G5" s="20" t="s">
        <v>1205</v>
      </c>
      <c r="H5" s="20" t="s">
        <v>1205</v>
      </c>
      <c r="I5" s="20">
        <v>7.5</v>
      </c>
      <c r="J5" s="20">
        <f t="shared" ref="J5:J68" si="0">IF(COUNT(G5:I5)=0,"",SUM(G5:I5))</f>
        <v>7.5</v>
      </c>
      <c r="K5" s="17">
        <f t="shared" ref="K5:K68" si="1">COUNT(G5:I5)</f>
        <v>1</v>
      </c>
    </row>
    <row r="6" spans="1:11">
      <c r="A6" s="17" t="s">
        <v>74</v>
      </c>
      <c r="B6" s="17" t="s">
        <v>867</v>
      </c>
      <c r="C6" s="17" t="s">
        <v>869</v>
      </c>
      <c r="D6" s="20" t="s">
        <v>1205</v>
      </c>
      <c r="E6" s="20">
        <v>474.5</v>
      </c>
      <c r="F6" s="20" t="s">
        <v>1205</v>
      </c>
      <c r="G6" s="20" t="s">
        <v>1205</v>
      </c>
      <c r="H6" s="20" t="s">
        <v>1205</v>
      </c>
      <c r="I6" s="20" t="s">
        <v>1205</v>
      </c>
      <c r="J6" s="20" t="str">
        <f t="shared" si="0"/>
        <v/>
      </c>
      <c r="K6" s="17">
        <f t="shared" si="1"/>
        <v>0</v>
      </c>
    </row>
    <row r="7" spans="1:11">
      <c r="A7" s="17" t="s">
        <v>223</v>
      </c>
      <c r="B7" s="17" t="s">
        <v>900</v>
      </c>
      <c r="C7" s="17" t="s">
        <v>927</v>
      </c>
      <c r="D7" s="20">
        <v>3099.5</v>
      </c>
      <c r="E7" s="20" t="s">
        <v>1205</v>
      </c>
      <c r="F7" s="20" t="s">
        <v>1205</v>
      </c>
      <c r="G7" s="20">
        <v>21.5</v>
      </c>
      <c r="H7" s="20" t="s">
        <v>1205</v>
      </c>
      <c r="I7" s="20" t="s">
        <v>1205</v>
      </c>
      <c r="J7" s="20">
        <f t="shared" si="0"/>
        <v>21.5</v>
      </c>
      <c r="K7" s="17">
        <f t="shared" si="1"/>
        <v>1</v>
      </c>
    </row>
    <row r="8" spans="1:11">
      <c r="A8" s="17" t="s">
        <v>195</v>
      </c>
      <c r="B8" s="17" t="s">
        <v>865</v>
      </c>
      <c r="C8" s="17" t="s">
        <v>885</v>
      </c>
      <c r="D8" s="20" t="s">
        <v>1205</v>
      </c>
      <c r="E8" s="20" t="s">
        <v>1205</v>
      </c>
      <c r="F8" s="20">
        <v>899.5</v>
      </c>
      <c r="G8" s="20" t="s">
        <v>1205</v>
      </c>
      <c r="H8" s="20" t="s">
        <v>1205</v>
      </c>
      <c r="I8" s="20" t="s">
        <v>1205</v>
      </c>
      <c r="J8" s="20" t="str">
        <f t="shared" si="0"/>
        <v/>
      </c>
      <c r="K8" s="17">
        <f t="shared" si="1"/>
        <v>0</v>
      </c>
    </row>
    <row r="9" spans="1:11">
      <c r="A9" s="17" t="s">
        <v>2175</v>
      </c>
      <c r="B9" s="17" t="s">
        <v>865</v>
      </c>
      <c r="C9" s="17" t="s">
        <v>871</v>
      </c>
      <c r="D9" s="20" t="s">
        <v>1205</v>
      </c>
      <c r="E9" s="20" t="s">
        <v>1205</v>
      </c>
      <c r="F9" s="20">
        <v>1249.5</v>
      </c>
      <c r="G9" s="20" t="s">
        <v>1205</v>
      </c>
      <c r="H9" s="20" t="s">
        <v>1205</v>
      </c>
      <c r="I9" s="20">
        <v>9.5</v>
      </c>
      <c r="J9" s="20">
        <f t="shared" si="0"/>
        <v>9.5</v>
      </c>
      <c r="K9" s="17">
        <f t="shared" si="1"/>
        <v>1</v>
      </c>
    </row>
    <row r="10" spans="1:11">
      <c r="A10" s="17" t="s">
        <v>19</v>
      </c>
      <c r="B10" s="17" t="s">
        <v>867</v>
      </c>
      <c r="C10" s="17" t="s">
        <v>2176</v>
      </c>
      <c r="D10" s="20" t="s">
        <v>1205</v>
      </c>
      <c r="E10" s="20">
        <v>1024.5</v>
      </c>
      <c r="F10" s="20" t="s">
        <v>1205</v>
      </c>
      <c r="G10" s="20" t="s">
        <v>1205</v>
      </c>
      <c r="H10" s="20">
        <v>7.5</v>
      </c>
      <c r="I10" s="20" t="s">
        <v>1205</v>
      </c>
      <c r="J10" s="20">
        <f t="shared" si="0"/>
        <v>7.5</v>
      </c>
      <c r="K10" s="17">
        <f t="shared" si="1"/>
        <v>1</v>
      </c>
    </row>
    <row r="11" spans="1:11">
      <c r="A11" s="17" t="s">
        <v>77</v>
      </c>
      <c r="B11" s="17" t="s">
        <v>900</v>
      </c>
      <c r="C11" s="17" t="s">
        <v>893</v>
      </c>
      <c r="D11" s="20">
        <v>3599.5</v>
      </c>
      <c r="E11" s="20" t="s">
        <v>1205</v>
      </c>
      <c r="F11" s="20" t="s">
        <v>1205</v>
      </c>
      <c r="G11" s="20">
        <v>25.5</v>
      </c>
      <c r="H11" s="20" t="s">
        <v>1205</v>
      </c>
      <c r="I11" s="20" t="s">
        <v>1205</v>
      </c>
      <c r="J11" s="20">
        <f t="shared" si="0"/>
        <v>25.5</v>
      </c>
      <c r="K11" s="17">
        <f t="shared" si="1"/>
        <v>1</v>
      </c>
    </row>
    <row r="12" spans="1:11">
      <c r="A12" s="17" t="s">
        <v>164</v>
      </c>
      <c r="B12" s="17" t="s">
        <v>867</v>
      </c>
      <c r="C12" s="17" t="s">
        <v>2106</v>
      </c>
      <c r="D12" s="20" t="s">
        <v>1205</v>
      </c>
      <c r="E12" s="20">
        <v>724.5</v>
      </c>
      <c r="F12" s="20" t="s">
        <v>1205</v>
      </c>
      <c r="G12" s="20" t="s">
        <v>1205</v>
      </c>
      <c r="H12" s="20">
        <v>5.5</v>
      </c>
      <c r="I12" s="20" t="s">
        <v>1205</v>
      </c>
      <c r="J12" s="20">
        <f t="shared" si="0"/>
        <v>5.5</v>
      </c>
      <c r="K12" s="17">
        <f t="shared" si="1"/>
        <v>1</v>
      </c>
    </row>
    <row r="13" spans="1:11">
      <c r="A13" s="17" t="s">
        <v>6</v>
      </c>
      <c r="B13" s="17" t="s">
        <v>867</v>
      </c>
      <c r="C13" s="17" t="s">
        <v>868</v>
      </c>
      <c r="D13" s="20" t="s">
        <v>1205</v>
      </c>
      <c r="E13" s="20">
        <v>1174.5</v>
      </c>
      <c r="F13" s="20">
        <v>574.5</v>
      </c>
      <c r="G13" s="20" t="s">
        <v>1205</v>
      </c>
      <c r="H13" s="20">
        <v>8.5</v>
      </c>
      <c r="I13" s="20">
        <v>3.5</v>
      </c>
      <c r="J13" s="20">
        <f t="shared" si="0"/>
        <v>12</v>
      </c>
      <c r="K13" s="17">
        <f t="shared" si="1"/>
        <v>2</v>
      </c>
    </row>
    <row r="14" spans="1:11">
      <c r="A14" s="17" t="s">
        <v>183</v>
      </c>
      <c r="B14" s="17" t="s">
        <v>867</v>
      </c>
      <c r="C14" s="17" t="s">
        <v>874</v>
      </c>
      <c r="D14" s="20" t="s">
        <v>1205</v>
      </c>
      <c r="E14" s="20">
        <v>699.5</v>
      </c>
      <c r="F14" s="20" t="s">
        <v>1205</v>
      </c>
      <c r="G14" s="20" t="s">
        <v>1205</v>
      </c>
      <c r="H14" s="20">
        <v>5.5</v>
      </c>
      <c r="I14" s="20" t="s">
        <v>1205</v>
      </c>
      <c r="J14" s="20">
        <f t="shared" si="0"/>
        <v>5.5</v>
      </c>
      <c r="K14" s="17">
        <f t="shared" si="1"/>
        <v>1</v>
      </c>
    </row>
    <row r="15" spans="1:11">
      <c r="A15" s="17" t="s">
        <v>80</v>
      </c>
      <c r="B15" s="17" t="s">
        <v>900</v>
      </c>
      <c r="C15" s="17" t="s">
        <v>935</v>
      </c>
      <c r="D15" s="20">
        <v>3499.5</v>
      </c>
      <c r="E15" s="20" t="s">
        <v>1205</v>
      </c>
      <c r="F15" s="20" t="s">
        <v>1205</v>
      </c>
      <c r="G15" s="20">
        <v>24.5</v>
      </c>
      <c r="H15" s="20" t="s">
        <v>1205</v>
      </c>
      <c r="I15" s="20" t="s">
        <v>1205</v>
      </c>
      <c r="J15" s="20">
        <f t="shared" si="0"/>
        <v>24.5</v>
      </c>
      <c r="K15" s="17">
        <f t="shared" si="1"/>
        <v>1</v>
      </c>
    </row>
    <row r="16" spans="1:11">
      <c r="A16" s="17" t="s">
        <v>46</v>
      </c>
      <c r="B16" s="17" t="s">
        <v>867</v>
      </c>
      <c r="C16" s="17" t="s">
        <v>910</v>
      </c>
      <c r="D16" s="20" t="s">
        <v>1205</v>
      </c>
      <c r="E16" s="20">
        <v>899.5</v>
      </c>
      <c r="F16" s="20" t="s">
        <v>1205</v>
      </c>
      <c r="G16" s="20" t="s">
        <v>1205</v>
      </c>
      <c r="H16" s="20" t="s">
        <v>1205</v>
      </c>
      <c r="I16" s="20" t="s">
        <v>1205</v>
      </c>
      <c r="J16" s="20" t="str">
        <f t="shared" si="0"/>
        <v/>
      </c>
      <c r="K16" s="17">
        <f t="shared" si="1"/>
        <v>0</v>
      </c>
    </row>
    <row r="17" spans="1:11">
      <c r="A17" s="17" t="s">
        <v>2177</v>
      </c>
      <c r="B17" s="17" t="s">
        <v>865</v>
      </c>
      <c r="C17" s="17" t="s">
        <v>2106</v>
      </c>
      <c r="D17" s="20" t="s">
        <v>1205</v>
      </c>
      <c r="E17" s="20" t="s">
        <v>1205</v>
      </c>
      <c r="F17" s="20">
        <v>724.5</v>
      </c>
      <c r="G17" s="20" t="s">
        <v>1205</v>
      </c>
      <c r="H17" s="20" t="s">
        <v>1205</v>
      </c>
      <c r="I17" s="20">
        <v>4.5</v>
      </c>
      <c r="J17" s="20">
        <f t="shared" si="0"/>
        <v>4.5</v>
      </c>
      <c r="K17" s="17">
        <f t="shared" si="1"/>
        <v>1</v>
      </c>
    </row>
    <row r="18" spans="1:11">
      <c r="A18" s="17" t="s">
        <v>25</v>
      </c>
      <c r="B18" s="17" t="s">
        <v>890</v>
      </c>
      <c r="C18" s="17" t="s">
        <v>2176</v>
      </c>
      <c r="D18" s="20" t="s">
        <v>1205</v>
      </c>
      <c r="E18" s="20" t="s">
        <v>1205</v>
      </c>
      <c r="F18" s="20">
        <v>949.5</v>
      </c>
      <c r="G18" s="20" t="s">
        <v>1205</v>
      </c>
      <c r="H18" s="20" t="s">
        <v>1205</v>
      </c>
      <c r="I18" s="20">
        <v>7.5</v>
      </c>
      <c r="J18" s="20">
        <f t="shared" si="0"/>
        <v>7.5</v>
      </c>
      <c r="K18" s="17">
        <f t="shared" si="1"/>
        <v>1</v>
      </c>
    </row>
    <row r="19" spans="1:11">
      <c r="A19" s="17" t="s">
        <v>96</v>
      </c>
      <c r="B19" s="17" t="s">
        <v>900</v>
      </c>
      <c r="C19" s="17" t="s">
        <v>873</v>
      </c>
      <c r="D19" s="20">
        <v>3799.5</v>
      </c>
      <c r="E19" s="20" t="s">
        <v>1205</v>
      </c>
      <c r="F19" s="20" t="s">
        <v>1205</v>
      </c>
      <c r="G19" s="20">
        <v>27.5</v>
      </c>
      <c r="H19" s="20" t="s">
        <v>1205</v>
      </c>
      <c r="I19" s="20" t="s">
        <v>1205</v>
      </c>
      <c r="J19" s="20">
        <f t="shared" si="0"/>
        <v>27.5</v>
      </c>
      <c r="K19" s="17">
        <f t="shared" si="1"/>
        <v>1</v>
      </c>
    </row>
    <row r="20" spans="1:11">
      <c r="A20" s="17" t="s">
        <v>150</v>
      </c>
      <c r="B20" s="17" t="s">
        <v>900</v>
      </c>
      <c r="C20" s="17" t="s">
        <v>918</v>
      </c>
      <c r="D20" s="20">
        <v>2874.5</v>
      </c>
      <c r="E20" s="20" t="s">
        <v>1205</v>
      </c>
      <c r="F20" s="20" t="s">
        <v>1205</v>
      </c>
      <c r="G20" s="20">
        <v>20.5</v>
      </c>
      <c r="H20" s="20" t="s">
        <v>1205</v>
      </c>
      <c r="I20" s="20" t="s">
        <v>1205</v>
      </c>
      <c r="J20" s="20">
        <f t="shared" si="0"/>
        <v>20.5</v>
      </c>
      <c r="K20" s="17">
        <f t="shared" si="1"/>
        <v>1</v>
      </c>
    </row>
    <row r="21" spans="1:11">
      <c r="A21" s="17" t="s">
        <v>28</v>
      </c>
      <c r="B21" s="17" t="s">
        <v>867</v>
      </c>
      <c r="C21" s="17" t="s">
        <v>893</v>
      </c>
      <c r="D21" s="20" t="s">
        <v>1205</v>
      </c>
      <c r="E21" s="20">
        <v>799.5</v>
      </c>
      <c r="F21" s="20" t="s">
        <v>1205</v>
      </c>
      <c r="G21" s="20" t="s">
        <v>1205</v>
      </c>
      <c r="H21" s="20">
        <v>4.5</v>
      </c>
      <c r="I21" s="20" t="s">
        <v>1205</v>
      </c>
      <c r="J21" s="20">
        <f t="shared" si="0"/>
        <v>4.5</v>
      </c>
      <c r="K21" s="17">
        <f t="shared" si="1"/>
        <v>1</v>
      </c>
    </row>
    <row r="22" spans="1:11">
      <c r="A22" s="17" t="s">
        <v>2178</v>
      </c>
      <c r="B22" s="17" t="s">
        <v>900</v>
      </c>
      <c r="C22" s="17" t="s">
        <v>879</v>
      </c>
      <c r="D22" s="20">
        <v>3549.5</v>
      </c>
      <c r="E22" s="20" t="s">
        <v>1205</v>
      </c>
      <c r="F22" s="20" t="s">
        <v>1205</v>
      </c>
      <c r="G22" s="20">
        <v>22.5</v>
      </c>
      <c r="H22" s="20" t="s">
        <v>1205</v>
      </c>
      <c r="I22" s="20" t="s">
        <v>1205</v>
      </c>
      <c r="J22" s="20">
        <f t="shared" si="0"/>
        <v>22.5</v>
      </c>
      <c r="K22" s="17">
        <f t="shared" si="1"/>
        <v>1</v>
      </c>
    </row>
    <row r="23" spans="1:11">
      <c r="A23" s="17" t="s">
        <v>104</v>
      </c>
      <c r="B23" s="17" t="s">
        <v>900</v>
      </c>
      <c r="C23" s="17" t="s">
        <v>929</v>
      </c>
      <c r="D23" s="20">
        <v>3649.5</v>
      </c>
      <c r="E23" s="20" t="s">
        <v>1205</v>
      </c>
      <c r="F23" s="20" t="s">
        <v>1205</v>
      </c>
      <c r="G23" s="20">
        <v>24.5</v>
      </c>
      <c r="H23" s="20" t="s">
        <v>1205</v>
      </c>
      <c r="I23" s="20" t="s">
        <v>1205</v>
      </c>
      <c r="J23" s="20">
        <f t="shared" si="0"/>
        <v>24.5</v>
      </c>
      <c r="K23" s="17">
        <f t="shared" si="1"/>
        <v>1</v>
      </c>
    </row>
    <row r="24" spans="1:11">
      <c r="A24" s="17" t="s">
        <v>191</v>
      </c>
      <c r="B24" s="17" t="s">
        <v>900</v>
      </c>
      <c r="C24" s="17" t="s">
        <v>937</v>
      </c>
      <c r="D24" s="20">
        <v>3249.5</v>
      </c>
      <c r="E24" s="20" t="s">
        <v>1205</v>
      </c>
      <c r="F24" s="20" t="s">
        <v>1205</v>
      </c>
      <c r="G24" s="20">
        <v>20.5</v>
      </c>
      <c r="H24" s="20" t="s">
        <v>1205</v>
      </c>
      <c r="I24" s="20" t="s">
        <v>1205</v>
      </c>
      <c r="J24" s="20">
        <f t="shared" si="0"/>
        <v>20.5</v>
      </c>
      <c r="K24" s="17">
        <f t="shared" si="1"/>
        <v>1</v>
      </c>
    </row>
    <row r="25" spans="1:11">
      <c r="A25" s="17" t="s">
        <v>2005</v>
      </c>
      <c r="B25" s="17" t="s">
        <v>865</v>
      </c>
      <c r="C25" s="17" t="s">
        <v>937</v>
      </c>
      <c r="D25" s="20" t="s">
        <v>1205</v>
      </c>
      <c r="E25" s="20" t="s">
        <v>1205</v>
      </c>
      <c r="F25" s="20">
        <v>774.5</v>
      </c>
      <c r="G25" s="20" t="s">
        <v>1205</v>
      </c>
      <c r="H25" s="20" t="s">
        <v>1205</v>
      </c>
      <c r="I25" s="20">
        <v>4.5</v>
      </c>
      <c r="J25" s="20">
        <f t="shared" si="0"/>
        <v>4.5</v>
      </c>
      <c r="K25" s="17">
        <f t="shared" si="1"/>
        <v>1</v>
      </c>
    </row>
    <row r="26" spans="1:11">
      <c r="A26" s="17" t="s">
        <v>2179</v>
      </c>
      <c r="B26" s="17" t="s">
        <v>865</v>
      </c>
      <c r="C26" s="17" t="s">
        <v>872</v>
      </c>
      <c r="D26" s="20" t="s">
        <v>1205</v>
      </c>
      <c r="E26" s="20" t="s">
        <v>1205</v>
      </c>
      <c r="F26" s="20">
        <v>1199.5</v>
      </c>
      <c r="G26" s="20" t="s">
        <v>1205</v>
      </c>
      <c r="H26" s="20" t="s">
        <v>1205</v>
      </c>
      <c r="I26" s="20">
        <v>7.5</v>
      </c>
      <c r="J26" s="20">
        <f t="shared" si="0"/>
        <v>7.5</v>
      </c>
      <c r="K26" s="17">
        <f t="shared" si="1"/>
        <v>1</v>
      </c>
    </row>
    <row r="27" spans="1:11">
      <c r="A27" s="17" t="s">
        <v>33</v>
      </c>
      <c r="B27" s="17" t="s">
        <v>867</v>
      </c>
      <c r="C27" s="17" t="s">
        <v>866</v>
      </c>
      <c r="D27" s="20" t="s">
        <v>1205</v>
      </c>
      <c r="E27" s="20">
        <v>849.5</v>
      </c>
      <c r="F27" s="20" t="s">
        <v>1205</v>
      </c>
      <c r="G27" s="20" t="s">
        <v>1205</v>
      </c>
      <c r="H27" s="20">
        <v>6.5</v>
      </c>
      <c r="I27" s="20" t="s">
        <v>1205</v>
      </c>
      <c r="J27" s="20">
        <f t="shared" si="0"/>
        <v>6.5</v>
      </c>
      <c r="K27" s="17">
        <f t="shared" si="1"/>
        <v>1</v>
      </c>
    </row>
    <row r="28" spans="1:11">
      <c r="A28" s="17" t="s">
        <v>86</v>
      </c>
      <c r="B28" s="17" t="s">
        <v>865</v>
      </c>
      <c r="C28" s="17" t="s">
        <v>916</v>
      </c>
      <c r="D28" s="20" t="s">
        <v>1205</v>
      </c>
      <c r="E28" s="20" t="s">
        <v>1205</v>
      </c>
      <c r="F28" s="20">
        <v>1049.5</v>
      </c>
      <c r="G28" s="20" t="s">
        <v>1205</v>
      </c>
      <c r="H28" s="20" t="s">
        <v>1205</v>
      </c>
      <c r="I28" s="20">
        <v>5.5</v>
      </c>
      <c r="J28" s="20">
        <f t="shared" si="0"/>
        <v>5.5</v>
      </c>
      <c r="K28" s="17">
        <f t="shared" si="1"/>
        <v>1</v>
      </c>
    </row>
    <row r="29" spans="1:11">
      <c r="A29" s="17" t="s">
        <v>18</v>
      </c>
      <c r="B29" s="17" t="s">
        <v>867</v>
      </c>
      <c r="C29" s="17" t="s">
        <v>873</v>
      </c>
      <c r="D29" s="20" t="s">
        <v>1205</v>
      </c>
      <c r="E29" s="20">
        <v>949.5</v>
      </c>
      <c r="F29" s="20">
        <v>574.5</v>
      </c>
      <c r="G29" s="20" t="s">
        <v>1205</v>
      </c>
      <c r="H29" s="20">
        <v>8.5</v>
      </c>
      <c r="I29" s="20">
        <v>4.5</v>
      </c>
      <c r="J29" s="20">
        <f t="shared" si="0"/>
        <v>13</v>
      </c>
      <c r="K29" s="17">
        <f t="shared" si="1"/>
        <v>2</v>
      </c>
    </row>
    <row r="30" spans="1:11">
      <c r="A30" s="17" t="s">
        <v>309</v>
      </c>
      <c r="B30" s="17" t="s">
        <v>865</v>
      </c>
      <c r="C30" s="17" t="s">
        <v>887</v>
      </c>
      <c r="D30" s="20" t="s">
        <v>1205</v>
      </c>
      <c r="E30" s="20" t="s">
        <v>1205</v>
      </c>
      <c r="F30" s="20">
        <v>799.5</v>
      </c>
      <c r="G30" s="20" t="s">
        <v>1205</v>
      </c>
      <c r="H30" s="20" t="s">
        <v>1205</v>
      </c>
      <c r="I30" s="20">
        <v>6.5</v>
      </c>
      <c r="J30" s="20">
        <f t="shared" si="0"/>
        <v>6.5</v>
      </c>
      <c r="K30" s="17">
        <f t="shared" si="1"/>
        <v>1</v>
      </c>
    </row>
    <row r="31" spans="1:11">
      <c r="A31" s="17" t="s">
        <v>139</v>
      </c>
      <c r="B31" s="17" t="s">
        <v>890</v>
      </c>
      <c r="C31" s="17" t="s">
        <v>929</v>
      </c>
      <c r="D31" s="20" t="s">
        <v>1205</v>
      </c>
      <c r="E31" s="20" t="s">
        <v>1205</v>
      </c>
      <c r="F31" s="20">
        <v>824.5</v>
      </c>
      <c r="G31" s="20" t="s">
        <v>1205</v>
      </c>
      <c r="H31" s="20" t="s">
        <v>1205</v>
      </c>
      <c r="I31" s="20">
        <v>5.5</v>
      </c>
      <c r="J31" s="20">
        <f t="shared" si="0"/>
        <v>5.5</v>
      </c>
      <c r="K31" s="17">
        <f t="shared" si="1"/>
        <v>1</v>
      </c>
    </row>
    <row r="32" spans="1:11">
      <c r="A32" s="17" t="s">
        <v>55</v>
      </c>
      <c r="B32" s="17" t="s">
        <v>865</v>
      </c>
      <c r="C32" s="17" t="s">
        <v>935</v>
      </c>
      <c r="D32" s="20" t="s">
        <v>1205</v>
      </c>
      <c r="E32" s="20" t="s">
        <v>1205</v>
      </c>
      <c r="F32" s="20">
        <v>699.5</v>
      </c>
      <c r="G32" s="20" t="s">
        <v>1205</v>
      </c>
      <c r="H32" s="20" t="s">
        <v>1205</v>
      </c>
      <c r="I32" s="20">
        <v>6.5</v>
      </c>
      <c r="J32" s="20">
        <f t="shared" si="0"/>
        <v>6.5</v>
      </c>
      <c r="K32" s="17">
        <f t="shared" si="1"/>
        <v>1</v>
      </c>
    </row>
    <row r="33" spans="1:11">
      <c r="A33" s="17" t="s">
        <v>63</v>
      </c>
      <c r="B33" s="17" t="s">
        <v>867</v>
      </c>
      <c r="C33" s="17" t="s">
        <v>929</v>
      </c>
      <c r="D33" s="20" t="s">
        <v>1205</v>
      </c>
      <c r="E33" s="20">
        <v>824.5</v>
      </c>
      <c r="F33" s="20" t="s">
        <v>1205</v>
      </c>
      <c r="G33" s="20" t="s">
        <v>1205</v>
      </c>
      <c r="H33" s="20">
        <v>7.5</v>
      </c>
      <c r="I33" s="20" t="s">
        <v>1205</v>
      </c>
      <c r="J33" s="20">
        <f t="shared" si="0"/>
        <v>7.5</v>
      </c>
      <c r="K33" s="17">
        <f t="shared" si="1"/>
        <v>1</v>
      </c>
    </row>
    <row r="34" spans="1:11">
      <c r="A34" s="17" t="s">
        <v>54</v>
      </c>
      <c r="B34" s="17" t="s">
        <v>865</v>
      </c>
      <c r="C34" s="17" t="s">
        <v>901</v>
      </c>
      <c r="D34" s="20" t="s">
        <v>1205</v>
      </c>
      <c r="E34" s="20" t="s">
        <v>1205</v>
      </c>
      <c r="F34" s="20">
        <v>849.5</v>
      </c>
      <c r="G34" s="20" t="s">
        <v>1205</v>
      </c>
      <c r="H34" s="20" t="s">
        <v>1205</v>
      </c>
      <c r="I34" s="20">
        <v>6.5</v>
      </c>
      <c r="J34" s="20">
        <f t="shared" si="0"/>
        <v>6.5</v>
      </c>
      <c r="K34" s="17">
        <f t="shared" si="1"/>
        <v>1</v>
      </c>
    </row>
    <row r="35" spans="1:11">
      <c r="A35" s="17" t="s">
        <v>48</v>
      </c>
      <c r="B35" s="17" t="s">
        <v>865</v>
      </c>
      <c r="C35" s="17" t="s">
        <v>927</v>
      </c>
      <c r="D35" s="20" t="s">
        <v>1205</v>
      </c>
      <c r="E35" s="20" t="s">
        <v>1205</v>
      </c>
      <c r="F35" s="20">
        <v>824.5</v>
      </c>
      <c r="G35" s="20" t="s">
        <v>1205</v>
      </c>
      <c r="H35" s="20" t="s">
        <v>1205</v>
      </c>
      <c r="I35" s="20">
        <v>5.5</v>
      </c>
      <c r="J35" s="20">
        <f t="shared" si="0"/>
        <v>5.5</v>
      </c>
      <c r="K35" s="17">
        <f t="shared" si="1"/>
        <v>1</v>
      </c>
    </row>
    <row r="36" spans="1:11">
      <c r="A36" s="17" t="s">
        <v>88</v>
      </c>
      <c r="B36" s="17" t="s">
        <v>900</v>
      </c>
      <c r="C36" s="17" t="s">
        <v>872</v>
      </c>
      <c r="D36" s="20">
        <v>3999.5</v>
      </c>
      <c r="E36" s="20" t="s">
        <v>1205</v>
      </c>
      <c r="F36" s="20" t="s">
        <v>1205</v>
      </c>
      <c r="G36" s="20">
        <v>27.5</v>
      </c>
      <c r="H36" s="20" t="s">
        <v>1205</v>
      </c>
      <c r="I36" s="20" t="s">
        <v>1205</v>
      </c>
      <c r="J36" s="20">
        <f t="shared" si="0"/>
        <v>27.5</v>
      </c>
      <c r="K36" s="17">
        <f t="shared" si="1"/>
        <v>1</v>
      </c>
    </row>
    <row r="37" spans="1:11">
      <c r="A37" s="17" t="s">
        <v>128</v>
      </c>
      <c r="B37" s="17" t="s">
        <v>890</v>
      </c>
      <c r="C37" s="17" t="s">
        <v>870</v>
      </c>
      <c r="D37" s="20" t="s">
        <v>1205</v>
      </c>
      <c r="E37" s="20" t="s">
        <v>1205</v>
      </c>
      <c r="F37" s="20">
        <v>574.5</v>
      </c>
      <c r="G37" s="20" t="s">
        <v>1205</v>
      </c>
      <c r="H37" s="20" t="s">
        <v>1205</v>
      </c>
      <c r="I37" s="20">
        <v>4.5</v>
      </c>
      <c r="J37" s="20">
        <f t="shared" si="0"/>
        <v>4.5</v>
      </c>
      <c r="K37" s="17">
        <f t="shared" si="1"/>
        <v>1</v>
      </c>
    </row>
    <row r="38" spans="1:11">
      <c r="A38" s="17" t="s">
        <v>125</v>
      </c>
      <c r="B38" s="17" t="s">
        <v>890</v>
      </c>
      <c r="C38" s="17" t="s">
        <v>901</v>
      </c>
      <c r="D38" s="20" t="s">
        <v>1205</v>
      </c>
      <c r="E38" s="20" t="s">
        <v>1205</v>
      </c>
      <c r="F38" s="20">
        <v>599.5</v>
      </c>
      <c r="G38" s="20" t="s">
        <v>1205</v>
      </c>
      <c r="H38" s="20" t="s">
        <v>1205</v>
      </c>
      <c r="I38" s="20">
        <v>4.5</v>
      </c>
      <c r="J38" s="20">
        <f t="shared" si="0"/>
        <v>4.5</v>
      </c>
      <c r="K38" s="17">
        <f t="shared" si="1"/>
        <v>1</v>
      </c>
    </row>
    <row r="39" spans="1:11">
      <c r="A39" s="17" t="s">
        <v>290</v>
      </c>
      <c r="B39" s="17" t="s">
        <v>900</v>
      </c>
      <c r="C39" s="17" t="s">
        <v>885</v>
      </c>
      <c r="D39" s="20">
        <v>3299.5</v>
      </c>
      <c r="E39" s="20" t="s">
        <v>1205</v>
      </c>
      <c r="F39" s="20" t="s">
        <v>1205</v>
      </c>
      <c r="G39" s="20">
        <v>19.5</v>
      </c>
      <c r="H39" s="20" t="s">
        <v>1205</v>
      </c>
      <c r="I39" s="20" t="s">
        <v>1205</v>
      </c>
      <c r="J39" s="20">
        <f t="shared" si="0"/>
        <v>19.5</v>
      </c>
      <c r="K39" s="17">
        <f t="shared" si="1"/>
        <v>1</v>
      </c>
    </row>
    <row r="40" spans="1:11">
      <c r="A40" s="17" t="s">
        <v>40</v>
      </c>
      <c r="B40" s="17" t="s">
        <v>865</v>
      </c>
      <c r="C40" s="17" t="s">
        <v>874</v>
      </c>
      <c r="D40" s="20" t="s">
        <v>1205</v>
      </c>
      <c r="E40" s="20" t="s">
        <v>1205</v>
      </c>
      <c r="F40" s="20">
        <v>774.5</v>
      </c>
      <c r="G40" s="20" t="s">
        <v>1205</v>
      </c>
      <c r="H40" s="20" t="s">
        <v>1205</v>
      </c>
      <c r="I40" s="20">
        <v>9.5</v>
      </c>
      <c r="J40" s="20">
        <f t="shared" si="0"/>
        <v>9.5</v>
      </c>
      <c r="K40" s="17">
        <f t="shared" si="1"/>
        <v>1</v>
      </c>
    </row>
    <row r="41" spans="1:11">
      <c r="A41" s="17" t="s">
        <v>59</v>
      </c>
      <c r="B41" s="17" t="s">
        <v>867</v>
      </c>
      <c r="C41" s="17" t="s">
        <v>879</v>
      </c>
      <c r="D41" s="20" t="s">
        <v>1205</v>
      </c>
      <c r="E41" s="20">
        <v>824.5</v>
      </c>
      <c r="F41" s="20" t="s">
        <v>1205</v>
      </c>
      <c r="G41" s="20" t="s">
        <v>1205</v>
      </c>
      <c r="H41" s="20">
        <v>7.5</v>
      </c>
      <c r="I41" s="20" t="s">
        <v>1205</v>
      </c>
      <c r="J41" s="20">
        <f t="shared" si="0"/>
        <v>7.5</v>
      </c>
      <c r="K41" s="17">
        <f t="shared" si="1"/>
        <v>1</v>
      </c>
    </row>
    <row r="42" spans="1:11">
      <c r="A42" s="17" t="s">
        <v>23</v>
      </c>
      <c r="B42" s="17" t="s">
        <v>867</v>
      </c>
      <c r="C42" s="17" t="s">
        <v>877</v>
      </c>
      <c r="D42" s="20" t="s">
        <v>1205</v>
      </c>
      <c r="E42" s="20">
        <v>974.5</v>
      </c>
      <c r="F42" s="20" t="s">
        <v>1205</v>
      </c>
      <c r="G42" s="20" t="s">
        <v>1205</v>
      </c>
      <c r="H42" s="20">
        <v>5.5</v>
      </c>
      <c r="I42" s="20" t="s">
        <v>1205</v>
      </c>
      <c r="J42" s="20">
        <f t="shared" si="0"/>
        <v>5.5</v>
      </c>
      <c r="K42" s="17">
        <f t="shared" si="1"/>
        <v>1</v>
      </c>
    </row>
    <row r="43" spans="1:11">
      <c r="A43" s="17" t="s">
        <v>2010</v>
      </c>
      <c r="B43" s="17" t="s">
        <v>865</v>
      </c>
      <c r="C43" s="17" t="s">
        <v>873</v>
      </c>
      <c r="D43" s="20" t="s">
        <v>1205</v>
      </c>
      <c r="E43" s="20" t="s">
        <v>1205</v>
      </c>
      <c r="F43" s="20">
        <v>649.5</v>
      </c>
      <c r="G43" s="20" t="s">
        <v>1205</v>
      </c>
      <c r="H43" s="20" t="s">
        <v>1205</v>
      </c>
      <c r="I43" s="20" t="s">
        <v>1205</v>
      </c>
      <c r="J43" s="20" t="str">
        <f t="shared" si="0"/>
        <v/>
      </c>
      <c r="K43" s="17">
        <f t="shared" si="1"/>
        <v>0</v>
      </c>
    </row>
    <row r="44" spans="1:11">
      <c r="A44" s="17" t="s">
        <v>2180</v>
      </c>
      <c r="B44" s="17" t="s">
        <v>865</v>
      </c>
      <c r="C44" s="17" t="s">
        <v>873</v>
      </c>
      <c r="D44" s="20" t="s">
        <v>1205</v>
      </c>
      <c r="E44" s="20" t="s">
        <v>1205</v>
      </c>
      <c r="F44" s="20">
        <v>624.5</v>
      </c>
      <c r="G44" s="20" t="s">
        <v>1205</v>
      </c>
      <c r="H44" s="20" t="s">
        <v>1205</v>
      </c>
      <c r="I44" s="20" t="s">
        <v>1205</v>
      </c>
      <c r="J44" s="20" t="str">
        <f t="shared" si="0"/>
        <v/>
      </c>
      <c r="K44" s="17">
        <f t="shared" si="1"/>
        <v>0</v>
      </c>
    </row>
    <row r="45" spans="1:11">
      <c r="A45" s="17" t="s">
        <v>2008</v>
      </c>
      <c r="B45" s="17" t="s">
        <v>865</v>
      </c>
      <c r="C45" s="17" t="s">
        <v>941</v>
      </c>
      <c r="D45" s="20" t="s">
        <v>1205</v>
      </c>
      <c r="E45" s="20" t="s">
        <v>1205</v>
      </c>
      <c r="F45" s="20">
        <v>499.5</v>
      </c>
      <c r="G45" s="20" t="s">
        <v>1205</v>
      </c>
      <c r="H45" s="20" t="s">
        <v>1205</v>
      </c>
      <c r="I45" s="20" t="s">
        <v>1205</v>
      </c>
      <c r="J45" s="20" t="str">
        <f t="shared" si="0"/>
        <v/>
      </c>
      <c r="K45" s="17">
        <f t="shared" si="1"/>
        <v>0</v>
      </c>
    </row>
    <row r="46" spans="1:11">
      <c r="A46" s="17" t="s">
        <v>12</v>
      </c>
      <c r="B46" s="17" t="s">
        <v>867</v>
      </c>
      <c r="C46" s="17" t="s">
        <v>889</v>
      </c>
      <c r="D46" s="20" t="s">
        <v>1205</v>
      </c>
      <c r="E46" s="20">
        <v>1249.5</v>
      </c>
      <c r="F46" s="20" t="s">
        <v>1205</v>
      </c>
      <c r="G46" s="20" t="s">
        <v>1205</v>
      </c>
      <c r="H46" s="20">
        <v>12.5</v>
      </c>
      <c r="I46" s="20" t="s">
        <v>1205</v>
      </c>
      <c r="J46" s="20">
        <f t="shared" si="0"/>
        <v>12.5</v>
      </c>
      <c r="K46" s="17">
        <f t="shared" si="1"/>
        <v>1</v>
      </c>
    </row>
    <row r="47" spans="1:11">
      <c r="A47" s="17" t="s">
        <v>438</v>
      </c>
      <c r="B47" s="17" t="s">
        <v>900</v>
      </c>
      <c r="C47" s="17" t="s">
        <v>941</v>
      </c>
      <c r="D47" s="20">
        <v>1749.5</v>
      </c>
      <c r="E47" s="20" t="s">
        <v>1205</v>
      </c>
      <c r="F47" s="20" t="s">
        <v>1205</v>
      </c>
      <c r="G47" s="20">
        <v>12.5</v>
      </c>
      <c r="H47" s="20" t="s">
        <v>1205</v>
      </c>
      <c r="I47" s="20" t="s">
        <v>1205</v>
      </c>
      <c r="J47" s="20">
        <f t="shared" si="0"/>
        <v>12.5</v>
      </c>
      <c r="K47" s="17">
        <f t="shared" si="1"/>
        <v>1</v>
      </c>
    </row>
    <row r="48" spans="1:11">
      <c r="A48" s="17" t="s">
        <v>2181</v>
      </c>
      <c r="B48" s="17" t="s">
        <v>865</v>
      </c>
      <c r="C48" s="17" t="s">
        <v>870</v>
      </c>
      <c r="D48" s="20" t="s">
        <v>1205</v>
      </c>
      <c r="E48" s="20" t="s">
        <v>1205</v>
      </c>
      <c r="F48" s="20">
        <v>1099.5</v>
      </c>
      <c r="G48" s="20" t="s">
        <v>1205</v>
      </c>
      <c r="H48" s="20" t="s">
        <v>1205</v>
      </c>
      <c r="I48" s="20">
        <v>5.5</v>
      </c>
      <c r="J48" s="20">
        <f t="shared" si="0"/>
        <v>5.5</v>
      </c>
      <c r="K48" s="17">
        <f t="shared" si="1"/>
        <v>1</v>
      </c>
    </row>
    <row r="49" spans="1:11">
      <c r="A49" s="17" t="s">
        <v>238</v>
      </c>
      <c r="B49" s="17" t="s">
        <v>865</v>
      </c>
      <c r="C49" s="17" t="s">
        <v>870</v>
      </c>
      <c r="D49" s="20" t="s">
        <v>1205</v>
      </c>
      <c r="E49" s="20" t="s">
        <v>1205</v>
      </c>
      <c r="F49" s="20">
        <v>599.5</v>
      </c>
      <c r="G49" s="20" t="s">
        <v>1205</v>
      </c>
      <c r="H49" s="20" t="s">
        <v>1205</v>
      </c>
      <c r="I49" s="20" t="s">
        <v>1205</v>
      </c>
      <c r="J49" s="20" t="str">
        <f t="shared" si="0"/>
        <v/>
      </c>
      <c r="K49" s="17">
        <f t="shared" si="1"/>
        <v>0</v>
      </c>
    </row>
    <row r="50" spans="1:11">
      <c r="A50" s="17" t="s">
        <v>22</v>
      </c>
      <c r="B50" s="17" t="s">
        <v>865</v>
      </c>
      <c r="C50" s="17" t="s">
        <v>868</v>
      </c>
      <c r="D50" s="20" t="s">
        <v>1205</v>
      </c>
      <c r="E50" s="20" t="s">
        <v>1205</v>
      </c>
      <c r="F50" s="20">
        <v>1099.5</v>
      </c>
      <c r="G50" s="20" t="s">
        <v>1205</v>
      </c>
      <c r="H50" s="20" t="s">
        <v>1205</v>
      </c>
      <c r="I50" s="20">
        <v>7.5</v>
      </c>
      <c r="J50" s="20">
        <f t="shared" si="0"/>
        <v>7.5</v>
      </c>
      <c r="K50" s="17">
        <f t="shared" si="1"/>
        <v>1</v>
      </c>
    </row>
    <row r="51" spans="1:11">
      <c r="A51" s="17" t="s">
        <v>110</v>
      </c>
      <c r="B51" s="17" t="s">
        <v>900</v>
      </c>
      <c r="C51" s="17" t="s">
        <v>921</v>
      </c>
      <c r="D51" s="20">
        <v>3799.5</v>
      </c>
      <c r="E51" s="20">
        <v>424.5</v>
      </c>
      <c r="F51" s="20" t="s">
        <v>1205</v>
      </c>
      <c r="G51" s="20">
        <v>26.5</v>
      </c>
      <c r="H51" s="20">
        <v>3.5</v>
      </c>
      <c r="I51" s="20" t="s">
        <v>1205</v>
      </c>
      <c r="J51" s="20">
        <f t="shared" si="0"/>
        <v>30</v>
      </c>
      <c r="K51" s="17">
        <f t="shared" si="1"/>
        <v>2</v>
      </c>
    </row>
    <row r="52" spans="1:11">
      <c r="A52" s="17" t="s">
        <v>116</v>
      </c>
      <c r="B52" s="17" t="s">
        <v>865</v>
      </c>
      <c r="C52" s="17" t="s">
        <v>893</v>
      </c>
      <c r="D52" s="20" t="s">
        <v>1205</v>
      </c>
      <c r="E52" s="20" t="s">
        <v>1205</v>
      </c>
      <c r="F52" s="20">
        <v>874.5</v>
      </c>
      <c r="G52" s="20" t="s">
        <v>1205</v>
      </c>
      <c r="H52" s="20" t="s">
        <v>1205</v>
      </c>
      <c r="I52" s="20" t="s">
        <v>1205</v>
      </c>
      <c r="J52" s="20" t="str">
        <f t="shared" si="0"/>
        <v/>
      </c>
      <c r="K52" s="17">
        <f t="shared" si="1"/>
        <v>0</v>
      </c>
    </row>
    <row r="53" spans="1:11">
      <c r="A53" s="17" t="s">
        <v>2027</v>
      </c>
      <c r="B53" s="17" t="s">
        <v>900</v>
      </c>
      <c r="C53" s="17" t="s">
        <v>2176</v>
      </c>
      <c r="D53" s="20">
        <v>2499.5</v>
      </c>
      <c r="E53" s="20" t="s">
        <v>1205</v>
      </c>
      <c r="F53" s="20" t="s">
        <v>1205</v>
      </c>
      <c r="G53" s="20">
        <v>12.5</v>
      </c>
      <c r="H53" s="20" t="s">
        <v>1205</v>
      </c>
      <c r="I53" s="20" t="s">
        <v>1205</v>
      </c>
      <c r="J53" s="20">
        <f t="shared" si="0"/>
        <v>12.5</v>
      </c>
      <c r="K53" s="17">
        <f t="shared" si="1"/>
        <v>1</v>
      </c>
    </row>
    <row r="54" spans="1:11">
      <c r="A54" s="17" t="s">
        <v>42</v>
      </c>
      <c r="B54" s="17" t="s">
        <v>865</v>
      </c>
      <c r="C54" s="17" t="s">
        <v>910</v>
      </c>
      <c r="D54" s="20" t="s">
        <v>1205</v>
      </c>
      <c r="E54" s="20" t="s">
        <v>1205</v>
      </c>
      <c r="F54" s="20">
        <v>999.5</v>
      </c>
      <c r="G54" s="20" t="s">
        <v>1205</v>
      </c>
      <c r="H54" s="20" t="s">
        <v>1205</v>
      </c>
      <c r="I54" s="20">
        <v>5.5</v>
      </c>
      <c r="J54" s="20">
        <f t="shared" si="0"/>
        <v>5.5</v>
      </c>
      <c r="K54" s="17">
        <f t="shared" si="1"/>
        <v>1</v>
      </c>
    </row>
    <row r="55" spans="1:11">
      <c r="A55" s="17" t="s">
        <v>26</v>
      </c>
      <c r="B55" s="17" t="s">
        <v>890</v>
      </c>
      <c r="C55" s="17" t="s">
        <v>873</v>
      </c>
      <c r="D55" s="20" t="s">
        <v>1205</v>
      </c>
      <c r="E55" s="20" t="s">
        <v>1205</v>
      </c>
      <c r="F55" s="20">
        <v>699.5</v>
      </c>
      <c r="G55" s="20" t="s">
        <v>1205</v>
      </c>
      <c r="H55" s="20" t="s">
        <v>1205</v>
      </c>
      <c r="I55" s="20">
        <v>5.5</v>
      </c>
      <c r="J55" s="20">
        <f t="shared" si="0"/>
        <v>5.5</v>
      </c>
      <c r="K55" s="17">
        <f t="shared" si="1"/>
        <v>1</v>
      </c>
    </row>
    <row r="56" spans="1:11">
      <c r="A56" s="17" t="s">
        <v>61</v>
      </c>
      <c r="B56" s="17" t="s">
        <v>865</v>
      </c>
      <c r="C56" s="17" t="s">
        <v>872</v>
      </c>
      <c r="D56" s="20" t="s">
        <v>1205</v>
      </c>
      <c r="E56" s="20" t="s">
        <v>1205</v>
      </c>
      <c r="F56" s="20">
        <v>1049.5</v>
      </c>
      <c r="G56" s="20" t="s">
        <v>1205</v>
      </c>
      <c r="H56" s="20" t="s">
        <v>1205</v>
      </c>
      <c r="I56" s="20">
        <v>6.5</v>
      </c>
      <c r="J56" s="20">
        <f t="shared" si="0"/>
        <v>6.5</v>
      </c>
      <c r="K56" s="17">
        <f t="shared" si="1"/>
        <v>1</v>
      </c>
    </row>
    <row r="57" spans="1:11">
      <c r="A57" s="17" t="s">
        <v>2182</v>
      </c>
      <c r="B57" s="17" t="s">
        <v>890</v>
      </c>
      <c r="C57" s="17" t="s">
        <v>941</v>
      </c>
      <c r="D57" s="20" t="s">
        <v>1205</v>
      </c>
      <c r="E57" s="20" t="s">
        <v>1205</v>
      </c>
      <c r="F57" s="20">
        <v>699.5</v>
      </c>
      <c r="G57" s="20" t="s">
        <v>1205</v>
      </c>
      <c r="H57" s="20" t="s">
        <v>1205</v>
      </c>
      <c r="I57" s="20">
        <v>4.5</v>
      </c>
      <c r="J57" s="20">
        <f t="shared" si="0"/>
        <v>4.5</v>
      </c>
      <c r="K57" s="17">
        <f t="shared" si="1"/>
        <v>1</v>
      </c>
    </row>
    <row r="58" spans="1:11">
      <c r="A58" s="17" t="s">
        <v>155</v>
      </c>
      <c r="B58" s="17" t="s">
        <v>890</v>
      </c>
      <c r="C58" s="17" t="s">
        <v>921</v>
      </c>
      <c r="D58" s="20" t="s">
        <v>1205</v>
      </c>
      <c r="E58" s="20" t="s">
        <v>1205</v>
      </c>
      <c r="F58" s="20" t="s">
        <v>1205</v>
      </c>
      <c r="G58" s="20" t="s">
        <v>1205</v>
      </c>
      <c r="H58" s="20" t="s">
        <v>1205</v>
      </c>
      <c r="I58" s="20">
        <v>4.5</v>
      </c>
      <c r="J58" s="20">
        <f t="shared" si="0"/>
        <v>4.5</v>
      </c>
      <c r="K58" s="17">
        <f t="shared" si="1"/>
        <v>1</v>
      </c>
    </row>
    <row r="59" spans="1:11">
      <c r="A59" s="17" t="s">
        <v>163</v>
      </c>
      <c r="B59" s="17" t="s">
        <v>890</v>
      </c>
      <c r="C59" s="17" t="s">
        <v>875</v>
      </c>
      <c r="D59" s="20" t="s">
        <v>1205</v>
      </c>
      <c r="E59" s="20" t="s">
        <v>1205</v>
      </c>
      <c r="F59" s="20">
        <v>624.5</v>
      </c>
      <c r="G59" s="20" t="s">
        <v>1205</v>
      </c>
      <c r="H59" s="20" t="s">
        <v>1205</v>
      </c>
      <c r="I59" s="20">
        <v>3.5</v>
      </c>
      <c r="J59" s="20">
        <f t="shared" si="0"/>
        <v>3.5</v>
      </c>
      <c r="K59" s="17">
        <f t="shared" si="1"/>
        <v>1</v>
      </c>
    </row>
    <row r="60" spans="1:11">
      <c r="A60" s="17" t="s">
        <v>4</v>
      </c>
      <c r="B60" s="17" t="s">
        <v>865</v>
      </c>
      <c r="C60" s="17" t="s">
        <v>866</v>
      </c>
      <c r="D60" s="20" t="s">
        <v>1205</v>
      </c>
      <c r="E60" s="20" t="s">
        <v>1205</v>
      </c>
      <c r="F60" s="20">
        <v>1324.5</v>
      </c>
      <c r="G60" s="20" t="s">
        <v>1205</v>
      </c>
      <c r="H60" s="20" t="s">
        <v>1205</v>
      </c>
      <c r="I60" s="20">
        <v>10.5</v>
      </c>
      <c r="J60" s="20">
        <f t="shared" si="0"/>
        <v>10.5</v>
      </c>
      <c r="K60" s="17">
        <f t="shared" si="1"/>
        <v>1</v>
      </c>
    </row>
    <row r="61" spans="1:11">
      <c r="A61" s="17" t="s">
        <v>2006</v>
      </c>
      <c r="B61" s="17" t="s">
        <v>867</v>
      </c>
      <c r="C61" s="17" t="s">
        <v>907</v>
      </c>
      <c r="D61" s="20" t="s">
        <v>1205</v>
      </c>
      <c r="E61" s="20">
        <v>724.5</v>
      </c>
      <c r="F61" s="20" t="s">
        <v>1205</v>
      </c>
      <c r="G61" s="20" t="s">
        <v>1205</v>
      </c>
      <c r="H61" s="20" t="s">
        <v>1205</v>
      </c>
      <c r="I61" s="20" t="s">
        <v>1205</v>
      </c>
      <c r="J61" s="20" t="str">
        <f t="shared" si="0"/>
        <v/>
      </c>
      <c r="K61" s="17">
        <f t="shared" si="1"/>
        <v>0</v>
      </c>
    </row>
    <row r="62" spans="1:11">
      <c r="A62" s="17" t="s">
        <v>11</v>
      </c>
      <c r="B62" s="17" t="s">
        <v>867</v>
      </c>
      <c r="C62" s="17" t="s">
        <v>871</v>
      </c>
      <c r="D62" s="20" t="s">
        <v>1205</v>
      </c>
      <c r="E62" s="20">
        <v>1199.5</v>
      </c>
      <c r="F62" s="20">
        <v>449.5</v>
      </c>
      <c r="G62" s="20" t="s">
        <v>1205</v>
      </c>
      <c r="H62" s="20">
        <v>12.5</v>
      </c>
      <c r="I62" s="20">
        <v>4.5</v>
      </c>
      <c r="J62" s="20">
        <f t="shared" si="0"/>
        <v>17</v>
      </c>
      <c r="K62" s="17">
        <f t="shared" si="1"/>
        <v>2</v>
      </c>
    </row>
    <row r="63" spans="1:11">
      <c r="A63" s="17" t="s">
        <v>144</v>
      </c>
      <c r="B63" s="17" t="s">
        <v>890</v>
      </c>
      <c r="C63" s="17" t="s">
        <v>872</v>
      </c>
      <c r="D63" s="20" t="s">
        <v>1205</v>
      </c>
      <c r="E63" s="20" t="s">
        <v>1205</v>
      </c>
      <c r="F63" s="20">
        <v>524.5</v>
      </c>
      <c r="G63" s="20" t="s">
        <v>1205</v>
      </c>
      <c r="H63" s="20" t="s">
        <v>1205</v>
      </c>
      <c r="I63" s="20">
        <v>4.5</v>
      </c>
      <c r="J63" s="20">
        <f t="shared" si="0"/>
        <v>4.5</v>
      </c>
      <c r="K63" s="17">
        <f t="shared" si="1"/>
        <v>1</v>
      </c>
    </row>
    <row r="64" spans="1:11">
      <c r="A64" s="17" t="s">
        <v>103</v>
      </c>
      <c r="B64" s="17" t="s">
        <v>865</v>
      </c>
      <c r="C64" s="17" t="s">
        <v>2106</v>
      </c>
      <c r="D64" s="20" t="s">
        <v>1205</v>
      </c>
      <c r="E64" s="20" t="s">
        <v>1205</v>
      </c>
      <c r="F64" s="20">
        <v>649.5</v>
      </c>
      <c r="G64" s="20" t="s">
        <v>1205</v>
      </c>
      <c r="H64" s="20" t="s">
        <v>1205</v>
      </c>
      <c r="I64" s="20">
        <v>4.5</v>
      </c>
      <c r="J64" s="20">
        <f t="shared" si="0"/>
        <v>4.5</v>
      </c>
      <c r="K64" s="17">
        <f t="shared" si="1"/>
        <v>1</v>
      </c>
    </row>
    <row r="65" spans="1:11">
      <c r="A65" s="17" t="s">
        <v>41</v>
      </c>
      <c r="B65" s="17" t="s">
        <v>900</v>
      </c>
      <c r="C65" s="17" t="s">
        <v>870</v>
      </c>
      <c r="D65" s="20">
        <v>3249.5</v>
      </c>
      <c r="E65" s="20">
        <v>424.5</v>
      </c>
      <c r="F65" s="20" t="s">
        <v>1205</v>
      </c>
      <c r="G65" s="20">
        <v>22.5</v>
      </c>
      <c r="H65" s="20">
        <v>8.5</v>
      </c>
      <c r="I65" s="20" t="s">
        <v>1205</v>
      </c>
      <c r="J65" s="20">
        <f t="shared" si="0"/>
        <v>31</v>
      </c>
      <c r="K65" s="17">
        <f t="shared" si="1"/>
        <v>2</v>
      </c>
    </row>
    <row r="66" spans="1:11">
      <c r="A66" s="17" t="s">
        <v>39</v>
      </c>
      <c r="B66" s="17" t="s">
        <v>867</v>
      </c>
      <c r="C66" s="17" t="s">
        <v>901</v>
      </c>
      <c r="D66" s="20" t="s">
        <v>1205</v>
      </c>
      <c r="E66" s="20">
        <v>1224.5</v>
      </c>
      <c r="F66" s="20" t="s">
        <v>1205</v>
      </c>
      <c r="G66" s="20" t="s">
        <v>1205</v>
      </c>
      <c r="H66" s="20">
        <v>10.5</v>
      </c>
      <c r="I66" s="20" t="s">
        <v>1205</v>
      </c>
      <c r="J66" s="20">
        <f t="shared" si="0"/>
        <v>10.5</v>
      </c>
      <c r="K66" s="17">
        <f t="shared" si="1"/>
        <v>1</v>
      </c>
    </row>
    <row r="67" spans="1:11">
      <c r="A67" s="17" t="s">
        <v>51</v>
      </c>
      <c r="B67" s="17" t="s">
        <v>865</v>
      </c>
      <c r="C67" s="17" t="s">
        <v>871</v>
      </c>
      <c r="D67" s="20" t="s">
        <v>1205</v>
      </c>
      <c r="E67" s="20" t="s">
        <v>1205</v>
      </c>
      <c r="F67" s="20">
        <v>924.5</v>
      </c>
      <c r="G67" s="20" t="s">
        <v>1205</v>
      </c>
      <c r="H67" s="20" t="s">
        <v>1205</v>
      </c>
      <c r="I67" s="20">
        <v>5.5</v>
      </c>
      <c r="J67" s="20">
        <f t="shared" si="0"/>
        <v>5.5</v>
      </c>
      <c r="K67" s="17">
        <f t="shared" si="1"/>
        <v>1</v>
      </c>
    </row>
    <row r="68" spans="1:11">
      <c r="A68" s="17" t="s">
        <v>105</v>
      </c>
      <c r="B68" s="17" t="s">
        <v>900</v>
      </c>
      <c r="C68" s="17" t="s">
        <v>871</v>
      </c>
      <c r="D68" s="20">
        <v>4099.5</v>
      </c>
      <c r="E68" s="20" t="s">
        <v>1205</v>
      </c>
      <c r="F68" s="20" t="s">
        <v>1205</v>
      </c>
      <c r="G68" s="20">
        <v>29.5</v>
      </c>
      <c r="H68" s="20" t="s">
        <v>1205</v>
      </c>
      <c r="I68" s="20" t="s">
        <v>1205</v>
      </c>
      <c r="J68" s="20">
        <f t="shared" si="0"/>
        <v>29.5</v>
      </c>
      <c r="K68" s="17">
        <f t="shared" si="1"/>
        <v>1</v>
      </c>
    </row>
    <row r="69" spans="1:11">
      <c r="A69" s="17" t="s">
        <v>113</v>
      </c>
      <c r="B69" s="17" t="s">
        <v>867</v>
      </c>
      <c r="C69" s="17" t="s">
        <v>872</v>
      </c>
      <c r="D69" s="20" t="s">
        <v>1205</v>
      </c>
      <c r="E69" s="20">
        <v>949.5</v>
      </c>
      <c r="F69" s="20" t="s">
        <v>1205</v>
      </c>
      <c r="G69" s="20" t="s">
        <v>1205</v>
      </c>
      <c r="H69" s="20">
        <v>9.5</v>
      </c>
      <c r="I69" s="20" t="s">
        <v>1205</v>
      </c>
      <c r="J69" s="20">
        <f t="shared" ref="J69:J132" si="2">IF(COUNT(G69:I69)=0,"",SUM(G69:I69))</f>
        <v>9.5</v>
      </c>
      <c r="K69" s="17">
        <f t="shared" ref="K69:K132" si="3">COUNT(G69:I69)</f>
        <v>1</v>
      </c>
    </row>
    <row r="70" spans="1:11">
      <c r="A70" s="17" t="s">
        <v>38</v>
      </c>
      <c r="B70" s="17" t="s">
        <v>865</v>
      </c>
      <c r="C70" s="17" t="s">
        <v>907</v>
      </c>
      <c r="D70" s="20" t="s">
        <v>1205</v>
      </c>
      <c r="E70" s="20" t="s">
        <v>1205</v>
      </c>
      <c r="F70" s="20">
        <v>1324.5</v>
      </c>
      <c r="G70" s="20" t="s">
        <v>1205</v>
      </c>
      <c r="H70" s="20" t="s">
        <v>1205</v>
      </c>
      <c r="I70" s="20">
        <v>8.5</v>
      </c>
      <c r="J70" s="20">
        <f t="shared" si="2"/>
        <v>8.5</v>
      </c>
      <c r="K70" s="17">
        <f t="shared" si="3"/>
        <v>1</v>
      </c>
    </row>
    <row r="71" spans="1:11">
      <c r="A71" s="17" t="s">
        <v>311</v>
      </c>
      <c r="B71" s="17" t="s">
        <v>900</v>
      </c>
      <c r="C71" s="17" t="s">
        <v>875</v>
      </c>
      <c r="D71" s="20">
        <v>3150.5</v>
      </c>
      <c r="E71" s="20">
        <v>449.5</v>
      </c>
      <c r="F71" s="20" t="s">
        <v>1205</v>
      </c>
      <c r="G71" s="20">
        <v>19.5</v>
      </c>
      <c r="H71" s="20">
        <v>5.5</v>
      </c>
      <c r="I71" s="20" t="s">
        <v>1205</v>
      </c>
      <c r="J71" s="20">
        <f t="shared" si="2"/>
        <v>25</v>
      </c>
      <c r="K71" s="17">
        <f t="shared" si="3"/>
        <v>2</v>
      </c>
    </row>
    <row r="72" spans="1:11">
      <c r="A72" s="17" t="s">
        <v>37</v>
      </c>
      <c r="B72" s="17" t="s">
        <v>900</v>
      </c>
      <c r="C72" s="17" t="s">
        <v>902</v>
      </c>
      <c r="D72" s="20">
        <v>3199.5</v>
      </c>
      <c r="E72" s="20">
        <v>549.5</v>
      </c>
      <c r="F72" s="20" t="s">
        <v>1205</v>
      </c>
      <c r="G72" s="20">
        <v>21.5</v>
      </c>
      <c r="H72" s="20">
        <v>4.5</v>
      </c>
      <c r="I72" s="20" t="s">
        <v>1205</v>
      </c>
      <c r="J72" s="20">
        <f t="shared" si="2"/>
        <v>26</v>
      </c>
      <c r="K72" s="17">
        <f t="shared" si="3"/>
        <v>2</v>
      </c>
    </row>
    <row r="73" spans="1:11">
      <c r="A73" s="17" t="s">
        <v>98</v>
      </c>
      <c r="B73" s="17" t="s">
        <v>865</v>
      </c>
      <c r="C73" s="17" t="s">
        <v>887</v>
      </c>
      <c r="D73" s="20" t="s">
        <v>1205</v>
      </c>
      <c r="E73" s="20" t="s">
        <v>1205</v>
      </c>
      <c r="F73" s="20">
        <v>674.5</v>
      </c>
      <c r="G73" s="20" t="s">
        <v>1205</v>
      </c>
      <c r="H73" s="20" t="s">
        <v>1205</v>
      </c>
      <c r="I73" s="20" t="s">
        <v>1205</v>
      </c>
      <c r="J73" s="20" t="str">
        <f t="shared" si="2"/>
        <v/>
      </c>
      <c r="K73" s="17">
        <f t="shared" si="3"/>
        <v>0</v>
      </c>
    </row>
    <row r="74" spans="1:11">
      <c r="A74" s="17" t="s">
        <v>71</v>
      </c>
      <c r="B74" s="17" t="s">
        <v>865</v>
      </c>
      <c r="C74" s="17" t="s">
        <v>935</v>
      </c>
      <c r="D74" s="20" t="s">
        <v>1205</v>
      </c>
      <c r="E74" s="20" t="s">
        <v>1205</v>
      </c>
      <c r="F74" s="20">
        <v>924.5</v>
      </c>
      <c r="G74" s="20" t="s">
        <v>1205</v>
      </c>
      <c r="H74" s="20" t="s">
        <v>1205</v>
      </c>
      <c r="I74" s="20">
        <v>5.5</v>
      </c>
      <c r="J74" s="20">
        <f t="shared" si="2"/>
        <v>5.5</v>
      </c>
      <c r="K74" s="17">
        <f t="shared" si="3"/>
        <v>1</v>
      </c>
    </row>
    <row r="75" spans="1:11">
      <c r="A75" s="17" t="s">
        <v>95</v>
      </c>
      <c r="B75" s="17" t="s">
        <v>867</v>
      </c>
      <c r="C75" s="17" t="s">
        <v>927</v>
      </c>
      <c r="D75" s="20" t="s">
        <v>1205</v>
      </c>
      <c r="E75" s="20">
        <v>624.5</v>
      </c>
      <c r="F75" s="20" t="s">
        <v>1205</v>
      </c>
      <c r="G75" s="20" t="s">
        <v>1205</v>
      </c>
      <c r="H75" s="20">
        <v>4.5</v>
      </c>
      <c r="I75" s="20" t="s">
        <v>1205</v>
      </c>
      <c r="J75" s="20">
        <f t="shared" si="2"/>
        <v>4.5</v>
      </c>
      <c r="K75" s="17">
        <f t="shared" si="3"/>
        <v>1</v>
      </c>
    </row>
    <row r="76" spans="1:11">
      <c r="A76" s="17" t="s">
        <v>2004</v>
      </c>
      <c r="B76" s="17" t="s">
        <v>867</v>
      </c>
      <c r="C76" s="17" t="s">
        <v>891</v>
      </c>
      <c r="D76" s="20" t="s">
        <v>1205</v>
      </c>
      <c r="E76" s="20">
        <v>774.5</v>
      </c>
      <c r="F76" s="20" t="s">
        <v>1205</v>
      </c>
      <c r="G76" s="20" t="s">
        <v>1205</v>
      </c>
      <c r="H76" s="20">
        <v>5.5</v>
      </c>
      <c r="I76" s="20" t="s">
        <v>1205</v>
      </c>
      <c r="J76" s="20">
        <f t="shared" si="2"/>
        <v>5.5</v>
      </c>
      <c r="K76" s="17">
        <f t="shared" si="3"/>
        <v>1</v>
      </c>
    </row>
    <row r="77" spans="1:11">
      <c r="A77" s="17" t="s">
        <v>87</v>
      </c>
      <c r="B77" s="17" t="s">
        <v>865</v>
      </c>
      <c r="C77" s="17" t="s">
        <v>941</v>
      </c>
      <c r="D77" s="20" t="s">
        <v>1205</v>
      </c>
      <c r="E77" s="20" t="s">
        <v>1205</v>
      </c>
      <c r="F77" s="20">
        <v>549.5</v>
      </c>
      <c r="G77" s="20" t="s">
        <v>1205</v>
      </c>
      <c r="H77" s="20" t="s">
        <v>1205</v>
      </c>
      <c r="I77" s="20" t="s">
        <v>1205</v>
      </c>
      <c r="J77" s="20" t="str">
        <f t="shared" si="2"/>
        <v/>
      </c>
      <c r="K77" s="17">
        <f t="shared" si="3"/>
        <v>0</v>
      </c>
    </row>
    <row r="78" spans="1:11">
      <c r="A78" s="17" t="s">
        <v>2183</v>
      </c>
      <c r="B78" s="17" t="s">
        <v>867</v>
      </c>
      <c r="C78" s="17" t="s">
        <v>935</v>
      </c>
      <c r="D78" s="20" t="s">
        <v>1205</v>
      </c>
      <c r="E78" s="20">
        <v>674.5</v>
      </c>
      <c r="F78" s="20" t="s">
        <v>1205</v>
      </c>
      <c r="G78" s="20" t="s">
        <v>1205</v>
      </c>
      <c r="H78" s="20">
        <v>5.5</v>
      </c>
      <c r="I78" s="20" t="s">
        <v>1205</v>
      </c>
      <c r="J78" s="20">
        <f t="shared" si="2"/>
        <v>5.5</v>
      </c>
      <c r="K78" s="17">
        <f t="shared" si="3"/>
        <v>1</v>
      </c>
    </row>
    <row r="79" spans="1:11">
      <c r="A79" s="17" t="s">
        <v>50</v>
      </c>
      <c r="B79" s="17" t="s">
        <v>900</v>
      </c>
      <c r="C79" s="17" t="s">
        <v>866</v>
      </c>
      <c r="D79" s="20">
        <v>3999.5</v>
      </c>
      <c r="E79" s="20" t="s">
        <v>1205</v>
      </c>
      <c r="F79" s="20" t="s">
        <v>1205</v>
      </c>
      <c r="G79" s="20">
        <v>32.5</v>
      </c>
      <c r="H79" s="20" t="s">
        <v>1205</v>
      </c>
      <c r="I79" s="20" t="s">
        <v>1205</v>
      </c>
      <c r="J79" s="20">
        <f t="shared" si="2"/>
        <v>32.5</v>
      </c>
      <c r="K79" s="17">
        <f t="shared" si="3"/>
        <v>1</v>
      </c>
    </row>
    <row r="80" spans="1:11">
      <c r="A80" s="17" t="s">
        <v>21</v>
      </c>
      <c r="B80" s="17" t="s">
        <v>867</v>
      </c>
      <c r="C80" s="17" t="s">
        <v>885</v>
      </c>
      <c r="D80" s="20" t="s">
        <v>1205</v>
      </c>
      <c r="E80" s="20">
        <v>1224.5</v>
      </c>
      <c r="F80" s="20" t="s">
        <v>1205</v>
      </c>
      <c r="G80" s="20" t="s">
        <v>1205</v>
      </c>
      <c r="H80" s="20">
        <v>11.5</v>
      </c>
      <c r="I80" s="20" t="s">
        <v>1205</v>
      </c>
      <c r="J80" s="20">
        <f t="shared" si="2"/>
        <v>11.5</v>
      </c>
      <c r="K80" s="17">
        <f t="shared" si="3"/>
        <v>1</v>
      </c>
    </row>
    <row r="81" spans="1:11">
      <c r="A81" s="17" t="s">
        <v>89</v>
      </c>
      <c r="B81" s="17" t="s">
        <v>865</v>
      </c>
      <c r="C81" s="17" t="s">
        <v>869</v>
      </c>
      <c r="D81" s="20" t="s">
        <v>1205</v>
      </c>
      <c r="E81" s="20" t="s">
        <v>1205</v>
      </c>
      <c r="F81" s="20">
        <v>674.5</v>
      </c>
      <c r="G81" s="20" t="s">
        <v>1205</v>
      </c>
      <c r="H81" s="20" t="s">
        <v>1205</v>
      </c>
      <c r="I81" s="20">
        <v>4.5</v>
      </c>
      <c r="J81" s="20">
        <f t="shared" si="2"/>
        <v>4.5</v>
      </c>
      <c r="K81" s="17">
        <f t="shared" si="3"/>
        <v>1</v>
      </c>
    </row>
    <row r="82" spans="1:11">
      <c r="A82" s="17" t="s">
        <v>118</v>
      </c>
      <c r="B82" s="17" t="s">
        <v>900</v>
      </c>
      <c r="C82" s="17" t="s">
        <v>887</v>
      </c>
      <c r="D82" s="20">
        <v>3549.5</v>
      </c>
      <c r="E82" s="20" t="s">
        <v>1205</v>
      </c>
      <c r="F82" s="20" t="s">
        <v>1205</v>
      </c>
      <c r="G82" s="20">
        <v>25.5</v>
      </c>
      <c r="H82" s="20" t="s">
        <v>1205</v>
      </c>
      <c r="I82" s="20" t="s">
        <v>1205</v>
      </c>
      <c r="J82" s="20">
        <f t="shared" si="2"/>
        <v>25.5</v>
      </c>
      <c r="K82" s="17">
        <f t="shared" si="3"/>
        <v>1</v>
      </c>
    </row>
    <row r="83" spans="1:11">
      <c r="A83" s="17" t="s">
        <v>92</v>
      </c>
      <c r="B83" s="17" t="s">
        <v>867</v>
      </c>
      <c r="C83" s="17" t="s">
        <v>869</v>
      </c>
      <c r="D83" s="20" t="s">
        <v>1205</v>
      </c>
      <c r="E83" s="20">
        <v>649.5</v>
      </c>
      <c r="F83" s="20" t="s">
        <v>1205</v>
      </c>
      <c r="G83" s="20" t="s">
        <v>1205</v>
      </c>
      <c r="H83" s="20">
        <v>4.5</v>
      </c>
      <c r="I83" s="20" t="s">
        <v>1205</v>
      </c>
      <c r="J83" s="20">
        <f t="shared" si="2"/>
        <v>4.5</v>
      </c>
      <c r="K83" s="17">
        <f t="shared" si="3"/>
        <v>1</v>
      </c>
    </row>
    <row r="84" spans="1:11">
      <c r="A84" s="17" t="s">
        <v>2016</v>
      </c>
      <c r="B84" s="17" t="s">
        <v>865</v>
      </c>
      <c r="C84" s="17" t="s">
        <v>916</v>
      </c>
      <c r="D84" s="20" t="s">
        <v>1205</v>
      </c>
      <c r="E84" s="20" t="s">
        <v>1205</v>
      </c>
      <c r="F84" s="20">
        <v>774.5</v>
      </c>
      <c r="G84" s="20" t="s">
        <v>1205</v>
      </c>
      <c r="H84" s="20" t="s">
        <v>1205</v>
      </c>
      <c r="I84" s="20" t="s">
        <v>1205</v>
      </c>
      <c r="J84" s="20" t="str">
        <f t="shared" si="2"/>
        <v/>
      </c>
      <c r="K84" s="17">
        <f t="shared" si="3"/>
        <v>0</v>
      </c>
    </row>
    <row r="85" spans="1:11">
      <c r="A85" s="17" t="s">
        <v>30</v>
      </c>
      <c r="B85" s="17" t="s">
        <v>900</v>
      </c>
      <c r="C85" s="17" t="s">
        <v>901</v>
      </c>
      <c r="D85" s="20">
        <v>3624.5</v>
      </c>
      <c r="E85" s="20">
        <v>499.5</v>
      </c>
      <c r="F85" s="20" t="s">
        <v>1205</v>
      </c>
      <c r="G85" s="20">
        <v>25.5</v>
      </c>
      <c r="H85" s="20">
        <v>11.5</v>
      </c>
      <c r="I85" s="20" t="s">
        <v>1205</v>
      </c>
      <c r="J85" s="20">
        <f t="shared" si="2"/>
        <v>37</v>
      </c>
      <c r="K85" s="17">
        <f t="shared" si="3"/>
        <v>2</v>
      </c>
    </row>
    <row r="86" spans="1:11">
      <c r="A86" s="17" t="s">
        <v>122</v>
      </c>
      <c r="B86" s="17" t="s">
        <v>865</v>
      </c>
      <c r="C86" s="17" t="s">
        <v>885</v>
      </c>
      <c r="D86" s="20" t="s">
        <v>1205</v>
      </c>
      <c r="E86" s="20" t="s">
        <v>1205</v>
      </c>
      <c r="F86" s="20">
        <v>774.5</v>
      </c>
      <c r="G86" s="20" t="s">
        <v>1205</v>
      </c>
      <c r="H86" s="20" t="s">
        <v>1205</v>
      </c>
      <c r="I86" s="20" t="s">
        <v>1205</v>
      </c>
      <c r="J86" s="20" t="str">
        <f t="shared" si="2"/>
        <v/>
      </c>
      <c r="K86" s="17">
        <f t="shared" si="3"/>
        <v>0</v>
      </c>
    </row>
    <row r="87" spans="1:11">
      <c r="A87" s="17" t="s">
        <v>102</v>
      </c>
      <c r="B87" s="17" t="s">
        <v>900</v>
      </c>
      <c r="C87" s="17" t="s">
        <v>898</v>
      </c>
      <c r="D87" s="20">
        <v>3650.5</v>
      </c>
      <c r="E87" s="20" t="s">
        <v>1205</v>
      </c>
      <c r="F87" s="20" t="s">
        <v>1205</v>
      </c>
      <c r="G87" s="20">
        <v>25.5</v>
      </c>
      <c r="H87" s="20" t="s">
        <v>1205</v>
      </c>
      <c r="I87" s="20" t="s">
        <v>1205</v>
      </c>
      <c r="J87" s="20">
        <f t="shared" si="2"/>
        <v>25.5</v>
      </c>
      <c r="K87" s="17">
        <f t="shared" si="3"/>
        <v>1</v>
      </c>
    </row>
    <row r="88" spans="1:11">
      <c r="A88" s="17" t="s">
        <v>9</v>
      </c>
      <c r="B88" s="17" t="s">
        <v>865</v>
      </c>
      <c r="C88" s="17" t="s">
        <v>869</v>
      </c>
      <c r="D88" s="20" t="s">
        <v>1205</v>
      </c>
      <c r="E88" s="20" t="s">
        <v>1205</v>
      </c>
      <c r="F88" s="20">
        <v>1174.5</v>
      </c>
      <c r="G88" s="20" t="s">
        <v>1205</v>
      </c>
      <c r="H88" s="20" t="s">
        <v>1205</v>
      </c>
      <c r="I88" s="20">
        <v>6.5</v>
      </c>
      <c r="J88" s="20">
        <f t="shared" si="2"/>
        <v>6.5</v>
      </c>
      <c r="K88" s="17">
        <f t="shared" si="3"/>
        <v>1</v>
      </c>
    </row>
    <row r="89" spans="1:11">
      <c r="A89" s="17" t="s">
        <v>254</v>
      </c>
      <c r="B89" s="17" t="s">
        <v>890</v>
      </c>
      <c r="C89" s="17" t="s">
        <v>916</v>
      </c>
      <c r="D89" s="20" t="s">
        <v>1205</v>
      </c>
      <c r="E89" s="20" t="s">
        <v>1205</v>
      </c>
      <c r="F89" s="20">
        <v>599.5</v>
      </c>
      <c r="G89" s="20" t="s">
        <v>1205</v>
      </c>
      <c r="H89" s="20" t="s">
        <v>1205</v>
      </c>
      <c r="I89" s="20" t="s">
        <v>1205</v>
      </c>
      <c r="J89" s="20" t="str">
        <f t="shared" si="2"/>
        <v/>
      </c>
      <c r="K89" s="17">
        <f t="shared" si="3"/>
        <v>0</v>
      </c>
    </row>
    <row r="90" spans="1:11">
      <c r="A90" s="17" t="s">
        <v>2009</v>
      </c>
      <c r="B90" s="17" t="s">
        <v>865</v>
      </c>
      <c r="C90" s="17" t="s">
        <v>941</v>
      </c>
      <c r="D90" s="20" t="s">
        <v>1205</v>
      </c>
      <c r="E90" s="20" t="s">
        <v>1205</v>
      </c>
      <c r="F90" s="20">
        <v>599.5</v>
      </c>
      <c r="G90" s="20" t="s">
        <v>1205</v>
      </c>
      <c r="H90" s="20" t="s">
        <v>1205</v>
      </c>
      <c r="I90" s="20" t="s">
        <v>1205</v>
      </c>
      <c r="J90" s="20" t="str">
        <f t="shared" si="2"/>
        <v/>
      </c>
      <c r="K90" s="17">
        <f t="shared" si="3"/>
        <v>0</v>
      </c>
    </row>
    <row r="91" spans="1:11">
      <c r="A91" s="17" t="s">
        <v>2184</v>
      </c>
      <c r="B91" s="17" t="s">
        <v>867</v>
      </c>
      <c r="C91" s="17" t="s">
        <v>925</v>
      </c>
      <c r="D91" s="20" t="s">
        <v>1205</v>
      </c>
      <c r="E91" s="20">
        <v>949.5</v>
      </c>
      <c r="F91" s="20" t="s">
        <v>1205</v>
      </c>
      <c r="G91" s="20" t="s">
        <v>1205</v>
      </c>
      <c r="H91" s="20">
        <v>7.5</v>
      </c>
      <c r="I91" s="20" t="s">
        <v>1205</v>
      </c>
      <c r="J91" s="20">
        <f t="shared" si="2"/>
        <v>7.5</v>
      </c>
      <c r="K91" s="17">
        <f t="shared" si="3"/>
        <v>1</v>
      </c>
    </row>
    <row r="92" spans="1:11">
      <c r="A92" s="17" t="s">
        <v>117</v>
      </c>
      <c r="B92" s="17" t="s">
        <v>865</v>
      </c>
      <c r="C92" s="17" t="s">
        <v>901</v>
      </c>
      <c r="D92" s="20" t="s">
        <v>1205</v>
      </c>
      <c r="E92" s="20" t="s">
        <v>1205</v>
      </c>
      <c r="F92" s="20">
        <v>674.5</v>
      </c>
      <c r="G92" s="20" t="s">
        <v>1205</v>
      </c>
      <c r="H92" s="20" t="s">
        <v>1205</v>
      </c>
      <c r="I92" s="20" t="s">
        <v>1205</v>
      </c>
      <c r="J92" s="20" t="str">
        <f t="shared" si="2"/>
        <v/>
      </c>
      <c r="K92" s="17">
        <f t="shared" si="3"/>
        <v>0</v>
      </c>
    </row>
    <row r="93" spans="1:11">
      <c r="A93" s="17" t="s">
        <v>136</v>
      </c>
      <c r="B93" s="17" t="s">
        <v>890</v>
      </c>
      <c r="C93" s="17" t="s">
        <v>868</v>
      </c>
      <c r="D93" s="20" t="s">
        <v>1205</v>
      </c>
      <c r="E93" s="20" t="s">
        <v>1205</v>
      </c>
      <c r="F93" s="20">
        <v>749.5</v>
      </c>
      <c r="G93" s="20" t="s">
        <v>1205</v>
      </c>
      <c r="H93" s="20" t="s">
        <v>1205</v>
      </c>
      <c r="I93" s="20">
        <v>4.5</v>
      </c>
      <c r="J93" s="20">
        <f t="shared" si="2"/>
        <v>4.5</v>
      </c>
      <c r="K93" s="17">
        <f t="shared" si="3"/>
        <v>1</v>
      </c>
    </row>
    <row r="94" spans="1:11">
      <c r="A94" s="17" t="s">
        <v>84</v>
      </c>
      <c r="B94" s="17" t="s">
        <v>900</v>
      </c>
      <c r="C94" s="17" t="s">
        <v>869</v>
      </c>
      <c r="D94" s="20">
        <v>3049.5</v>
      </c>
      <c r="E94" s="20" t="s">
        <v>1205</v>
      </c>
      <c r="F94" s="20" t="s">
        <v>1205</v>
      </c>
      <c r="G94" s="20">
        <v>18.5</v>
      </c>
      <c r="H94" s="20" t="s">
        <v>1205</v>
      </c>
      <c r="I94" s="20" t="s">
        <v>1205</v>
      </c>
      <c r="J94" s="20">
        <f t="shared" si="2"/>
        <v>18.5</v>
      </c>
      <c r="K94" s="17">
        <f t="shared" si="3"/>
        <v>1</v>
      </c>
    </row>
    <row r="95" spans="1:11">
      <c r="A95" s="17" t="s">
        <v>29</v>
      </c>
      <c r="B95" s="17" t="s">
        <v>867</v>
      </c>
      <c r="C95" s="17" t="s">
        <v>874</v>
      </c>
      <c r="D95" s="20" t="s">
        <v>1205</v>
      </c>
      <c r="E95" s="20">
        <v>949.5</v>
      </c>
      <c r="F95" s="20" t="s">
        <v>1205</v>
      </c>
      <c r="G95" s="20" t="s">
        <v>1205</v>
      </c>
      <c r="H95" s="20">
        <v>9.5</v>
      </c>
      <c r="I95" s="20" t="s">
        <v>1205</v>
      </c>
      <c r="J95" s="20">
        <f t="shared" si="2"/>
        <v>9.5</v>
      </c>
      <c r="K95" s="17">
        <f t="shared" si="3"/>
        <v>1</v>
      </c>
    </row>
    <row r="96" spans="1:11">
      <c r="A96" s="17" t="s">
        <v>27</v>
      </c>
      <c r="B96" s="17" t="s">
        <v>865</v>
      </c>
      <c r="C96" s="17" t="s">
        <v>898</v>
      </c>
      <c r="D96" s="20" t="s">
        <v>1205</v>
      </c>
      <c r="E96" s="20" t="s">
        <v>1205</v>
      </c>
      <c r="F96" s="20">
        <v>899.5</v>
      </c>
      <c r="G96" s="20" t="s">
        <v>1205</v>
      </c>
      <c r="H96" s="20" t="s">
        <v>1205</v>
      </c>
      <c r="I96" s="20">
        <v>5.5</v>
      </c>
      <c r="J96" s="20">
        <f t="shared" si="2"/>
        <v>5.5</v>
      </c>
      <c r="K96" s="17">
        <f t="shared" si="3"/>
        <v>1</v>
      </c>
    </row>
    <row r="97" spans="1:11">
      <c r="A97" s="17" t="s">
        <v>31</v>
      </c>
      <c r="B97" s="17" t="s">
        <v>900</v>
      </c>
      <c r="C97" s="17" t="s">
        <v>889</v>
      </c>
      <c r="D97" s="20">
        <v>3249.5</v>
      </c>
      <c r="E97" s="20">
        <v>599.5</v>
      </c>
      <c r="F97" s="20" t="s">
        <v>1205</v>
      </c>
      <c r="G97" s="20">
        <v>24.5</v>
      </c>
      <c r="H97" s="20">
        <v>3.5</v>
      </c>
      <c r="I97" s="20" t="s">
        <v>1205</v>
      </c>
      <c r="J97" s="20">
        <f t="shared" si="2"/>
        <v>28</v>
      </c>
      <c r="K97" s="17">
        <f t="shared" si="3"/>
        <v>2</v>
      </c>
    </row>
    <row r="98" spans="1:11">
      <c r="A98" s="17" t="s">
        <v>2185</v>
      </c>
      <c r="B98" s="17" t="s">
        <v>865</v>
      </c>
      <c r="C98" s="17" t="s">
        <v>929</v>
      </c>
      <c r="D98" s="20" t="s">
        <v>1205</v>
      </c>
      <c r="E98" s="20" t="s">
        <v>1205</v>
      </c>
      <c r="F98" s="20">
        <v>849.5</v>
      </c>
      <c r="G98" s="20" t="s">
        <v>1205</v>
      </c>
      <c r="H98" s="20" t="s">
        <v>1205</v>
      </c>
      <c r="I98" s="20">
        <v>4.5</v>
      </c>
      <c r="J98" s="20">
        <f t="shared" si="2"/>
        <v>4.5</v>
      </c>
      <c r="K98" s="17">
        <f t="shared" si="3"/>
        <v>1</v>
      </c>
    </row>
    <row r="99" spans="1:11">
      <c r="A99" s="17" t="s">
        <v>2013</v>
      </c>
      <c r="B99" s="17" t="s">
        <v>865</v>
      </c>
      <c r="C99" s="17" t="s">
        <v>870</v>
      </c>
      <c r="D99" s="20" t="s">
        <v>1205</v>
      </c>
      <c r="E99" s="20" t="s">
        <v>1205</v>
      </c>
      <c r="F99" s="20">
        <v>649.5</v>
      </c>
      <c r="G99" s="20" t="s">
        <v>1205</v>
      </c>
      <c r="H99" s="20" t="s">
        <v>1205</v>
      </c>
      <c r="I99" s="20" t="s">
        <v>1205</v>
      </c>
      <c r="J99" s="20" t="str">
        <f t="shared" si="2"/>
        <v/>
      </c>
      <c r="K99" s="17">
        <f t="shared" si="3"/>
        <v>0</v>
      </c>
    </row>
    <row r="100" spans="1:11">
      <c r="A100" s="17" t="s">
        <v>15</v>
      </c>
      <c r="B100" s="17" t="s">
        <v>865</v>
      </c>
      <c r="C100" s="17" t="s">
        <v>875</v>
      </c>
      <c r="D100" s="20" t="s">
        <v>1205</v>
      </c>
      <c r="E100" s="20" t="s">
        <v>1205</v>
      </c>
      <c r="F100" s="20" t="s">
        <v>1205</v>
      </c>
      <c r="G100" s="20" t="s">
        <v>1205</v>
      </c>
      <c r="H100" s="20" t="s">
        <v>1205</v>
      </c>
      <c r="I100" s="20">
        <v>5.5</v>
      </c>
      <c r="J100" s="20">
        <f t="shared" si="2"/>
        <v>5.5</v>
      </c>
      <c r="K100" s="17">
        <f t="shared" si="3"/>
        <v>1</v>
      </c>
    </row>
    <row r="101" spans="1:11">
      <c r="A101" s="17" t="s">
        <v>453</v>
      </c>
      <c r="B101" s="17" t="s">
        <v>900</v>
      </c>
      <c r="C101" s="17" t="s">
        <v>877</v>
      </c>
      <c r="D101" s="20">
        <v>2949.5</v>
      </c>
      <c r="E101" s="20">
        <v>549.5</v>
      </c>
      <c r="F101" s="20" t="s">
        <v>1205</v>
      </c>
      <c r="G101" s="20">
        <v>14.5</v>
      </c>
      <c r="H101" s="20">
        <v>3.5</v>
      </c>
      <c r="I101" s="20" t="s">
        <v>1205</v>
      </c>
      <c r="J101" s="20">
        <f t="shared" si="2"/>
        <v>18</v>
      </c>
      <c r="K101" s="17">
        <f t="shared" si="3"/>
        <v>2</v>
      </c>
    </row>
    <row r="102" spans="1:11">
      <c r="A102" s="17" t="s">
        <v>72</v>
      </c>
      <c r="B102" s="17" t="s">
        <v>890</v>
      </c>
      <c r="C102" s="17" t="s">
        <v>889</v>
      </c>
      <c r="D102" s="20" t="s">
        <v>1205</v>
      </c>
      <c r="E102" s="20" t="s">
        <v>1205</v>
      </c>
      <c r="F102" s="20">
        <v>499.5</v>
      </c>
      <c r="G102" s="20" t="s">
        <v>1205</v>
      </c>
      <c r="H102" s="20" t="s">
        <v>1205</v>
      </c>
      <c r="I102" s="20">
        <v>6.5</v>
      </c>
      <c r="J102" s="20">
        <f t="shared" si="2"/>
        <v>6.5</v>
      </c>
      <c r="K102" s="17">
        <f t="shared" si="3"/>
        <v>1</v>
      </c>
    </row>
    <row r="103" spans="1:11">
      <c r="A103" s="17" t="s">
        <v>2186</v>
      </c>
      <c r="B103" s="17" t="s">
        <v>865</v>
      </c>
      <c r="C103" s="17" t="s">
        <v>891</v>
      </c>
      <c r="D103" s="20" t="s">
        <v>1205</v>
      </c>
      <c r="E103" s="20" t="s">
        <v>1205</v>
      </c>
      <c r="F103" s="20">
        <v>824.5</v>
      </c>
      <c r="G103" s="20" t="s">
        <v>1205</v>
      </c>
      <c r="H103" s="20" t="s">
        <v>1205</v>
      </c>
      <c r="I103" s="20">
        <v>5.5</v>
      </c>
      <c r="J103" s="20">
        <f t="shared" si="2"/>
        <v>5.5</v>
      </c>
      <c r="K103" s="17">
        <f t="shared" si="3"/>
        <v>1</v>
      </c>
    </row>
    <row r="104" spans="1:11">
      <c r="A104" s="17" t="s">
        <v>119</v>
      </c>
      <c r="B104" s="17" t="s">
        <v>865</v>
      </c>
      <c r="C104" s="17" t="s">
        <v>887</v>
      </c>
      <c r="D104" s="20" t="s">
        <v>1205</v>
      </c>
      <c r="E104" s="20" t="s">
        <v>1205</v>
      </c>
      <c r="F104" s="20">
        <v>649.5</v>
      </c>
      <c r="G104" s="20" t="s">
        <v>1205</v>
      </c>
      <c r="H104" s="20" t="s">
        <v>1205</v>
      </c>
      <c r="I104" s="20" t="s">
        <v>1205</v>
      </c>
      <c r="J104" s="20" t="str">
        <f t="shared" si="2"/>
        <v/>
      </c>
      <c r="K104" s="17">
        <f t="shared" si="3"/>
        <v>0</v>
      </c>
    </row>
    <row r="105" spans="1:11">
      <c r="A105" s="17" t="s">
        <v>162</v>
      </c>
      <c r="B105" s="17" t="s">
        <v>900</v>
      </c>
      <c r="C105" s="17" t="s">
        <v>874</v>
      </c>
      <c r="D105" s="20">
        <v>3899.5</v>
      </c>
      <c r="E105" s="20" t="s">
        <v>1205</v>
      </c>
      <c r="F105" s="20" t="s">
        <v>1205</v>
      </c>
      <c r="G105" s="20">
        <v>30.5</v>
      </c>
      <c r="H105" s="20" t="s">
        <v>1205</v>
      </c>
      <c r="I105" s="20" t="s">
        <v>1205</v>
      </c>
      <c r="J105" s="20">
        <f t="shared" si="2"/>
        <v>30.5</v>
      </c>
      <c r="K105" s="17">
        <f t="shared" si="3"/>
        <v>1</v>
      </c>
    </row>
    <row r="106" spans="1:11">
      <c r="A106" s="17" t="s">
        <v>2187</v>
      </c>
      <c r="B106" s="17" t="s">
        <v>865</v>
      </c>
      <c r="C106" s="17" t="s">
        <v>927</v>
      </c>
      <c r="D106" s="20" t="s">
        <v>1205</v>
      </c>
      <c r="E106" s="20" t="s">
        <v>1205</v>
      </c>
      <c r="F106" s="20">
        <v>774.5</v>
      </c>
      <c r="G106" s="20" t="s">
        <v>1205</v>
      </c>
      <c r="H106" s="20" t="s">
        <v>1205</v>
      </c>
      <c r="I106" s="20" t="s">
        <v>1205</v>
      </c>
      <c r="J106" s="20" t="str">
        <f t="shared" si="2"/>
        <v/>
      </c>
      <c r="K106" s="17">
        <f t="shared" si="3"/>
        <v>0</v>
      </c>
    </row>
    <row r="107" spans="1:11">
      <c r="A107" s="17" t="s">
        <v>222</v>
      </c>
      <c r="B107" s="17" t="s">
        <v>865</v>
      </c>
      <c r="C107" s="17" t="s">
        <v>891</v>
      </c>
      <c r="D107" s="20" t="s">
        <v>1205</v>
      </c>
      <c r="E107" s="20" t="s">
        <v>1205</v>
      </c>
      <c r="F107" s="20">
        <v>724.5</v>
      </c>
      <c r="G107" s="20" t="s">
        <v>1205</v>
      </c>
      <c r="H107" s="20" t="s">
        <v>1205</v>
      </c>
      <c r="I107" s="20" t="s">
        <v>1205</v>
      </c>
      <c r="J107" s="20" t="str">
        <f t="shared" si="2"/>
        <v/>
      </c>
      <c r="K107" s="17">
        <f t="shared" si="3"/>
        <v>0</v>
      </c>
    </row>
    <row r="108" spans="1:11">
      <c r="A108" s="17" t="s">
        <v>34</v>
      </c>
      <c r="B108" s="17" t="s">
        <v>865</v>
      </c>
      <c r="C108" s="17" t="s">
        <v>873</v>
      </c>
      <c r="D108" s="20" t="s">
        <v>1205</v>
      </c>
      <c r="E108" s="20" t="s">
        <v>1205</v>
      </c>
      <c r="F108" s="20">
        <v>799.5</v>
      </c>
      <c r="G108" s="20" t="s">
        <v>1205</v>
      </c>
      <c r="H108" s="20" t="s">
        <v>1205</v>
      </c>
      <c r="I108" s="20">
        <v>6.5</v>
      </c>
      <c r="J108" s="20">
        <f t="shared" si="2"/>
        <v>6.5</v>
      </c>
      <c r="K108" s="17">
        <f t="shared" si="3"/>
        <v>1</v>
      </c>
    </row>
    <row r="109" spans="1:11">
      <c r="A109" s="17" t="s">
        <v>13</v>
      </c>
      <c r="B109" s="17" t="s">
        <v>865</v>
      </c>
      <c r="C109" s="17" t="s">
        <v>879</v>
      </c>
      <c r="D109" s="20" t="s">
        <v>1205</v>
      </c>
      <c r="E109" s="20" t="s">
        <v>1205</v>
      </c>
      <c r="F109" s="20">
        <v>1149.5</v>
      </c>
      <c r="G109" s="20" t="s">
        <v>1205</v>
      </c>
      <c r="H109" s="20" t="s">
        <v>1205</v>
      </c>
      <c r="I109" s="20">
        <v>6.5</v>
      </c>
      <c r="J109" s="20">
        <f t="shared" si="2"/>
        <v>6.5</v>
      </c>
      <c r="K109" s="17">
        <f t="shared" si="3"/>
        <v>1</v>
      </c>
    </row>
    <row r="110" spans="1:11">
      <c r="A110" s="17" t="s">
        <v>2188</v>
      </c>
      <c r="B110" s="17" t="s">
        <v>865</v>
      </c>
      <c r="C110" s="17" t="s">
        <v>910</v>
      </c>
      <c r="D110" s="20" t="s">
        <v>1205</v>
      </c>
      <c r="E110" s="20" t="s">
        <v>1205</v>
      </c>
      <c r="F110" s="20">
        <v>449.5</v>
      </c>
      <c r="G110" s="20" t="s">
        <v>1205</v>
      </c>
      <c r="H110" s="20" t="s">
        <v>1205</v>
      </c>
      <c r="I110" s="20" t="s">
        <v>1205</v>
      </c>
      <c r="J110" s="20" t="str">
        <f t="shared" si="2"/>
        <v/>
      </c>
      <c r="K110" s="17">
        <f t="shared" si="3"/>
        <v>0</v>
      </c>
    </row>
    <row r="111" spans="1:11">
      <c r="A111" s="17" t="s">
        <v>43</v>
      </c>
      <c r="B111" s="17" t="s">
        <v>867</v>
      </c>
      <c r="C111" s="17" t="s">
        <v>898</v>
      </c>
      <c r="D111" s="20" t="s">
        <v>1205</v>
      </c>
      <c r="E111" s="20">
        <v>949.5</v>
      </c>
      <c r="F111" s="20" t="s">
        <v>1205</v>
      </c>
      <c r="G111" s="20" t="s">
        <v>1205</v>
      </c>
      <c r="H111" s="20">
        <v>7.5</v>
      </c>
      <c r="I111" s="20" t="s">
        <v>1205</v>
      </c>
      <c r="J111" s="20">
        <f t="shared" si="2"/>
        <v>7.5</v>
      </c>
      <c r="K111" s="17">
        <f t="shared" si="3"/>
        <v>1</v>
      </c>
    </row>
    <row r="112" spans="1:11">
      <c r="A112" s="17" t="s">
        <v>310</v>
      </c>
      <c r="B112" s="17" t="s">
        <v>865</v>
      </c>
      <c r="C112" s="17" t="s">
        <v>2106</v>
      </c>
      <c r="D112" s="20" t="s">
        <v>1205</v>
      </c>
      <c r="E112" s="20" t="s">
        <v>1205</v>
      </c>
      <c r="F112" s="20">
        <v>824.5</v>
      </c>
      <c r="G112" s="20" t="s">
        <v>1205</v>
      </c>
      <c r="H112" s="20" t="s">
        <v>1205</v>
      </c>
      <c r="I112" s="20">
        <v>4.5</v>
      </c>
      <c r="J112" s="20">
        <f t="shared" si="2"/>
        <v>4.5</v>
      </c>
      <c r="K112" s="17">
        <f t="shared" si="3"/>
        <v>1</v>
      </c>
    </row>
    <row r="113" spans="1:11">
      <c r="A113" s="17" t="s">
        <v>69</v>
      </c>
      <c r="B113" s="17" t="s">
        <v>900</v>
      </c>
      <c r="C113" s="17" t="s">
        <v>925</v>
      </c>
      <c r="D113" s="20">
        <v>3649.5</v>
      </c>
      <c r="E113" s="20" t="s">
        <v>1205</v>
      </c>
      <c r="F113" s="20" t="s">
        <v>1205</v>
      </c>
      <c r="G113" s="20">
        <v>25.5</v>
      </c>
      <c r="H113" s="20" t="s">
        <v>1205</v>
      </c>
      <c r="I113" s="20" t="s">
        <v>1205</v>
      </c>
      <c r="J113" s="20">
        <f t="shared" si="2"/>
        <v>25.5</v>
      </c>
      <c r="K113" s="17">
        <f t="shared" si="3"/>
        <v>1</v>
      </c>
    </row>
    <row r="114" spans="1:11">
      <c r="A114" s="17" t="s">
        <v>14</v>
      </c>
      <c r="B114" s="17" t="s">
        <v>865</v>
      </c>
      <c r="C114" s="17" t="s">
        <v>874</v>
      </c>
      <c r="D114" s="20" t="s">
        <v>1205</v>
      </c>
      <c r="E114" s="20" t="s">
        <v>1205</v>
      </c>
      <c r="F114" s="20">
        <v>1324.5</v>
      </c>
      <c r="G114" s="20" t="s">
        <v>1205</v>
      </c>
      <c r="H114" s="20" t="s">
        <v>1205</v>
      </c>
      <c r="I114" s="20">
        <v>7.5</v>
      </c>
      <c r="J114" s="20">
        <f t="shared" si="2"/>
        <v>7.5</v>
      </c>
      <c r="K114" s="17">
        <f t="shared" si="3"/>
        <v>1</v>
      </c>
    </row>
    <row r="115" spans="1:11">
      <c r="A115" s="17" t="s">
        <v>176</v>
      </c>
      <c r="B115" s="17" t="s">
        <v>865</v>
      </c>
      <c r="C115" s="17" t="s">
        <v>898</v>
      </c>
      <c r="D115" s="20" t="s">
        <v>1205</v>
      </c>
      <c r="E115" s="20" t="s">
        <v>1205</v>
      </c>
      <c r="F115" s="20">
        <v>674.5</v>
      </c>
      <c r="G115" s="20" t="s">
        <v>1205</v>
      </c>
      <c r="H115" s="20" t="s">
        <v>1205</v>
      </c>
      <c r="I115" s="20">
        <v>5.5</v>
      </c>
      <c r="J115" s="20">
        <f t="shared" si="2"/>
        <v>5.5</v>
      </c>
      <c r="K115" s="17">
        <f t="shared" si="3"/>
        <v>1</v>
      </c>
    </row>
    <row r="116" spans="1:11">
      <c r="A116" s="17" t="s">
        <v>126</v>
      </c>
      <c r="B116" s="17" t="s">
        <v>867</v>
      </c>
      <c r="C116" s="17" t="s">
        <v>941</v>
      </c>
      <c r="D116" s="20" t="s">
        <v>1205</v>
      </c>
      <c r="E116" s="20">
        <v>874.5</v>
      </c>
      <c r="F116" s="20" t="s">
        <v>1205</v>
      </c>
      <c r="G116" s="20" t="s">
        <v>1205</v>
      </c>
      <c r="H116" s="20">
        <v>6.5</v>
      </c>
      <c r="I116" s="20" t="s">
        <v>1205</v>
      </c>
      <c r="J116" s="20">
        <f t="shared" si="2"/>
        <v>6.5</v>
      </c>
      <c r="K116" s="17">
        <f t="shared" si="3"/>
        <v>1</v>
      </c>
    </row>
    <row r="117" spans="1:11">
      <c r="A117" s="17" t="s">
        <v>140</v>
      </c>
      <c r="B117" s="17" t="s">
        <v>865</v>
      </c>
      <c r="C117" s="17" t="s">
        <v>907</v>
      </c>
      <c r="D117" s="20" t="s">
        <v>1205</v>
      </c>
      <c r="E117" s="20" t="s">
        <v>1205</v>
      </c>
      <c r="F117" s="20">
        <v>574.5</v>
      </c>
      <c r="G117" s="20" t="s">
        <v>1205</v>
      </c>
      <c r="H117" s="20" t="s">
        <v>1205</v>
      </c>
      <c r="I117" s="20" t="s">
        <v>1205</v>
      </c>
      <c r="J117" s="20" t="str">
        <f t="shared" si="2"/>
        <v/>
      </c>
      <c r="K117" s="17">
        <f t="shared" si="3"/>
        <v>0</v>
      </c>
    </row>
    <row r="118" spans="1:11">
      <c r="A118" s="17" t="s">
        <v>109</v>
      </c>
      <c r="B118" s="17" t="s">
        <v>867</v>
      </c>
      <c r="C118" s="17" t="s">
        <v>921</v>
      </c>
      <c r="D118" s="20" t="s">
        <v>1205</v>
      </c>
      <c r="E118" s="20">
        <v>624.5</v>
      </c>
      <c r="F118" s="20" t="s">
        <v>1205</v>
      </c>
      <c r="G118" s="20" t="s">
        <v>1205</v>
      </c>
      <c r="H118" s="20">
        <v>5.5</v>
      </c>
      <c r="I118" s="20" t="s">
        <v>1205</v>
      </c>
      <c r="J118" s="20">
        <f t="shared" si="2"/>
        <v>5.5</v>
      </c>
      <c r="K118" s="17">
        <f t="shared" si="3"/>
        <v>1</v>
      </c>
    </row>
    <row r="119" spans="1:11">
      <c r="A119" s="17" t="s">
        <v>159</v>
      </c>
      <c r="B119" s="17" t="s">
        <v>867</v>
      </c>
      <c r="C119" s="17" t="s">
        <v>927</v>
      </c>
      <c r="D119" s="20" t="s">
        <v>1205</v>
      </c>
      <c r="E119" s="20">
        <v>699.5</v>
      </c>
      <c r="F119" s="20" t="s">
        <v>1205</v>
      </c>
      <c r="G119" s="20" t="s">
        <v>1205</v>
      </c>
      <c r="H119" s="20">
        <v>5.5</v>
      </c>
      <c r="I119" s="20" t="s">
        <v>1205</v>
      </c>
      <c r="J119" s="20">
        <f t="shared" si="2"/>
        <v>5.5</v>
      </c>
      <c r="K119" s="17">
        <f t="shared" si="3"/>
        <v>1</v>
      </c>
    </row>
    <row r="120" spans="1:11">
      <c r="A120" s="17" t="s">
        <v>85</v>
      </c>
      <c r="B120" s="17" t="s">
        <v>865</v>
      </c>
      <c r="C120" s="17" t="s">
        <v>929</v>
      </c>
      <c r="D120" s="20" t="s">
        <v>1205</v>
      </c>
      <c r="E120" s="20" t="s">
        <v>1205</v>
      </c>
      <c r="F120" s="20">
        <v>824.5</v>
      </c>
      <c r="G120" s="20" t="s">
        <v>1205</v>
      </c>
      <c r="H120" s="20" t="s">
        <v>1205</v>
      </c>
      <c r="I120" s="20">
        <v>5.5</v>
      </c>
      <c r="J120" s="20">
        <f t="shared" si="2"/>
        <v>5.5</v>
      </c>
      <c r="K120" s="17">
        <f t="shared" si="3"/>
        <v>1</v>
      </c>
    </row>
    <row r="121" spans="1:11">
      <c r="A121" s="17" t="s">
        <v>165</v>
      </c>
      <c r="B121" s="17" t="s">
        <v>865</v>
      </c>
      <c r="C121" s="17" t="s">
        <v>921</v>
      </c>
      <c r="D121" s="20" t="s">
        <v>1205</v>
      </c>
      <c r="E121" s="20" t="s">
        <v>1205</v>
      </c>
      <c r="F121" s="20">
        <v>649.5</v>
      </c>
      <c r="G121" s="20" t="s">
        <v>1205</v>
      </c>
      <c r="H121" s="20" t="s">
        <v>1205</v>
      </c>
      <c r="I121" s="20">
        <v>4.5</v>
      </c>
      <c r="J121" s="20">
        <f t="shared" si="2"/>
        <v>4.5</v>
      </c>
      <c r="K121" s="17">
        <f t="shared" si="3"/>
        <v>1</v>
      </c>
    </row>
    <row r="122" spans="1:11">
      <c r="A122" s="17" t="s">
        <v>193</v>
      </c>
      <c r="B122" s="17" t="s">
        <v>900</v>
      </c>
      <c r="C122" s="17" t="s">
        <v>907</v>
      </c>
      <c r="D122" s="20">
        <v>3699.5</v>
      </c>
      <c r="E122" s="20" t="s">
        <v>1205</v>
      </c>
      <c r="F122" s="20" t="s">
        <v>1205</v>
      </c>
      <c r="G122" s="20">
        <v>23.5</v>
      </c>
      <c r="H122" s="20" t="s">
        <v>1205</v>
      </c>
      <c r="I122" s="20" t="s">
        <v>1205</v>
      </c>
      <c r="J122" s="20">
        <f t="shared" si="2"/>
        <v>23.5</v>
      </c>
      <c r="K122" s="17">
        <f t="shared" si="3"/>
        <v>1</v>
      </c>
    </row>
    <row r="123" spans="1:11">
      <c r="A123" s="17" t="s">
        <v>7</v>
      </c>
      <c r="B123" s="17" t="s">
        <v>867</v>
      </c>
      <c r="C123" s="17" t="s">
        <v>870</v>
      </c>
      <c r="D123" s="20" t="s">
        <v>1205</v>
      </c>
      <c r="E123" s="20">
        <v>1099.5</v>
      </c>
      <c r="F123" s="20" t="s">
        <v>1205</v>
      </c>
      <c r="G123" s="20" t="s">
        <v>1205</v>
      </c>
      <c r="H123" s="20">
        <v>7.5</v>
      </c>
      <c r="I123" s="20" t="s">
        <v>1205</v>
      </c>
      <c r="J123" s="20">
        <f t="shared" si="2"/>
        <v>7.5</v>
      </c>
      <c r="K123" s="17">
        <f t="shared" si="3"/>
        <v>1</v>
      </c>
    </row>
    <row r="124" spans="1:11">
      <c r="A124" s="17" t="s">
        <v>107</v>
      </c>
      <c r="B124" s="17" t="s">
        <v>865</v>
      </c>
      <c r="C124" s="17" t="s">
        <v>902</v>
      </c>
      <c r="D124" s="20" t="s">
        <v>1205</v>
      </c>
      <c r="E124" s="20" t="s">
        <v>1205</v>
      </c>
      <c r="F124" s="20">
        <v>749.5</v>
      </c>
      <c r="G124" s="20" t="s">
        <v>1205</v>
      </c>
      <c r="H124" s="20" t="s">
        <v>1205</v>
      </c>
      <c r="I124" s="20">
        <v>4.5</v>
      </c>
      <c r="J124" s="20">
        <f t="shared" si="2"/>
        <v>4.5</v>
      </c>
      <c r="K124" s="17">
        <f t="shared" si="3"/>
        <v>1</v>
      </c>
    </row>
    <row r="125" spans="1:11">
      <c r="A125" s="17" t="s">
        <v>2189</v>
      </c>
      <c r="B125" s="17" t="s">
        <v>890</v>
      </c>
      <c r="C125" s="17" t="s">
        <v>869</v>
      </c>
      <c r="D125" s="20" t="s">
        <v>1205</v>
      </c>
      <c r="E125" s="20" t="s">
        <v>1205</v>
      </c>
      <c r="F125" s="20">
        <v>474.5</v>
      </c>
      <c r="G125" s="20" t="s">
        <v>1205</v>
      </c>
      <c r="H125" s="20" t="s">
        <v>1205</v>
      </c>
      <c r="I125" s="20" t="s">
        <v>1205</v>
      </c>
      <c r="J125" s="20" t="str">
        <f t="shared" si="2"/>
        <v/>
      </c>
      <c r="K125" s="17">
        <f t="shared" si="3"/>
        <v>0</v>
      </c>
    </row>
    <row r="126" spans="1:11">
      <c r="A126" s="17" t="s">
        <v>32</v>
      </c>
      <c r="B126" s="17" t="s">
        <v>865</v>
      </c>
      <c r="C126" s="17" t="s">
        <v>866</v>
      </c>
      <c r="D126" s="20" t="s">
        <v>1205</v>
      </c>
      <c r="E126" s="20" t="s">
        <v>1205</v>
      </c>
      <c r="F126" s="20">
        <v>874.5</v>
      </c>
      <c r="G126" s="20" t="s">
        <v>1205</v>
      </c>
      <c r="H126" s="20" t="s">
        <v>1205</v>
      </c>
      <c r="I126" s="20">
        <v>8.5</v>
      </c>
      <c r="J126" s="20">
        <f t="shared" si="2"/>
        <v>8.5</v>
      </c>
      <c r="K126" s="17">
        <f t="shared" si="3"/>
        <v>1</v>
      </c>
    </row>
    <row r="127" spans="1:11">
      <c r="A127" s="17" t="s">
        <v>47</v>
      </c>
      <c r="B127" s="17" t="s">
        <v>865</v>
      </c>
      <c r="C127" s="17" t="s">
        <v>902</v>
      </c>
      <c r="D127" s="20" t="s">
        <v>1205</v>
      </c>
      <c r="E127" s="20" t="s">
        <v>1205</v>
      </c>
      <c r="F127" s="20">
        <v>924.5</v>
      </c>
      <c r="G127" s="20" t="s">
        <v>1205</v>
      </c>
      <c r="H127" s="20" t="s">
        <v>1205</v>
      </c>
      <c r="I127" s="20">
        <v>5.5</v>
      </c>
      <c r="J127" s="20">
        <f t="shared" si="2"/>
        <v>5.5</v>
      </c>
      <c r="K127" s="17">
        <f t="shared" si="3"/>
        <v>1</v>
      </c>
    </row>
    <row r="128" spans="1:11">
      <c r="A128" s="17" t="s">
        <v>64</v>
      </c>
      <c r="B128" s="17" t="s">
        <v>865</v>
      </c>
      <c r="C128" s="17" t="s">
        <v>918</v>
      </c>
      <c r="D128" s="20" t="s">
        <v>1205</v>
      </c>
      <c r="E128" s="20" t="s">
        <v>1205</v>
      </c>
      <c r="F128" s="20">
        <v>949.5</v>
      </c>
      <c r="G128" s="20" t="s">
        <v>1205</v>
      </c>
      <c r="H128" s="20" t="s">
        <v>1205</v>
      </c>
      <c r="I128" s="20">
        <v>6.5</v>
      </c>
      <c r="J128" s="20">
        <f t="shared" si="2"/>
        <v>6.5</v>
      </c>
      <c r="K128" s="17">
        <f t="shared" si="3"/>
        <v>1</v>
      </c>
    </row>
    <row r="129" spans="1:11">
      <c r="A129" s="17" t="s">
        <v>67</v>
      </c>
      <c r="B129" s="17" t="s">
        <v>867</v>
      </c>
      <c r="C129" s="17" t="s">
        <v>937</v>
      </c>
      <c r="D129" s="20" t="s">
        <v>1205</v>
      </c>
      <c r="E129" s="20">
        <v>799.5</v>
      </c>
      <c r="F129" s="20" t="s">
        <v>1205</v>
      </c>
      <c r="G129" s="20" t="s">
        <v>1205</v>
      </c>
      <c r="H129" s="20">
        <v>5.5</v>
      </c>
      <c r="I129" s="20" t="s">
        <v>1205</v>
      </c>
      <c r="J129" s="20">
        <f t="shared" si="2"/>
        <v>5.5</v>
      </c>
      <c r="K129" s="17">
        <f t="shared" si="3"/>
        <v>1</v>
      </c>
    </row>
    <row r="130" spans="1:11">
      <c r="A130" s="17" t="s">
        <v>2190</v>
      </c>
      <c r="B130" s="17" t="s">
        <v>867</v>
      </c>
      <c r="C130" s="17" t="s">
        <v>916</v>
      </c>
      <c r="D130" s="20" t="s">
        <v>1205</v>
      </c>
      <c r="E130" s="20">
        <v>824.5</v>
      </c>
      <c r="F130" s="20" t="s">
        <v>1205</v>
      </c>
      <c r="G130" s="20" t="s">
        <v>1205</v>
      </c>
      <c r="H130" s="20">
        <v>5.5</v>
      </c>
      <c r="I130" s="20" t="s">
        <v>1205</v>
      </c>
      <c r="J130" s="20">
        <f t="shared" si="2"/>
        <v>5.5</v>
      </c>
      <c r="K130" s="17">
        <f t="shared" si="3"/>
        <v>1</v>
      </c>
    </row>
    <row r="131" spans="1:11">
      <c r="A131" s="17" t="s">
        <v>91</v>
      </c>
      <c r="B131" s="17" t="s">
        <v>890</v>
      </c>
      <c r="C131" s="17" t="s">
        <v>925</v>
      </c>
      <c r="D131" s="20" t="s">
        <v>1205</v>
      </c>
      <c r="E131" s="20" t="s">
        <v>1205</v>
      </c>
      <c r="F131" s="20">
        <v>674.5</v>
      </c>
      <c r="G131" s="20" t="s">
        <v>1205</v>
      </c>
      <c r="H131" s="20" t="s">
        <v>1205</v>
      </c>
      <c r="I131" s="20">
        <v>4.5</v>
      </c>
      <c r="J131" s="20">
        <f t="shared" si="2"/>
        <v>4.5</v>
      </c>
      <c r="K131" s="17">
        <f t="shared" si="3"/>
        <v>1</v>
      </c>
    </row>
    <row r="132" spans="1:11">
      <c r="A132" s="17" t="s">
        <v>292</v>
      </c>
      <c r="B132" s="17" t="s">
        <v>865</v>
      </c>
      <c r="C132" s="17" t="s">
        <v>2176</v>
      </c>
      <c r="D132" s="20" t="s">
        <v>1205</v>
      </c>
      <c r="E132" s="20" t="s">
        <v>1205</v>
      </c>
      <c r="F132" s="20">
        <v>574.5</v>
      </c>
      <c r="G132" s="20" t="s">
        <v>1205</v>
      </c>
      <c r="H132" s="20" t="s">
        <v>1205</v>
      </c>
      <c r="I132" s="20" t="s">
        <v>1205</v>
      </c>
      <c r="J132" s="20" t="str">
        <f t="shared" si="2"/>
        <v/>
      </c>
      <c r="K132" s="17">
        <f t="shared" si="3"/>
        <v>0</v>
      </c>
    </row>
    <row r="133" spans="1:11">
      <c r="A133" s="17" t="s">
        <v>123</v>
      </c>
      <c r="B133" s="17" t="s">
        <v>900</v>
      </c>
      <c r="C133" s="17" t="s">
        <v>2106</v>
      </c>
      <c r="D133" s="20">
        <v>3774.5</v>
      </c>
      <c r="E133" s="20" t="s">
        <v>1205</v>
      </c>
      <c r="F133" s="20" t="s">
        <v>1205</v>
      </c>
      <c r="G133" s="20">
        <v>25.5</v>
      </c>
      <c r="H133" s="20" t="s">
        <v>1205</v>
      </c>
      <c r="I133" s="20" t="s">
        <v>1205</v>
      </c>
      <c r="J133" s="20">
        <f t="shared" ref="J133:J140" si="4">IF(COUNT(G133:I133)=0,"",SUM(G133:I133))</f>
        <v>25.5</v>
      </c>
      <c r="K133" s="17">
        <f t="shared" ref="K133:K140" si="5">COUNT(G133:I133)</f>
        <v>1</v>
      </c>
    </row>
    <row r="134" spans="1:11">
      <c r="A134" s="17" t="s">
        <v>36</v>
      </c>
      <c r="B134" s="17" t="s">
        <v>890</v>
      </c>
      <c r="C134" s="17" t="s">
        <v>891</v>
      </c>
      <c r="D134" s="20" t="s">
        <v>1205</v>
      </c>
      <c r="E134" s="20" t="s">
        <v>1205</v>
      </c>
      <c r="F134" s="20">
        <v>999.5</v>
      </c>
      <c r="G134" s="20" t="s">
        <v>1205</v>
      </c>
      <c r="H134" s="20" t="s">
        <v>1205</v>
      </c>
      <c r="I134" s="20">
        <v>6.5</v>
      </c>
      <c r="J134" s="20">
        <f t="shared" si="4"/>
        <v>6.5</v>
      </c>
      <c r="K134" s="17">
        <f t="shared" si="5"/>
        <v>1</v>
      </c>
    </row>
    <row r="135" spans="1:11">
      <c r="A135" s="17" t="s">
        <v>97</v>
      </c>
      <c r="B135" s="17" t="s">
        <v>890</v>
      </c>
      <c r="C135" s="17" t="s">
        <v>887</v>
      </c>
      <c r="D135" s="20" t="s">
        <v>1205</v>
      </c>
      <c r="E135" s="20" t="s">
        <v>1205</v>
      </c>
      <c r="F135" s="20">
        <v>699.5</v>
      </c>
      <c r="G135" s="20" t="s">
        <v>1205</v>
      </c>
      <c r="H135" s="20" t="s">
        <v>1205</v>
      </c>
      <c r="I135" s="20">
        <v>5.5</v>
      </c>
      <c r="J135" s="20">
        <f t="shared" si="4"/>
        <v>5.5</v>
      </c>
      <c r="K135" s="17">
        <f t="shared" si="5"/>
        <v>1</v>
      </c>
    </row>
    <row r="136" spans="1:11">
      <c r="A136" s="17" t="s">
        <v>303</v>
      </c>
      <c r="B136" s="17" t="s">
        <v>900</v>
      </c>
      <c r="C136" s="17" t="s">
        <v>916</v>
      </c>
      <c r="D136" s="20">
        <v>3449.5</v>
      </c>
      <c r="E136" s="20" t="s">
        <v>1205</v>
      </c>
      <c r="F136" s="20" t="s">
        <v>1205</v>
      </c>
      <c r="G136" s="20">
        <v>20.5</v>
      </c>
      <c r="H136" s="20" t="s">
        <v>1205</v>
      </c>
      <c r="I136" s="20" t="s">
        <v>1205</v>
      </c>
      <c r="J136" s="20">
        <f t="shared" si="4"/>
        <v>20.5</v>
      </c>
      <c r="K136" s="17">
        <f t="shared" si="5"/>
        <v>1</v>
      </c>
    </row>
    <row r="137" spans="1:11">
      <c r="A137" s="17" t="s">
        <v>112</v>
      </c>
      <c r="B137" s="17" t="s">
        <v>890</v>
      </c>
      <c r="C137" s="17" t="s">
        <v>885</v>
      </c>
      <c r="D137" s="20" t="s">
        <v>1205</v>
      </c>
      <c r="E137" s="20" t="s">
        <v>1205</v>
      </c>
      <c r="F137" s="20">
        <v>774.5</v>
      </c>
      <c r="G137" s="20" t="s">
        <v>1205</v>
      </c>
      <c r="H137" s="20" t="s">
        <v>1205</v>
      </c>
      <c r="I137" s="20">
        <v>5.5</v>
      </c>
      <c r="J137" s="20">
        <f t="shared" si="4"/>
        <v>5.5</v>
      </c>
      <c r="K137" s="17">
        <f t="shared" si="5"/>
        <v>1</v>
      </c>
    </row>
    <row r="138" spans="1:11">
      <c r="A138" s="17" t="s">
        <v>200</v>
      </c>
      <c r="B138" s="17" t="s">
        <v>865</v>
      </c>
      <c r="C138" s="17" t="s">
        <v>937</v>
      </c>
      <c r="D138" s="20" t="s">
        <v>1205</v>
      </c>
      <c r="E138" s="20" t="s">
        <v>1205</v>
      </c>
      <c r="F138" s="20">
        <v>674.5</v>
      </c>
      <c r="G138" s="20" t="s">
        <v>1205</v>
      </c>
      <c r="H138" s="20" t="s">
        <v>1205</v>
      </c>
      <c r="I138" s="20" t="s">
        <v>1205</v>
      </c>
      <c r="J138" s="20" t="str">
        <f t="shared" si="4"/>
        <v/>
      </c>
      <c r="K138" s="17">
        <f t="shared" si="5"/>
        <v>0</v>
      </c>
    </row>
    <row r="139" spans="1:11">
      <c r="A139" s="17" t="s">
        <v>56</v>
      </c>
      <c r="B139" s="17" t="s">
        <v>865</v>
      </c>
      <c r="C139" s="17" t="s">
        <v>925</v>
      </c>
      <c r="D139" s="20" t="s">
        <v>1205</v>
      </c>
      <c r="E139" s="20" t="s">
        <v>1205</v>
      </c>
      <c r="F139" s="20">
        <v>649.5</v>
      </c>
      <c r="G139" s="20" t="s">
        <v>1205</v>
      </c>
      <c r="H139" s="20" t="s">
        <v>1205</v>
      </c>
      <c r="I139" s="20" t="s">
        <v>1205</v>
      </c>
      <c r="J139" s="20" t="str">
        <f t="shared" si="4"/>
        <v/>
      </c>
      <c r="K139" s="17">
        <f t="shared" si="5"/>
        <v>0</v>
      </c>
    </row>
    <row r="140" spans="1:11">
      <c r="A140" s="17" t="s">
        <v>58</v>
      </c>
      <c r="B140" s="17" t="s">
        <v>865</v>
      </c>
      <c r="C140" s="17" t="s">
        <v>889</v>
      </c>
      <c r="D140" s="20" t="s">
        <v>1205</v>
      </c>
      <c r="E140" s="20" t="s">
        <v>1205</v>
      </c>
      <c r="F140" s="20">
        <v>999.5</v>
      </c>
      <c r="G140" s="20" t="s">
        <v>1205</v>
      </c>
      <c r="H140" s="20" t="s">
        <v>1205</v>
      </c>
      <c r="I140" s="20">
        <v>5.5</v>
      </c>
      <c r="J140" s="20">
        <f t="shared" si="4"/>
        <v>5.5</v>
      </c>
      <c r="K140" s="17">
        <f t="shared" si="5"/>
        <v>1</v>
      </c>
    </row>
  </sheetData>
  <mergeCells count="2">
    <mergeCell ref="A1:K1"/>
    <mergeCell ref="A2:K2"/>
  </mergeCells>
  <conditionalFormatting sqref="K5:K140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{D45299C4-EC04-449C-AE84-000F4A3E1F48}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5299C4-EC04-449C-AE84-000F4A3E1F48}">
            <x14:dataBar>
              <x14:cfvo type="min"/>
              <x14:cfvo type="max"/>
              <x14:negativeFillColor auto="1"/>
              <x14:axisColor auto="1"/>
            </x14:dataBar>
          </x14:cfRule>
          <xm:sqref>K5:K140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79998168889431442"/>
  </sheetPr>
  <dimension ref="A1:J301"/>
  <sheetViews>
    <sheetView workbookViewId="0">
      <selection activeCell="D243" sqref="D243"/>
    </sheetView>
  </sheetViews>
  <sheetFormatPr defaultRowHeight="14.5"/>
  <cols>
    <col min="1" max="1" width="10" customWidth="1"/>
    <col min="2" max="2" width="26" customWidth="1"/>
    <col min="3" max="3" width="20" customWidth="1"/>
    <col min="4" max="4" width="10.1796875" bestFit="1" customWidth="1"/>
    <col min="6" max="6" width="10" customWidth="1"/>
    <col min="7" max="7" width="55" customWidth="1"/>
    <col min="8" max="8" width="10" customWidth="1"/>
    <col min="9" max="9" width="14" customWidth="1"/>
    <col min="10" max="10" width="38" customWidth="1"/>
  </cols>
  <sheetData>
    <row r="1" spans="1:10" ht="13.4" customHeight="1">
      <c r="A1" s="4"/>
      <c r="B1" s="4" t="s">
        <v>503</v>
      </c>
      <c r="C1" s="4" t="s">
        <v>1984</v>
      </c>
      <c r="D1" s="4" t="s">
        <v>1985</v>
      </c>
      <c r="F1" s="15" t="s">
        <v>1986</v>
      </c>
      <c r="G1" s="15"/>
      <c r="H1" s="15"/>
      <c r="I1" s="6" t="s">
        <v>1987</v>
      </c>
      <c r="J1" s="8" t="s">
        <v>1988</v>
      </c>
    </row>
    <row r="2" spans="1:10" ht="13.4" customHeight="1">
      <c r="A2">
        <v>1</v>
      </c>
      <c r="B2" t="s">
        <v>11</v>
      </c>
      <c r="C2" t="s">
        <v>2163</v>
      </c>
      <c r="D2" s="9">
        <v>0.72924768518518523</v>
      </c>
      <c r="F2" s="5" t="s">
        <v>1989</v>
      </c>
      <c r="G2" s="5" t="s">
        <v>1990</v>
      </c>
      <c r="H2" s="5"/>
      <c r="I2" s="7" t="s">
        <v>1991</v>
      </c>
      <c r="J2" s="5" t="s">
        <v>2161</v>
      </c>
    </row>
    <row r="3" spans="1:10" ht="13.4" customHeight="1">
      <c r="A3">
        <v>2</v>
      </c>
      <c r="B3" t="s">
        <v>6</v>
      </c>
      <c r="C3" t="s">
        <v>2132</v>
      </c>
      <c r="D3" s="9">
        <v>0.72930555555555554</v>
      </c>
      <c r="F3" s="5" t="s">
        <v>1992</v>
      </c>
      <c r="G3" s="5" t="s">
        <v>1993</v>
      </c>
      <c r="H3" s="5"/>
      <c r="I3" s="7" t="s">
        <v>1994</v>
      </c>
      <c r="J3" s="5" t="s">
        <v>2162</v>
      </c>
    </row>
    <row r="4" spans="1:10" ht="13.4" customHeight="1">
      <c r="A4">
        <v>3</v>
      </c>
      <c r="B4" t="s">
        <v>4</v>
      </c>
      <c r="C4" t="s">
        <v>2133</v>
      </c>
      <c r="D4" s="9">
        <v>0.72973379629629631</v>
      </c>
      <c r="F4" s="5" t="s">
        <v>1995</v>
      </c>
      <c r="G4" s="5" t="s">
        <v>1996</v>
      </c>
      <c r="H4" s="5"/>
      <c r="I4" s="7" t="s">
        <v>1997</v>
      </c>
      <c r="J4" s="5" t="s">
        <v>1998</v>
      </c>
    </row>
    <row r="5" spans="1:10" ht="13.4" customHeight="1">
      <c r="A5">
        <v>4</v>
      </c>
      <c r="B5" t="s">
        <v>14</v>
      </c>
      <c r="C5" t="s">
        <v>2131</v>
      </c>
      <c r="D5" s="9">
        <v>0.7299768518518519</v>
      </c>
      <c r="F5" s="5" t="s">
        <v>1999</v>
      </c>
      <c r="G5" s="5" t="s">
        <v>2000</v>
      </c>
      <c r="H5" s="5"/>
      <c r="I5" s="7" t="s">
        <v>2001</v>
      </c>
      <c r="J5" s="5" t="s">
        <v>2002</v>
      </c>
    </row>
    <row r="6" spans="1:10" ht="13.4" customHeight="1">
      <c r="A6">
        <v>5</v>
      </c>
      <c r="B6" t="s">
        <v>38</v>
      </c>
      <c r="C6" t="s">
        <v>2130</v>
      </c>
      <c r="D6" s="9">
        <v>0.7309606481481481</v>
      </c>
    </row>
    <row r="7" spans="1:10" ht="13.4" customHeight="1">
      <c r="A7">
        <v>6</v>
      </c>
      <c r="B7" t="s">
        <v>17</v>
      </c>
      <c r="C7" t="s">
        <v>2128</v>
      </c>
      <c r="D7" s="9">
        <v>0.73189814814814813</v>
      </c>
    </row>
    <row r="8" spans="1:10" ht="13.4" customHeight="1">
      <c r="A8">
        <v>7</v>
      </c>
      <c r="B8" t="s">
        <v>21</v>
      </c>
      <c r="C8" t="s">
        <v>2129</v>
      </c>
      <c r="D8" s="9">
        <v>0.73197916666666663</v>
      </c>
    </row>
    <row r="9" spans="1:10" ht="13.4" customHeight="1">
      <c r="A9">
        <v>8</v>
      </c>
      <c r="B9" t="s">
        <v>2003</v>
      </c>
      <c r="C9" t="s">
        <v>2126</v>
      </c>
      <c r="D9" s="9">
        <v>0.73224537037037041</v>
      </c>
    </row>
    <row r="10" spans="1:10" ht="13.4" customHeight="1">
      <c r="A10">
        <v>9</v>
      </c>
      <c r="B10" t="s">
        <v>10</v>
      </c>
      <c r="C10" t="s">
        <v>2127</v>
      </c>
      <c r="D10" s="9">
        <v>0.73230324074074071</v>
      </c>
    </row>
    <row r="11" spans="1:10" ht="13.4" customHeight="1">
      <c r="A11">
        <v>10</v>
      </c>
      <c r="B11" t="s">
        <v>18</v>
      </c>
      <c r="C11" t="s">
        <v>2134</v>
      </c>
      <c r="D11" s="9">
        <v>0.7324074074074074</v>
      </c>
    </row>
    <row r="12" spans="1:10" ht="13.4" customHeight="1">
      <c r="A12">
        <v>11</v>
      </c>
      <c r="B12" t="s">
        <v>9</v>
      </c>
      <c r="C12" t="s">
        <v>2134</v>
      </c>
      <c r="D12" s="9">
        <v>0.73253472222222227</v>
      </c>
    </row>
    <row r="13" spans="1:10" ht="13.4" customHeight="1">
      <c r="A13">
        <v>12</v>
      </c>
      <c r="B13" t="s">
        <v>12</v>
      </c>
      <c r="C13" t="s">
        <v>2127</v>
      </c>
      <c r="D13" s="9">
        <v>0.73280092592592594</v>
      </c>
    </row>
    <row r="14" spans="1:10" ht="13.4" customHeight="1">
      <c r="A14">
        <v>13</v>
      </c>
      <c r="B14" t="s">
        <v>43</v>
      </c>
      <c r="C14" t="s">
        <v>2126</v>
      </c>
      <c r="D14" s="9">
        <v>0.73370370370370375</v>
      </c>
    </row>
    <row r="15" spans="1:10" ht="13.4" customHeight="1">
      <c r="A15">
        <v>14</v>
      </c>
      <c r="B15" t="s">
        <v>23</v>
      </c>
      <c r="C15" t="s">
        <v>2129</v>
      </c>
      <c r="D15" s="9">
        <v>0.73424768518518524</v>
      </c>
    </row>
    <row r="16" spans="1:10" ht="13.4" customHeight="1">
      <c r="A16">
        <v>15</v>
      </c>
      <c r="B16" t="s">
        <v>7</v>
      </c>
      <c r="C16" t="s">
        <v>2128</v>
      </c>
      <c r="D16" s="9">
        <v>0.73443287037037042</v>
      </c>
    </row>
    <row r="17" spans="1:4" ht="13.4" customHeight="1">
      <c r="A17">
        <v>16</v>
      </c>
      <c r="B17" t="s">
        <v>36</v>
      </c>
      <c r="C17" t="s">
        <v>2130</v>
      </c>
      <c r="D17" s="9">
        <v>0.7354398148148148</v>
      </c>
    </row>
    <row r="18" spans="1:4" ht="13.4" customHeight="1">
      <c r="A18">
        <v>17</v>
      </c>
      <c r="B18" t="s">
        <v>44</v>
      </c>
      <c r="C18" t="s">
        <v>2131</v>
      </c>
      <c r="D18" s="9">
        <v>0.7359606481481481</v>
      </c>
    </row>
    <row r="19" spans="1:4" ht="13.4" customHeight="1">
      <c r="A19">
        <v>18</v>
      </c>
      <c r="B19" t="s">
        <v>19</v>
      </c>
      <c r="C19" t="s">
        <v>2133</v>
      </c>
      <c r="D19" s="9">
        <v>0.73607638888888893</v>
      </c>
    </row>
    <row r="20" spans="1:4" ht="13.4" customHeight="1">
      <c r="A20">
        <v>19</v>
      </c>
      <c r="B20" t="s">
        <v>22</v>
      </c>
      <c r="C20" t="s">
        <v>2132</v>
      </c>
      <c r="D20" s="9">
        <v>0.73627314814814815</v>
      </c>
    </row>
    <row r="21" spans="1:4" ht="13.4" customHeight="1">
      <c r="A21">
        <v>20</v>
      </c>
      <c r="B21" t="s">
        <v>33</v>
      </c>
      <c r="C21" t="s">
        <v>2163</v>
      </c>
      <c r="D21" s="9">
        <v>0.73670138888888892</v>
      </c>
    </row>
    <row r="22" spans="1:4" ht="13.4" customHeight="1">
      <c r="A22">
        <v>21</v>
      </c>
      <c r="B22" t="s">
        <v>20</v>
      </c>
      <c r="C22" t="s">
        <v>2163</v>
      </c>
      <c r="D22" s="9">
        <v>0.73681712962962964</v>
      </c>
    </row>
    <row r="23" spans="1:4" ht="13.4" customHeight="1">
      <c r="A23">
        <v>22</v>
      </c>
      <c r="B23" t="s">
        <v>2004</v>
      </c>
      <c r="C23" t="s">
        <v>2132</v>
      </c>
      <c r="D23" s="9">
        <v>0.73746527777777782</v>
      </c>
    </row>
    <row r="24" spans="1:4" ht="13.4" customHeight="1">
      <c r="A24">
        <v>23</v>
      </c>
      <c r="B24" t="s">
        <v>46</v>
      </c>
      <c r="C24" t="s">
        <v>2133</v>
      </c>
      <c r="D24" s="9">
        <v>0.73846064814814816</v>
      </c>
    </row>
    <row r="25" spans="1:4" ht="13.4" customHeight="1">
      <c r="A25">
        <v>24</v>
      </c>
      <c r="B25" t="s">
        <v>13</v>
      </c>
      <c r="C25" t="s">
        <v>2131</v>
      </c>
      <c r="D25" s="9">
        <v>0.73883101851851851</v>
      </c>
    </row>
    <row r="26" spans="1:4" ht="13.4" customHeight="1">
      <c r="A26">
        <v>25</v>
      </c>
      <c r="B26" t="s">
        <v>61</v>
      </c>
      <c r="C26" t="s">
        <v>2130</v>
      </c>
      <c r="D26" s="9">
        <v>0.73909722222222218</v>
      </c>
    </row>
    <row r="27" spans="1:4" ht="13.4" customHeight="1">
      <c r="A27">
        <v>26</v>
      </c>
      <c r="B27" t="s">
        <v>100</v>
      </c>
      <c r="C27" t="s">
        <v>2128</v>
      </c>
      <c r="D27" s="9">
        <v>0.73952546296296295</v>
      </c>
    </row>
    <row r="28" spans="1:4" ht="13.4" customHeight="1">
      <c r="A28">
        <v>27</v>
      </c>
      <c r="B28" t="s">
        <v>76</v>
      </c>
      <c r="C28" t="s">
        <v>2129</v>
      </c>
      <c r="D28" s="9">
        <v>0.73962962962962964</v>
      </c>
    </row>
    <row r="29" spans="1:4" ht="13.4" customHeight="1">
      <c r="A29">
        <v>28</v>
      </c>
      <c r="B29" t="s">
        <v>25</v>
      </c>
      <c r="C29" t="s">
        <v>2126</v>
      </c>
      <c r="D29" s="9">
        <v>0.73968750000000005</v>
      </c>
    </row>
    <row r="30" spans="1:4" ht="13.4" customHeight="1">
      <c r="A30">
        <v>29</v>
      </c>
      <c r="B30" t="s">
        <v>86</v>
      </c>
      <c r="C30" t="s">
        <v>2127</v>
      </c>
      <c r="D30" s="9">
        <v>0.73988425925925927</v>
      </c>
    </row>
    <row r="31" spans="1:4" ht="13.4" customHeight="1">
      <c r="A31">
        <v>30</v>
      </c>
      <c r="B31" t="s">
        <v>15</v>
      </c>
      <c r="C31" t="s">
        <v>2134</v>
      </c>
      <c r="D31" s="9">
        <v>0.74083333333333334</v>
      </c>
    </row>
    <row r="32" spans="1:4" ht="13.4" customHeight="1">
      <c r="A32">
        <v>31</v>
      </c>
      <c r="B32" t="s">
        <v>30</v>
      </c>
      <c r="C32" t="s">
        <v>2134</v>
      </c>
      <c r="D32" s="9">
        <v>0.74114583333333328</v>
      </c>
    </row>
    <row r="33" spans="1:4" ht="13.4" customHeight="1">
      <c r="A33">
        <v>32</v>
      </c>
      <c r="B33" t="s">
        <v>29</v>
      </c>
      <c r="C33" t="s">
        <v>2127</v>
      </c>
      <c r="D33" s="9">
        <v>0.74156250000000001</v>
      </c>
    </row>
    <row r="34" spans="1:4" ht="13.4" customHeight="1">
      <c r="A34">
        <v>33</v>
      </c>
      <c r="B34" t="s">
        <v>60</v>
      </c>
      <c r="C34" t="s">
        <v>2126</v>
      </c>
      <c r="D34" s="9">
        <v>0.74204861111111109</v>
      </c>
    </row>
    <row r="35" spans="1:4" ht="13.4" customHeight="1">
      <c r="A35">
        <v>34</v>
      </c>
      <c r="B35" t="s">
        <v>113</v>
      </c>
      <c r="C35" t="s">
        <v>2129</v>
      </c>
      <c r="D35" s="9">
        <v>0.74212962962962958</v>
      </c>
    </row>
    <row r="36" spans="1:4" ht="13.4" customHeight="1">
      <c r="A36">
        <v>35</v>
      </c>
      <c r="B36" t="s">
        <v>28</v>
      </c>
      <c r="C36" t="s">
        <v>2128</v>
      </c>
      <c r="D36" s="9">
        <v>0.74228009259259264</v>
      </c>
    </row>
    <row r="37" spans="1:4" ht="13.4" customHeight="1">
      <c r="A37">
        <v>36</v>
      </c>
      <c r="B37" t="s">
        <v>40</v>
      </c>
      <c r="C37" t="s">
        <v>2130</v>
      </c>
      <c r="D37" s="9">
        <v>0.74311342592592589</v>
      </c>
    </row>
    <row r="38" spans="1:4" ht="13.4" customHeight="1">
      <c r="A38">
        <v>37</v>
      </c>
      <c r="B38" t="s">
        <v>27</v>
      </c>
      <c r="C38" t="s">
        <v>2131</v>
      </c>
      <c r="D38" s="9">
        <v>0.7439351851851852</v>
      </c>
    </row>
    <row r="39" spans="1:4" ht="13.4" customHeight="1">
      <c r="A39">
        <v>38</v>
      </c>
      <c r="B39" t="s">
        <v>116</v>
      </c>
      <c r="C39" t="s">
        <v>2133</v>
      </c>
      <c r="D39" s="9">
        <v>0.7439930555555555</v>
      </c>
    </row>
    <row r="40" spans="1:4" ht="13.4" customHeight="1">
      <c r="A40">
        <v>39</v>
      </c>
      <c r="B40" t="s">
        <v>64</v>
      </c>
      <c r="C40" t="s">
        <v>2132</v>
      </c>
      <c r="D40" s="9">
        <v>0.74452546296296296</v>
      </c>
    </row>
    <row r="41" spans="1:4" ht="13.4" customHeight="1">
      <c r="A41">
        <v>40</v>
      </c>
      <c r="B41" t="s">
        <v>71</v>
      </c>
      <c r="C41" t="s">
        <v>2163</v>
      </c>
      <c r="D41" s="9">
        <v>0.74479166666666663</v>
      </c>
    </row>
    <row r="42" spans="1:4" ht="13.4" customHeight="1">
      <c r="A42">
        <v>41</v>
      </c>
      <c r="B42" t="s">
        <v>139</v>
      </c>
      <c r="C42" t="s">
        <v>2163</v>
      </c>
      <c r="D42" s="9">
        <v>0.74483796296296301</v>
      </c>
    </row>
    <row r="43" spans="1:4" ht="13.4" customHeight="1">
      <c r="A43">
        <v>42</v>
      </c>
      <c r="B43" t="s">
        <v>126</v>
      </c>
      <c r="C43" t="s">
        <v>2132</v>
      </c>
      <c r="D43" s="9">
        <v>0.74508101851851849</v>
      </c>
    </row>
    <row r="44" spans="1:4" ht="13.4" customHeight="1">
      <c r="A44">
        <v>43</v>
      </c>
      <c r="B44" t="s">
        <v>58</v>
      </c>
      <c r="C44" t="s">
        <v>2133</v>
      </c>
      <c r="D44" s="9">
        <v>0.74611111111111106</v>
      </c>
    </row>
    <row r="45" spans="1:4" ht="13.4" customHeight="1">
      <c r="A45">
        <v>44</v>
      </c>
      <c r="B45" t="s">
        <v>112</v>
      </c>
      <c r="C45" t="s">
        <v>2131</v>
      </c>
      <c r="D45" s="9">
        <v>0.74674768518518519</v>
      </c>
    </row>
    <row r="46" spans="1:4" ht="13.4" customHeight="1">
      <c r="A46">
        <v>45</v>
      </c>
      <c r="B46" t="s">
        <v>110</v>
      </c>
      <c r="C46" t="s">
        <v>2130</v>
      </c>
      <c r="D46" s="9">
        <v>0.7477314814814815</v>
      </c>
    </row>
    <row r="47" spans="1:4" ht="13.4" customHeight="1">
      <c r="A47">
        <v>46</v>
      </c>
      <c r="B47" t="s">
        <v>54</v>
      </c>
      <c r="C47" t="s">
        <v>2128</v>
      </c>
      <c r="D47" s="9">
        <v>0.74844907407407413</v>
      </c>
    </row>
    <row r="48" spans="1:4" ht="13.4" customHeight="1">
      <c r="A48">
        <v>47</v>
      </c>
      <c r="B48" t="s">
        <v>31</v>
      </c>
      <c r="C48" t="s">
        <v>2129</v>
      </c>
      <c r="D48" s="9">
        <v>0.74854166666666666</v>
      </c>
    </row>
    <row r="49" spans="1:4" ht="13.4" customHeight="1">
      <c r="A49">
        <v>48</v>
      </c>
      <c r="B49" t="s">
        <v>156</v>
      </c>
      <c r="C49" t="s">
        <v>2126</v>
      </c>
      <c r="D49" s="9">
        <v>0.74934027777777779</v>
      </c>
    </row>
    <row r="50" spans="1:4" ht="13.4" customHeight="1">
      <c r="A50">
        <v>49</v>
      </c>
      <c r="B50" t="s">
        <v>63</v>
      </c>
      <c r="C50" t="s">
        <v>2127</v>
      </c>
      <c r="D50" s="9">
        <v>0.74984953703703705</v>
      </c>
    </row>
    <row r="51" spans="1:4" ht="13.4" customHeight="1">
      <c r="A51">
        <v>50</v>
      </c>
      <c r="B51" t="s">
        <v>2006</v>
      </c>
      <c r="C51" t="s">
        <v>2134</v>
      </c>
      <c r="D51" s="9">
        <v>0.75067129629629625</v>
      </c>
    </row>
    <row r="52" spans="1:4" ht="13.4" customHeight="1">
      <c r="A52">
        <v>51</v>
      </c>
      <c r="B52" t="s">
        <v>32</v>
      </c>
      <c r="C52" t="s">
        <v>2134</v>
      </c>
      <c r="D52" s="9">
        <v>0.7514467592592593</v>
      </c>
    </row>
    <row r="53" spans="1:4" ht="13.4" customHeight="1">
      <c r="A53">
        <v>52</v>
      </c>
      <c r="B53" t="s">
        <v>42</v>
      </c>
      <c r="C53" t="s">
        <v>2127</v>
      </c>
      <c r="D53" s="9">
        <v>0.75199074074074079</v>
      </c>
    </row>
    <row r="54" spans="1:4" ht="13.4" customHeight="1">
      <c r="A54">
        <v>53</v>
      </c>
      <c r="B54" t="s">
        <v>51</v>
      </c>
      <c r="C54" t="s">
        <v>2126</v>
      </c>
      <c r="D54" s="9">
        <v>0.75259259259259259</v>
      </c>
    </row>
    <row r="55" spans="1:4" ht="13.4" customHeight="1">
      <c r="A55">
        <v>54</v>
      </c>
      <c r="B55" t="s">
        <v>47</v>
      </c>
      <c r="C55" t="s">
        <v>2129</v>
      </c>
      <c r="D55" s="9">
        <v>0.75328703703703703</v>
      </c>
    </row>
    <row r="56" spans="1:4" ht="13.4" customHeight="1">
      <c r="A56">
        <v>55</v>
      </c>
      <c r="B56" t="s">
        <v>41</v>
      </c>
      <c r="C56" t="s">
        <v>2128</v>
      </c>
      <c r="D56" s="9">
        <v>0.75400462962962966</v>
      </c>
    </row>
    <row r="57" spans="1:4" ht="13.4" customHeight="1">
      <c r="A57">
        <v>56</v>
      </c>
      <c r="B57" t="s">
        <v>164</v>
      </c>
      <c r="C57" t="s">
        <v>2130</v>
      </c>
      <c r="D57" s="9">
        <v>0.75408564814814816</v>
      </c>
    </row>
    <row r="58" spans="1:4" ht="13.4" customHeight="1">
      <c r="A58">
        <v>57</v>
      </c>
      <c r="B58" t="s">
        <v>121</v>
      </c>
      <c r="C58" t="s">
        <v>2131</v>
      </c>
      <c r="D58" s="9">
        <v>0.75476851851851856</v>
      </c>
    </row>
    <row r="59" spans="1:4" ht="13.4" customHeight="1">
      <c r="A59">
        <v>58</v>
      </c>
      <c r="B59" t="s">
        <v>59</v>
      </c>
      <c r="C59" t="s">
        <v>2133</v>
      </c>
      <c r="D59" s="9">
        <v>0.75541666666666663</v>
      </c>
    </row>
    <row r="60" spans="1:4" ht="13.4" customHeight="1">
      <c r="A60">
        <v>59</v>
      </c>
      <c r="B60" t="s">
        <v>69</v>
      </c>
      <c r="C60" t="s">
        <v>2132</v>
      </c>
      <c r="D60" s="9">
        <v>0.75572916666666667</v>
      </c>
    </row>
    <row r="61" spans="1:4" ht="13.4" customHeight="1">
      <c r="A61">
        <v>60</v>
      </c>
      <c r="B61" t="s">
        <v>109</v>
      </c>
      <c r="C61" t="s">
        <v>2163</v>
      </c>
      <c r="D61" s="9">
        <v>0.75629629629629624</v>
      </c>
    </row>
    <row r="62" spans="1:4" ht="13.4" customHeight="1">
      <c r="A62">
        <v>61</v>
      </c>
      <c r="B62" t="s">
        <v>309</v>
      </c>
      <c r="C62" t="s">
        <v>2163</v>
      </c>
      <c r="D62" s="9">
        <v>0.75635416666666666</v>
      </c>
    </row>
    <row r="63" spans="1:4" ht="13.4" customHeight="1">
      <c r="A63">
        <v>62</v>
      </c>
      <c r="B63" t="s">
        <v>26</v>
      </c>
      <c r="C63" t="s">
        <v>2132</v>
      </c>
      <c r="D63" s="9">
        <v>0.75740740740740742</v>
      </c>
    </row>
    <row r="64" spans="1:4" ht="13.4" customHeight="1">
      <c r="A64">
        <v>63</v>
      </c>
      <c r="B64" t="s">
        <v>50</v>
      </c>
      <c r="C64" t="s">
        <v>2133</v>
      </c>
      <c r="D64" s="9">
        <v>0.75758101851851856</v>
      </c>
    </row>
    <row r="65" spans="1:4" ht="13.4" customHeight="1">
      <c r="A65">
        <v>64</v>
      </c>
      <c r="B65" t="s">
        <v>57</v>
      </c>
      <c r="C65" t="s">
        <v>2131</v>
      </c>
      <c r="D65" s="9">
        <v>0.75832175925925926</v>
      </c>
    </row>
    <row r="66" spans="1:4" ht="13.4" customHeight="1">
      <c r="A66">
        <v>65</v>
      </c>
      <c r="B66" t="s">
        <v>85</v>
      </c>
      <c r="C66" t="s">
        <v>2130</v>
      </c>
      <c r="D66" s="9">
        <v>0.75863425925925931</v>
      </c>
    </row>
    <row r="67" spans="1:4" ht="13.4" customHeight="1">
      <c r="A67">
        <v>66</v>
      </c>
      <c r="B67" t="s">
        <v>310</v>
      </c>
      <c r="C67" t="s">
        <v>2128</v>
      </c>
      <c r="D67" s="9">
        <v>0.75873842592592589</v>
      </c>
    </row>
    <row r="68" spans="1:4" ht="13.4" customHeight="1">
      <c r="A68">
        <v>67</v>
      </c>
      <c r="B68" t="s">
        <v>351</v>
      </c>
      <c r="C68" t="s">
        <v>2129</v>
      </c>
      <c r="D68" s="9">
        <v>0.7591782407407407</v>
      </c>
    </row>
    <row r="69" spans="1:4" ht="13.4" customHeight="1">
      <c r="A69">
        <v>68</v>
      </c>
      <c r="B69" t="s">
        <v>2005</v>
      </c>
      <c r="C69" t="s">
        <v>2126</v>
      </c>
      <c r="D69" s="9">
        <v>0.76011574074074073</v>
      </c>
    </row>
    <row r="70" spans="1:4" ht="13.4" customHeight="1">
      <c r="A70">
        <v>69</v>
      </c>
      <c r="B70" t="s">
        <v>55</v>
      </c>
      <c r="C70" t="s">
        <v>2127</v>
      </c>
      <c r="D70" s="9">
        <v>0.76018518518518519</v>
      </c>
    </row>
    <row r="71" spans="1:4" ht="13.4" customHeight="1">
      <c r="A71">
        <v>70</v>
      </c>
      <c r="B71" t="s">
        <v>159</v>
      </c>
      <c r="C71" t="s">
        <v>2134</v>
      </c>
      <c r="D71" s="9">
        <v>0.76119212962962968</v>
      </c>
    </row>
    <row r="72" spans="1:4" ht="13.4" customHeight="1">
      <c r="A72">
        <v>71</v>
      </c>
      <c r="B72" t="s">
        <v>434</v>
      </c>
      <c r="C72" t="s">
        <v>2134</v>
      </c>
      <c r="D72" s="9">
        <v>0.76181712962962966</v>
      </c>
    </row>
    <row r="73" spans="1:4" ht="13.4" customHeight="1">
      <c r="A73">
        <v>72</v>
      </c>
      <c r="B73" t="s">
        <v>37</v>
      </c>
      <c r="C73" t="s">
        <v>2127</v>
      </c>
      <c r="D73" s="9">
        <v>0.76187499999999997</v>
      </c>
    </row>
    <row r="74" spans="1:4" ht="13.4" customHeight="1">
      <c r="A74">
        <v>73</v>
      </c>
      <c r="B74" t="s">
        <v>34</v>
      </c>
      <c r="C74" t="s">
        <v>2126</v>
      </c>
      <c r="D74" s="9">
        <v>0.76265046296296302</v>
      </c>
    </row>
    <row r="75" spans="1:4" ht="13.4" customHeight="1">
      <c r="A75">
        <v>74</v>
      </c>
      <c r="B75" t="s">
        <v>294</v>
      </c>
      <c r="C75" t="s">
        <v>2129</v>
      </c>
      <c r="D75" s="9">
        <v>0.76274305555555555</v>
      </c>
    </row>
    <row r="76" spans="1:4" ht="13.4" customHeight="1">
      <c r="A76">
        <v>75</v>
      </c>
      <c r="B76" t="s">
        <v>45</v>
      </c>
      <c r="C76" t="s">
        <v>2128</v>
      </c>
      <c r="D76" s="9">
        <v>0.76337962962962957</v>
      </c>
    </row>
    <row r="77" spans="1:4" ht="13.4" customHeight="1">
      <c r="A77">
        <v>76</v>
      </c>
      <c r="B77" t="s">
        <v>24</v>
      </c>
      <c r="C77" t="s">
        <v>2130</v>
      </c>
      <c r="D77" s="9">
        <v>0.76406249999999998</v>
      </c>
    </row>
    <row r="78" spans="1:4" ht="13.4" customHeight="1">
      <c r="A78">
        <v>77</v>
      </c>
      <c r="B78" t="s">
        <v>88</v>
      </c>
      <c r="C78" t="s">
        <v>2131</v>
      </c>
      <c r="D78" s="9">
        <v>0.7643981481481481</v>
      </c>
    </row>
    <row r="79" spans="1:4" ht="13.4" customHeight="1">
      <c r="A79">
        <v>78</v>
      </c>
      <c r="B79" t="s">
        <v>97</v>
      </c>
      <c r="C79" t="s">
        <v>2133</v>
      </c>
      <c r="D79" s="9">
        <v>0.76450231481481479</v>
      </c>
    </row>
    <row r="80" spans="1:4" ht="13.4" customHeight="1">
      <c r="A80">
        <v>79</v>
      </c>
      <c r="B80" t="s">
        <v>95</v>
      </c>
      <c r="C80" t="s">
        <v>2132</v>
      </c>
      <c r="D80" s="9">
        <v>0.76548611111111109</v>
      </c>
    </row>
    <row r="81" spans="1:4" ht="13.4" customHeight="1">
      <c r="A81">
        <v>80</v>
      </c>
      <c r="B81" t="s">
        <v>195</v>
      </c>
      <c r="C81" t="s">
        <v>2163</v>
      </c>
      <c r="D81" s="9">
        <v>0.76561342592592596</v>
      </c>
    </row>
    <row r="82" spans="1:4" ht="13.4" customHeight="1">
      <c r="A82">
        <v>81</v>
      </c>
      <c r="B82" t="s">
        <v>104</v>
      </c>
      <c r="C82" t="s">
        <v>2163</v>
      </c>
      <c r="D82" s="9">
        <v>0.76568287037037042</v>
      </c>
    </row>
    <row r="83" spans="1:4" ht="13.4" customHeight="1">
      <c r="A83">
        <v>82</v>
      </c>
      <c r="B83" t="s">
        <v>48</v>
      </c>
      <c r="C83" t="s">
        <v>2132</v>
      </c>
      <c r="D83" s="9">
        <v>0.76594907407407409</v>
      </c>
    </row>
    <row r="84" spans="1:4" ht="13.4" customHeight="1">
      <c r="A84">
        <v>83</v>
      </c>
      <c r="B84" t="s">
        <v>65</v>
      </c>
      <c r="C84" t="s">
        <v>2133</v>
      </c>
      <c r="D84" s="9">
        <v>0.76684027777777775</v>
      </c>
    </row>
    <row r="85" spans="1:4" ht="13.4" customHeight="1">
      <c r="A85">
        <v>84</v>
      </c>
      <c r="B85" t="s">
        <v>222</v>
      </c>
      <c r="C85" t="s">
        <v>2131</v>
      </c>
      <c r="D85" s="9">
        <v>0.76730324074074074</v>
      </c>
    </row>
    <row r="86" spans="1:4" ht="13.4" customHeight="1">
      <c r="A86">
        <v>85</v>
      </c>
      <c r="B86" t="s">
        <v>186</v>
      </c>
      <c r="C86" t="s">
        <v>2130</v>
      </c>
      <c r="D86" s="9">
        <v>0.76760416666666664</v>
      </c>
    </row>
    <row r="87" spans="1:4" ht="13.4" customHeight="1">
      <c r="A87">
        <v>86</v>
      </c>
      <c r="B87" t="s">
        <v>67</v>
      </c>
      <c r="C87" t="s">
        <v>2128</v>
      </c>
      <c r="D87" s="9">
        <v>0.76771990740740736</v>
      </c>
    </row>
    <row r="88" spans="1:4" ht="13.4" customHeight="1">
      <c r="A88">
        <v>87</v>
      </c>
      <c r="B88" t="s">
        <v>2010</v>
      </c>
      <c r="C88" t="s">
        <v>2129</v>
      </c>
      <c r="D88" s="9">
        <v>0.76861111111111113</v>
      </c>
    </row>
    <row r="89" spans="1:4" ht="13.4" customHeight="1">
      <c r="A89">
        <v>88</v>
      </c>
      <c r="B89" t="s">
        <v>183</v>
      </c>
      <c r="C89" t="s">
        <v>2126</v>
      </c>
      <c r="D89" s="9">
        <v>0.7689583333333333</v>
      </c>
    </row>
    <row r="90" spans="1:4" ht="13.4" customHeight="1">
      <c r="A90">
        <v>89</v>
      </c>
      <c r="B90" t="s">
        <v>135</v>
      </c>
      <c r="C90" t="s">
        <v>2127</v>
      </c>
      <c r="D90" s="9">
        <v>0.7690393518518519</v>
      </c>
    </row>
    <row r="91" spans="1:4" ht="13.4" customHeight="1">
      <c r="A91">
        <v>90</v>
      </c>
      <c r="B91" t="s">
        <v>115</v>
      </c>
      <c r="C91" t="s">
        <v>2134</v>
      </c>
      <c r="D91" s="9">
        <v>0.76947916666666671</v>
      </c>
    </row>
    <row r="92" spans="1:4" ht="13.4" customHeight="1">
      <c r="A92">
        <v>91</v>
      </c>
      <c r="B92" t="s">
        <v>16</v>
      </c>
      <c r="C92" t="s">
        <v>2134</v>
      </c>
      <c r="D92" s="9">
        <v>0.76998842592592598</v>
      </c>
    </row>
    <row r="93" spans="1:4" ht="13.4" customHeight="1">
      <c r="A93">
        <v>92</v>
      </c>
      <c r="B93" t="s">
        <v>80</v>
      </c>
      <c r="C93" t="s">
        <v>2127</v>
      </c>
      <c r="D93" s="9">
        <v>0.77060185185185182</v>
      </c>
    </row>
    <row r="94" spans="1:4" ht="13.4" customHeight="1">
      <c r="A94">
        <v>93</v>
      </c>
      <c r="B94" t="s">
        <v>123</v>
      </c>
      <c r="C94" t="s">
        <v>2126</v>
      </c>
      <c r="D94" s="9">
        <v>0.77148148148148143</v>
      </c>
    </row>
    <row r="95" spans="1:4" ht="13.4" customHeight="1">
      <c r="A95">
        <v>94</v>
      </c>
      <c r="B95" t="s">
        <v>119</v>
      </c>
      <c r="C95" t="s">
        <v>2129</v>
      </c>
      <c r="D95" s="9">
        <v>0.77200231481481485</v>
      </c>
    </row>
    <row r="96" spans="1:4" ht="13.4" customHeight="1">
      <c r="A96">
        <v>95</v>
      </c>
      <c r="B96" t="s">
        <v>49</v>
      </c>
      <c r="C96" t="s">
        <v>2128</v>
      </c>
      <c r="D96" s="9">
        <v>0.77270833333333333</v>
      </c>
    </row>
    <row r="97" spans="1:4" ht="13.4" customHeight="1">
      <c r="A97">
        <v>96</v>
      </c>
      <c r="B97" t="s">
        <v>92</v>
      </c>
      <c r="C97" t="s">
        <v>2130</v>
      </c>
      <c r="D97" s="9">
        <v>0.77333333333333332</v>
      </c>
    </row>
    <row r="98" spans="1:4" ht="13.4" customHeight="1">
      <c r="A98">
        <v>97</v>
      </c>
      <c r="B98" t="s">
        <v>263</v>
      </c>
      <c r="C98" t="s">
        <v>2131</v>
      </c>
      <c r="D98" s="9">
        <v>0.77342592592592596</v>
      </c>
    </row>
    <row r="99" spans="1:4" ht="13.4" customHeight="1">
      <c r="A99">
        <v>98</v>
      </c>
      <c r="B99" t="s">
        <v>130</v>
      </c>
      <c r="C99" t="s">
        <v>2133</v>
      </c>
      <c r="D99" s="9">
        <v>0.77359953703703699</v>
      </c>
    </row>
    <row r="100" spans="1:4" ht="13.4" customHeight="1">
      <c r="A100">
        <v>99</v>
      </c>
      <c r="B100" t="s">
        <v>89</v>
      </c>
      <c r="C100" t="s">
        <v>2132</v>
      </c>
      <c r="D100" s="9">
        <v>0.77414351851851848</v>
      </c>
    </row>
    <row r="101" spans="1:4" ht="13.4" customHeight="1">
      <c r="A101">
        <v>100</v>
      </c>
      <c r="B101" t="s">
        <v>2009</v>
      </c>
      <c r="C101" t="s">
        <v>2163</v>
      </c>
      <c r="D101" s="9">
        <v>0.77471064814814816</v>
      </c>
    </row>
    <row r="102" spans="1:4" ht="13.4" customHeight="1">
      <c r="A102">
        <v>101</v>
      </c>
      <c r="B102" t="s">
        <v>2019</v>
      </c>
      <c r="C102" t="s">
        <v>2163</v>
      </c>
      <c r="D102" s="9">
        <v>0.77511574074074074</v>
      </c>
    </row>
    <row r="103" spans="1:4" ht="13.4" customHeight="1">
      <c r="A103">
        <v>102</v>
      </c>
      <c r="B103" t="s">
        <v>103</v>
      </c>
      <c r="C103" t="s">
        <v>2132</v>
      </c>
      <c r="D103" s="9">
        <v>0.77557870370370374</v>
      </c>
    </row>
    <row r="104" spans="1:4" ht="13.4" customHeight="1">
      <c r="A104">
        <v>103</v>
      </c>
      <c r="B104" t="s">
        <v>1054</v>
      </c>
      <c r="C104" t="s">
        <v>2133</v>
      </c>
      <c r="D104" s="9">
        <v>0.77583333333333337</v>
      </c>
    </row>
    <row r="105" spans="1:4" ht="13.4" customHeight="1">
      <c r="A105">
        <v>104</v>
      </c>
      <c r="B105" t="s">
        <v>140</v>
      </c>
      <c r="C105" t="s">
        <v>2131</v>
      </c>
      <c r="D105" s="9">
        <v>0.77605324074074078</v>
      </c>
    </row>
    <row r="106" spans="1:4" ht="13.4" customHeight="1">
      <c r="A106">
        <v>105</v>
      </c>
      <c r="B106" t="s">
        <v>66</v>
      </c>
      <c r="C106" t="s">
        <v>2130</v>
      </c>
      <c r="D106" s="9">
        <v>0.77629629629629626</v>
      </c>
    </row>
    <row r="107" spans="1:4" ht="13.4" customHeight="1">
      <c r="A107">
        <v>106</v>
      </c>
      <c r="B107" t="s">
        <v>311</v>
      </c>
      <c r="C107" t="s">
        <v>2128</v>
      </c>
      <c r="D107" s="9">
        <v>0.77725694444444449</v>
      </c>
    </row>
    <row r="108" spans="1:4" ht="13.4" customHeight="1">
      <c r="A108">
        <v>107</v>
      </c>
      <c r="B108" t="s">
        <v>235</v>
      </c>
      <c r="C108" t="s">
        <v>2129</v>
      </c>
      <c r="D108" s="9">
        <v>0.77812499999999996</v>
      </c>
    </row>
    <row r="109" spans="1:4" ht="13.4" customHeight="1">
      <c r="A109">
        <v>108</v>
      </c>
      <c r="B109" t="s">
        <v>2007</v>
      </c>
      <c r="C109" t="s">
        <v>2126</v>
      </c>
      <c r="D109" s="9">
        <v>0.77825231481481483</v>
      </c>
    </row>
    <row r="110" spans="1:4" ht="13.4" customHeight="1">
      <c r="A110">
        <v>109</v>
      </c>
      <c r="B110" t="s">
        <v>154</v>
      </c>
      <c r="C110" t="s">
        <v>2127</v>
      </c>
      <c r="D110" s="9">
        <v>0.77883101851851855</v>
      </c>
    </row>
    <row r="111" spans="1:4" ht="13.4" customHeight="1">
      <c r="A111">
        <v>110</v>
      </c>
      <c r="B111" t="s">
        <v>138</v>
      </c>
      <c r="C111" t="s">
        <v>2134</v>
      </c>
      <c r="D111" s="9">
        <v>0.77969907407407413</v>
      </c>
    </row>
    <row r="112" spans="1:4" ht="13.4" customHeight="1">
      <c r="A112">
        <v>111</v>
      </c>
      <c r="B112" t="s">
        <v>176</v>
      </c>
      <c r="C112" t="s">
        <v>2134</v>
      </c>
      <c r="D112" s="9">
        <v>0.7801851851851852</v>
      </c>
    </row>
    <row r="113" spans="1:4" ht="13.4" customHeight="1">
      <c r="A113">
        <v>112</v>
      </c>
      <c r="B113" t="s">
        <v>128</v>
      </c>
      <c r="C113" t="s">
        <v>2127</v>
      </c>
      <c r="D113" s="9">
        <v>0.7802662037037037</v>
      </c>
    </row>
    <row r="114" spans="1:4" ht="13.4" customHeight="1">
      <c r="A114">
        <v>113</v>
      </c>
      <c r="B114" t="s">
        <v>102</v>
      </c>
      <c r="C114" t="s">
        <v>2126</v>
      </c>
      <c r="D114" s="9">
        <v>0.78052083333333333</v>
      </c>
    </row>
    <row r="115" spans="1:4" ht="13.4" customHeight="1">
      <c r="A115">
        <v>114</v>
      </c>
      <c r="B115" t="s">
        <v>376</v>
      </c>
      <c r="C115" t="s">
        <v>2129</v>
      </c>
      <c r="D115" s="9">
        <v>0.78098379629629633</v>
      </c>
    </row>
    <row r="116" spans="1:4" ht="13.4" customHeight="1">
      <c r="A116">
        <v>115</v>
      </c>
      <c r="B116" t="s">
        <v>144</v>
      </c>
      <c r="C116" t="s">
        <v>2128</v>
      </c>
      <c r="D116" s="9">
        <v>0.78173611111111108</v>
      </c>
    </row>
    <row r="117" spans="1:4" ht="13.4" customHeight="1">
      <c r="A117">
        <v>116</v>
      </c>
      <c r="B117" t="s">
        <v>98</v>
      </c>
      <c r="C117" t="s">
        <v>2130</v>
      </c>
      <c r="D117" s="9">
        <v>0.78273148148148153</v>
      </c>
    </row>
    <row r="118" spans="1:4" ht="13.4" customHeight="1">
      <c r="A118">
        <v>117</v>
      </c>
      <c r="B118" t="s">
        <v>122</v>
      </c>
      <c r="C118" t="s">
        <v>2131</v>
      </c>
      <c r="D118" s="9">
        <v>0.78278935185185183</v>
      </c>
    </row>
    <row r="119" spans="1:4" ht="13.4" customHeight="1">
      <c r="A119">
        <v>118</v>
      </c>
      <c r="B119" t="s">
        <v>162</v>
      </c>
      <c r="C119" t="s">
        <v>2133</v>
      </c>
      <c r="D119" s="9">
        <v>0.78285879629629629</v>
      </c>
    </row>
    <row r="120" spans="1:4" ht="13.4" customHeight="1">
      <c r="A120">
        <v>119</v>
      </c>
      <c r="B120" t="s">
        <v>96</v>
      </c>
      <c r="C120" t="s">
        <v>2132</v>
      </c>
      <c r="D120" s="9">
        <v>0.78297453703703701</v>
      </c>
    </row>
    <row r="121" spans="1:4" ht="13.4" customHeight="1">
      <c r="A121">
        <v>120</v>
      </c>
      <c r="B121" t="s">
        <v>2016</v>
      </c>
      <c r="C121" t="s">
        <v>2163</v>
      </c>
      <c r="D121" s="9">
        <v>0.78312499999999996</v>
      </c>
    </row>
    <row r="122" spans="1:4" ht="13.4" customHeight="1">
      <c r="A122">
        <v>121</v>
      </c>
      <c r="B122" t="s">
        <v>198</v>
      </c>
      <c r="C122" t="s">
        <v>2163</v>
      </c>
      <c r="D122" s="9">
        <v>0.78335648148148151</v>
      </c>
    </row>
    <row r="123" spans="1:4" ht="13.4" customHeight="1">
      <c r="A123">
        <v>122</v>
      </c>
      <c r="B123" t="s">
        <v>91</v>
      </c>
      <c r="C123" t="s">
        <v>2132</v>
      </c>
      <c r="D123" s="9">
        <v>0.7837615740740741</v>
      </c>
    </row>
    <row r="124" spans="1:4" ht="13.4" customHeight="1">
      <c r="A124">
        <v>123</v>
      </c>
      <c r="B124" t="s">
        <v>56</v>
      </c>
      <c r="C124" t="s">
        <v>2133</v>
      </c>
      <c r="D124" s="9">
        <v>0.78481481481481485</v>
      </c>
    </row>
    <row r="125" spans="1:4" ht="13.4" customHeight="1">
      <c r="A125">
        <v>124</v>
      </c>
      <c r="B125" t="s">
        <v>247</v>
      </c>
      <c r="C125" t="s">
        <v>2131</v>
      </c>
      <c r="D125" s="9">
        <v>0.78487268518518516</v>
      </c>
    </row>
    <row r="126" spans="1:4" ht="13.4" customHeight="1">
      <c r="A126">
        <v>125</v>
      </c>
      <c r="B126" t="s">
        <v>217</v>
      </c>
      <c r="C126" t="s">
        <v>2130</v>
      </c>
      <c r="D126" s="9">
        <v>0.78501157407407407</v>
      </c>
    </row>
    <row r="127" spans="1:4" ht="13.4" customHeight="1">
      <c r="A127">
        <v>126</v>
      </c>
      <c r="B127" t="s">
        <v>1058</v>
      </c>
      <c r="C127" t="s">
        <v>2128</v>
      </c>
      <c r="D127" s="9">
        <v>0.78546296296296292</v>
      </c>
    </row>
    <row r="128" spans="1:4" ht="13.4" customHeight="1">
      <c r="A128">
        <v>127</v>
      </c>
      <c r="B128" t="s">
        <v>83</v>
      </c>
      <c r="C128" t="s">
        <v>2129</v>
      </c>
      <c r="D128" s="9">
        <v>0.78568287037037032</v>
      </c>
    </row>
    <row r="129" spans="1:4" ht="13.4" customHeight="1">
      <c r="A129">
        <v>128</v>
      </c>
      <c r="B129" t="s">
        <v>2024</v>
      </c>
      <c r="C129" t="s">
        <v>2126</v>
      </c>
      <c r="D129" s="9">
        <v>0.78589120370370369</v>
      </c>
    </row>
    <row r="130" spans="1:4" ht="13.4" customHeight="1">
      <c r="A130">
        <v>129</v>
      </c>
      <c r="B130" t="s">
        <v>291</v>
      </c>
      <c r="C130" t="s">
        <v>2127</v>
      </c>
      <c r="D130" s="9">
        <v>0.78644675925925922</v>
      </c>
    </row>
    <row r="131" spans="1:4" ht="13.4" customHeight="1">
      <c r="A131">
        <v>130</v>
      </c>
      <c r="B131" t="s">
        <v>125</v>
      </c>
      <c r="C131" t="s">
        <v>2134</v>
      </c>
      <c r="D131" s="9">
        <v>0.78672453703703704</v>
      </c>
    </row>
    <row r="132" spans="1:4" ht="13.4" customHeight="1">
      <c r="A132">
        <v>131</v>
      </c>
      <c r="B132" t="s">
        <v>114</v>
      </c>
      <c r="C132" t="s">
        <v>2134</v>
      </c>
      <c r="D132" s="9">
        <v>0.78697916666666667</v>
      </c>
    </row>
    <row r="133" spans="1:4" ht="13.4" customHeight="1">
      <c r="A133">
        <v>132</v>
      </c>
      <c r="B133" t="s">
        <v>335</v>
      </c>
      <c r="C133" t="s">
        <v>2127</v>
      </c>
      <c r="D133" s="9">
        <v>0.78706018518518517</v>
      </c>
    </row>
    <row r="134" spans="1:4" ht="13.4" customHeight="1">
      <c r="A134">
        <v>133</v>
      </c>
      <c r="B134" t="s">
        <v>336</v>
      </c>
      <c r="C134" t="s">
        <v>2126</v>
      </c>
      <c r="D134" s="9">
        <v>0.7874768518518519</v>
      </c>
    </row>
    <row r="135" spans="1:4" ht="13.4" customHeight="1">
      <c r="A135">
        <v>134</v>
      </c>
      <c r="B135" t="s">
        <v>1198</v>
      </c>
      <c r="C135" t="s">
        <v>2129</v>
      </c>
      <c r="D135" s="9">
        <v>0.78754629629629624</v>
      </c>
    </row>
    <row r="136" spans="1:4" ht="13.4" customHeight="1">
      <c r="A136">
        <v>135</v>
      </c>
      <c r="B136" t="s">
        <v>79</v>
      </c>
      <c r="C136" t="s">
        <v>2128</v>
      </c>
      <c r="D136" s="9">
        <v>0.78858796296296296</v>
      </c>
    </row>
    <row r="137" spans="1:4" ht="13.4" customHeight="1">
      <c r="A137">
        <v>136</v>
      </c>
      <c r="B137" t="s">
        <v>106</v>
      </c>
      <c r="C137" t="s">
        <v>2130</v>
      </c>
      <c r="D137" s="9">
        <v>0.78866898148148146</v>
      </c>
    </row>
    <row r="138" spans="1:4" ht="13.4" customHeight="1">
      <c r="A138">
        <v>137</v>
      </c>
      <c r="B138" t="s">
        <v>1061</v>
      </c>
      <c r="C138" t="s">
        <v>2131</v>
      </c>
      <c r="D138" s="9">
        <v>0.78880787037037037</v>
      </c>
    </row>
    <row r="139" spans="1:4" ht="13.4" customHeight="1">
      <c r="A139">
        <v>138</v>
      </c>
      <c r="B139" t="s">
        <v>243</v>
      </c>
      <c r="C139" t="s">
        <v>2133</v>
      </c>
      <c r="D139" s="9">
        <v>0.78887731481481482</v>
      </c>
    </row>
    <row r="140" spans="1:4" ht="13.4" customHeight="1">
      <c r="A140">
        <v>139</v>
      </c>
      <c r="B140" t="s">
        <v>2013</v>
      </c>
      <c r="C140" t="s">
        <v>2132</v>
      </c>
      <c r="D140" s="9">
        <v>0.78927083333333337</v>
      </c>
    </row>
    <row r="141" spans="1:4" ht="13.4" customHeight="1">
      <c r="A141">
        <v>140</v>
      </c>
      <c r="B141" t="s">
        <v>163</v>
      </c>
      <c r="C141" t="s">
        <v>2163</v>
      </c>
      <c r="D141" s="9">
        <v>0.78969907407407403</v>
      </c>
    </row>
    <row r="142" spans="1:4" ht="13.4" customHeight="1">
      <c r="A142">
        <v>141</v>
      </c>
      <c r="B142" t="s">
        <v>84</v>
      </c>
      <c r="C142" t="s">
        <v>2163</v>
      </c>
      <c r="D142" s="9">
        <v>0.79031249999999997</v>
      </c>
    </row>
    <row r="143" spans="1:4" ht="13.4" customHeight="1">
      <c r="A143">
        <v>142</v>
      </c>
      <c r="B143" t="s">
        <v>2011</v>
      </c>
      <c r="C143" t="s">
        <v>2132</v>
      </c>
      <c r="D143" s="9">
        <v>0.79054398148148153</v>
      </c>
    </row>
    <row r="144" spans="1:4" ht="13.4" customHeight="1">
      <c r="A144">
        <v>143</v>
      </c>
      <c r="B144" t="s">
        <v>308</v>
      </c>
      <c r="C144" t="s">
        <v>2133</v>
      </c>
      <c r="D144" s="9">
        <v>0.79085648148148147</v>
      </c>
    </row>
    <row r="145" spans="1:4" ht="13.4" customHeight="1">
      <c r="A145">
        <v>144</v>
      </c>
      <c r="B145" t="s">
        <v>1206</v>
      </c>
      <c r="C145" t="s">
        <v>2131</v>
      </c>
      <c r="D145" s="9">
        <v>0.79091435185185188</v>
      </c>
    </row>
    <row r="146" spans="1:4" ht="13.4" customHeight="1">
      <c r="A146">
        <v>145</v>
      </c>
      <c r="B146" t="s">
        <v>117</v>
      </c>
      <c r="C146" t="s">
        <v>2130</v>
      </c>
      <c r="D146" s="9">
        <v>0.79195601851851849</v>
      </c>
    </row>
    <row r="147" spans="1:4" ht="13.4" customHeight="1">
      <c r="A147">
        <v>146</v>
      </c>
      <c r="B147" t="s">
        <v>72</v>
      </c>
      <c r="C147" t="s">
        <v>2128</v>
      </c>
      <c r="D147" s="9">
        <v>0.79196759259259264</v>
      </c>
    </row>
    <row r="148" spans="1:4" ht="13.4" customHeight="1">
      <c r="A148">
        <v>147</v>
      </c>
      <c r="B148" t="s">
        <v>77</v>
      </c>
      <c r="C148" t="s">
        <v>2129</v>
      </c>
      <c r="D148" s="9">
        <v>0.79240740740740745</v>
      </c>
    </row>
    <row r="149" spans="1:4" ht="13.4" customHeight="1">
      <c r="A149">
        <v>148</v>
      </c>
      <c r="B149" t="s">
        <v>142</v>
      </c>
      <c r="C149" t="s">
        <v>2126</v>
      </c>
      <c r="D149" s="9">
        <v>0.79251157407407402</v>
      </c>
    </row>
    <row r="150" spans="1:4" ht="13.4" customHeight="1">
      <c r="A150">
        <v>149</v>
      </c>
      <c r="B150" t="s">
        <v>134</v>
      </c>
      <c r="C150" t="s">
        <v>2127</v>
      </c>
      <c r="D150" s="9">
        <v>0.79293981481481479</v>
      </c>
    </row>
    <row r="151" spans="1:4" ht="13.4" customHeight="1">
      <c r="A151">
        <v>150</v>
      </c>
      <c r="B151" t="s">
        <v>107</v>
      </c>
      <c r="C151" t="s">
        <v>2134</v>
      </c>
      <c r="D151" s="9">
        <v>0.79302083333333329</v>
      </c>
    </row>
    <row r="152" spans="1:4" ht="13.4" customHeight="1">
      <c r="A152">
        <v>151</v>
      </c>
      <c r="B152" t="s">
        <v>214</v>
      </c>
      <c r="C152" t="s">
        <v>2134</v>
      </c>
      <c r="D152" s="9">
        <v>0.79342592592592598</v>
      </c>
    </row>
    <row r="153" spans="1:4" ht="13.4" customHeight="1">
      <c r="A153">
        <v>152</v>
      </c>
      <c r="B153" t="s">
        <v>94</v>
      </c>
      <c r="C153" t="s">
        <v>2127</v>
      </c>
      <c r="D153" s="9">
        <v>0.79383101851851856</v>
      </c>
    </row>
    <row r="154" spans="1:4" ht="13.4" customHeight="1">
      <c r="A154">
        <v>153</v>
      </c>
      <c r="B154" t="s">
        <v>202</v>
      </c>
      <c r="C154" t="s">
        <v>2126</v>
      </c>
      <c r="D154" s="9">
        <v>0.79454861111111108</v>
      </c>
    </row>
    <row r="155" spans="1:4" ht="13.4" customHeight="1">
      <c r="A155">
        <v>154</v>
      </c>
      <c r="B155" t="s">
        <v>380</v>
      </c>
      <c r="C155" t="s">
        <v>2129</v>
      </c>
      <c r="D155" s="9">
        <v>0.79473379629629626</v>
      </c>
    </row>
    <row r="156" spans="1:4" ht="13.4" customHeight="1">
      <c r="A156">
        <v>155</v>
      </c>
      <c r="B156" t="s">
        <v>200</v>
      </c>
      <c r="C156" t="s">
        <v>2128</v>
      </c>
      <c r="D156" s="9">
        <v>0.79475694444444445</v>
      </c>
    </row>
    <row r="157" spans="1:4" ht="13.4" customHeight="1">
      <c r="A157">
        <v>156</v>
      </c>
      <c r="B157" t="s">
        <v>1069</v>
      </c>
      <c r="C157" t="s">
        <v>2130</v>
      </c>
      <c r="D157" s="9">
        <v>0.79515046296296299</v>
      </c>
    </row>
    <row r="158" spans="1:4" ht="13.4" customHeight="1">
      <c r="A158">
        <v>157</v>
      </c>
      <c r="B158" t="s">
        <v>81</v>
      </c>
      <c r="C158" t="s">
        <v>2131</v>
      </c>
      <c r="D158" s="9">
        <v>0.79571759259259256</v>
      </c>
    </row>
    <row r="159" spans="1:4" ht="13.4" customHeight="1">
      <c r="A159">
        <v>158</v>
      </c>
      <c r="B159" t="s">
        <v>73</v>
      </c>
      <c r="C159" t="s">
        <v>2133</v>
      </c>
      <c r="D159" s="9">
        <v>0.79603009259259261</v>
      </c>
    </row>
    <row r="160" spans="1:4" ht="13.4" customHeight="1">
      <c r="A160">
        <v>159</v>
      </c>
      <c r="B160" t="s">
        <v>1056</v>
      </c>
      <c r="C160" t="s">
        <v>2132</v>
      </c>
      <c r="D160" s="9">
        <v>0.7962731481481482</v>
      </c>
    </row>
    <row r="161" spans="1:4" ht="13.4" customHeight="1">
      <c r="A161">
        <v>160</v>
      </c>
      <c r="B161" t="s">
        <v>2025</v>
      </c>
      <c r="C161" t="s">
        <v>2163</v>
      </c>
      <c r="D161" s="9">
        <v>0.796412037037037</v>
      </c>
    </row>
    <row r="162" spans="1:4" ht="13.4" customHeight="1">
      <c r="A162">
        <v>161</v>
      </c>
      <c r="B162" t="s">
        <v>1063</v>
      </c>
      <c r="C162" t="s">
        <v>2163</v>
      </c>
      <c r="D162" s="9">
        <v>0.79660879629629633</v>
      </c>
    </row>
    <row r="163" spans="1:4" ht="13.4" customHeight="1">
      <c r="A163">
        <v>162</v>
      </c>
      <c r="B163" t="s">
        <v>2077</v>
      </c>
      <c r="C163" t="s">
        <v>2132</v>
      </c>
      <c r="D163" s="9">
        <v>0.79711805555555559</v>
      </c>
    </row>
    <row r="164" spans="1:4" ht="13.4" customHeight="1">
      <c r="A164">
        <v>163</v>
      </c>
      <c r="B164" t="s">
        <v>155</v>
      </c>
      <c r="C164" t="s">
        <v>2133</v>
      </c>
      <c r="D164" s="9">
        <v>0.79714120370370367</v>
      </c>
    </row>
    <row r="165" spans="1:4" ht="13.4" customHeight="1">
      <c r="A165">
        <v>164</v>
      </c>
      <c r="B165" t="s">
        <v>236</v>
      </c>
      <c r="C165" t="s">
        <v>2131</v>
      </c>
      <c r="D165" s="9">
        <v>0.79723379629629632</v>
      </c>
    </row>
    <row r="166" spans="1:4" ht="13.4" customHeight="1">
      <c r="A166">
        <v>165</v>
      </c>
      <c r="B166" t="s">
        <v>361</v>
      </c>
      <c r="C166" t="s">
        <v>2130</v>
      </c>
      <c r="D166" s="9">
        <v>0.79730324074074077</v>
      </c>
    </row>
    <row r="167" spans="1:4" ht="13.4" customHeight="1">
      <c r="A167">
        <v>166</v>
      </c>
      <c r="B167" t="s">
        <v>203</v>
      </c>
      <c r="C167" t="s">
        <v>2128</v>
      </c>
      <c r="D167" s="9">
        <v>0.79731481481481481</v>
      </c>
    </row>
    <row r="168" spans="1:4" ht="13.4" customHeight="1">
      <c r="A168">
        <v>167</v>
      </c>
      <c r="B168" t="s">
        <v>78</v>
      </c>
      <c r="C168" t="s">
        <v>2129</v>
      </c>
      <c r="D168" s="9">
        <v>0.7976388888888889</v>
      </c>
    </row>
    <row r="169" spans="1:4" ht="13.4" customHeight="1">
      <c r="A169">
        <v>168</v>
      </c>
      <c r="B169" t="s">
        <v>1065</v>
      </c>
      <c r="C169" t="s">
        <v>2126</v>
      </c>
      <c r="D169" s="9">
        <v>0.79826388888888888</v>
      </c>
    </row>
    <row r="170" spans="1:4" ht="13.4" customHeight="1">
      <c r="A170">
        <v>169</v>
      </c>
      <c r="B170" t="s">
        <v>1067</v>
      </c>
      <c r="C170" t="s">
        <v>2127</v>
      </c>
      <c r="D170" s="9">
        <v>0.79879629629629634</v>
      </c>
    </row>
    <row r="171" spans="1:4" ht="13.4" customHeight="1">
      <c r="A171">
        <v>170</v>
      </c>
      <c r="B171" t="s">
        <v>2108</v>
      </c>
      <c r="C171" t="s">
        <v>2134</v>
      </c>
      <c r="D171" s="9">
        <v>0.79885416666666664</v>
      </c>
    </row>
    <row r="172" spans="1:4" ht="13.4" customHeight="1"/>
    <row r="173" spans="1:4" ht="13.4" customHeight="1"/>
    <row r="174" spans="1:4" ht="13.4" customHeight="1"/>
    <row r="175" spans="1:4" ht="13.4" customHeight="1"/>
    <row r="176" spans="1:4" ht="13.4" customHeight="1"/>
    <row r="177" ht="13.4" customHeight="1"/>
    <row r="178" ht="13.4" customHeight="1"/>
    <row r="179" ht="13.4" customHeight="1"/>
    <row r="180" ht="13.4" customHeight="1"/>
    <row r="181" ht="13.4" customHeight="1"/>
    <row r="182" ht="13.4" customHeight="1"/>
    <row r="183" ht="13.4" customHeight="1"/>
    <row r="184" ht="13.4" customHeight="1"/>
    <row r="185" ht="13.4" customHeight="1"/>
    <row r="186" ht="13.4" customHeight="1"/>
    <row r="187" ht="13.4" customHeight="1"/>
    <row r="188" ht="13.4" customHeight="1"/>
    <row r="189" ht="13.4" customHeight="1"/>
    <row r="190" ht="13.4" customHeight="1"/>
    <row r="191" ht="13.4" customHeight="1"/>
    <row r="192" ht="13.4" customHeight="1"/>
    <row r="193" ht="13.4" customHeight="1"/>
    <row r="194" ht="13.4" customHeight="1"/>
    <row r="195" ht="13.4" customHeight="1"/>
    <row r="196" ht="13.4" customHeight="1"/>
    <row r="197" ht="13.4" customHeight="1"/>
    <row r="198" ht="13.4" customHeight="1"/>
    <row r="199" ht="13.4" customHeight="1"/>
    <row r="200" ht="13.4" customHeight="1"/>
    <row r="201" ht="13.4" customHeight="1"/>
    <row r="202" ht="13.4" customHeight="1"/>
    <row r="203" ht="13.4" customHeight="1"/>
    <row r="204" ht="13.4" customHeight="1"/>
    <row r="205" ht="13.4" customHeight="1"/>
    <row r="206" ht="13.4" customHeight="1"/>
    <row r="207" ht="13.4" customHeight="1"/>
    <row r="208" ht="13.4" customHeight="1"/>
    <row r="209" ht="13.4" customHeight="1"/>
    <row r="210" ht="13.4" customHeight="1"/>
    <row r="211" ht="13.4" customHeight="1"/>
    <row r="212" ht="13.4" customHeight="1"/>
    <row r="213" ht="13.4" customHeight="1"/>
    <row r="214" ht="13.4" customHeight="1"/>
    <row r="215" ht="13.4" customHeight="1"/>
    <row r="216" ht="13.4" customHeight="1"/>
    <row r="217" ht="13.4" customHeight="1"/>
    <row r="218" ht="13.4" customHeight="1"/>
    <row r="219" ht="13.4" customHeight="1"/>
    <row r="220" ht="13.4" customHeight="1"/>
    <row r="221" ht="13.4" customHeight="1"/>
    <row r="222" ht="13.4" customHeight="1"/>
    <row r="223" ht="13.4" customHeight="1"/>
    <row r="224" ht="13.4" customHeight="1"/>
    <row r="225" ht="13.4" customHeight="1"/>
    <row r="226" ht="13.4" customHeight="1"/>
    <row r="227" ht="13.4" customHeight="1"/>
    <row r="228" ht="13.4" customHeight="1"/>
    <row r="229" ht="13.4" customHeight="1"/>
    <row r="230" ht="13.4" customHeight="1"/>
    <row r="231" ht="13.4" customHeight="1"/>
    <row r="232" ht="13.4" customHeight="1"/>
    <row r="233" ht="13.4" customHeight="1"/>
    <row r="234" ht="13.4" customHeight="1"/>
    <row r="235" ht="13.4" customHeight="1"/>
    <row r="236" ht="13.4" customHeight="1"/>
    <row r="237" ht="13.4" customHeight="1"/>
    <row r="238" ht="13.4" customHeight="1"/>
    <row r="239" ht="13.4" customHeight="1"/>
    <row r="240" ht="13.4" customHeight="1"/>
    <row r="241" ht="13.4" customHeight="1"/>
    <row r="242" ht="13.4" customHeight="1"/>
    <row r="243" ht="13.4" customHeight="1"/>
    <row r="244" ht="13.4" customHeight="1"/>
    <row r="245" ht="13.4" customHeight="1"/>
    <row r="246" ht="13.4" customHeight="1"/>
    <row r="247" ht="13.4" customHeight="1"/>
    <row r="248" ht="13.4" customHeight="1"/>
    <row r="249" ht="13.4" customHeight="1"/>
    <row r="250" ht="13.4" customHeight="1"/>
    <row r="251" ht="13.4" customHeight="1"/>
    <row r="252" ht="13.4" customHeight="1"/>
    <row r="253" ht="13.4" customHeight="1"/>
    <row r="254" ht="13.4" customHeight="1"/>
    <row r="255" ht="13.4" customHeight="1"/>
    <row r="256" ht="13.4" customHeight="1"/>
    <row r="257" ht="13.4" customHeight="1"/>
    <row r="258" ht="13.4" customHeight="1"/>
    <row r="259" ht="13.4" customHeight="1"/>
    <row r="260" ht="13.4" customHeight="1"/>
    <row r="261" ht="13.4" customHeight="1"/>
    <row r="262" ht="13.4" customHeight="1"/>
    <row r="263" ht="13.4" customHeight="1"/>
    <row r="264" ht="13.4" customHeight="1"/>
    <row r="265" ht="13.4" customHeight="1"/>
    <row r="266" ht="13.4" customHeight="1"/>
    <row r="267" ht="13.4" customHeight="1"/>
    <row r="268" ht="13.4" customHeight="1"/>
    <row r="269" ht="13.4" customHeight="1"/>
    <row r="270" ht="13.4" customHeight="1"/>
    <row r="271" ht="13.4" customHeight="1"/>
    <row r="272" ht="13.4" customHeight="1"/>
    <row r="273" ht="13.4" customHeight="1"/>
    <row r="274" ht="13.4" customHeight="1"/>
    <row r="275" ht="13.4" customHeight="1"/>
    <row r="276" ht="13.4" customHeight="1"/>
    <row r="277" ht="13.4" customHeight="1"/>
    <row r="278" ht="13.4" customHeight="1"/>
    <row r="279" ht="13.4" customHeight="1"/>
    <row r="280" ht="13.4" customHeight="1"/>
    <row r="281" ht="13.4" customHeight="1"/>
    <row r="282" ht="13.4" customHeight="1"/>
    <row r="283" ht="13.4" customHeight="1"/>
    <row r="284" ht="13.4" customHeight="1"/>
    <row r="285" ht="13.4" customHeight="1"/>
    <row r="286" ht="13.4" customHeight="1"/>
    <row r="287" ht="13.4" customHeight="1"/>
    <row r="288" ht="13.4" customHeight="1"/>
    <row r="289" ht="13.4" customHeight="1"/>
    <row r="290" ht="13.4" customHeight="1"/>
    <row r="291" ht="13.4" customHeight="1"/>
    <row r="292" ht="13.4" customHeight="1"/>
    <row r="293" ht="13.4" customHeight="1"/>
    <row r="294" ht="13.4" customHeight="1"/>
    <row r="295" ht="13.4" customHeight="1"/>
    <row r="296" ht="13.4" customHeight="1"/>
    <row r="297" ht="13.4" customHeight="1"/>
    <row r="298" ht="13.4" customHeight="1"/>
    <row r="299" ht="13.4" customHeight="1"/>
    <row r="300" ht="13.4" customHeight="1"/>
    <row r="301" ht="13.4" customHeight="1"/>
  </sheetData>
  <mergeCells count="1"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A1:AD402"/>
  <sheetViews>
    <sheetView tabSelected="1" zoomScale="70" zoomScaleNormal="70" workbookViewId="0">
      <selection activeCell="M16" sqref="M16"/>
    </sheetView>
  </sheetViews>
  <sheetFormatPr defaultRowHeight="14.5"/>
  <cols>
    <col min="2" max="3" width="32.90625" hidden="1" customWidth="1"/>
    <col min="4" max="5" width="19.08984375" customWidth="1"/>
    <col min="6" max="6" width="19.6328125" customWidth="1"/>
    <col min="7" max="7" width="15.6328125" customWidth="1"/>
    <col min="8" max="8" width="13.54296875" customWidth="1"/>
    <col min="9" max="9" width="25.453125" customWidth="1"/>
    <col min="12" max="12" width="10.6328125" hidden="1" customWidth="1"/>
    <col min="13" max="13" width="18.54296875" customWidth="1"/>
    <col min="14" max="14" width="20" customWidth="1"/>
    <col min="15" max="15" width="20.6328125" bestFit="1" customWidth="1"/>
    <col min="17" max="17" width="8.7265625" customWidth="1"/>
    <col min="19" max="19" width="16.08984375" bestFit="1" customWidth="1"/>
    <col min="20" max="20" width="16.08984375" customWidth="1"/>
    <col min="21" max="21" width="12" customWidth="1"/>
    <col min="22" max="22" width="9" customWidth="1"/>
    <col min="23" max="23" width="18" customWidth="1"/>
    <col min="26" max="26" width="21.81640625" customWidth="1"/>
  </cols>
  <sheetData>
    <row r="1" spans="1:30">
      <c r="A1" t="s">
        <v>501</v>
      </c>
      <c r="D1" s="11" t="s">
        <v>2</v>
      </c>
      <c r="F1" t="s">
        <v>2015</v>
      </c>
      <c r="G1" s="11" t="s">
        <v>2126</v>
      </c>
    </row>
    <row r="3" spans="1:30">
      <c r="A3" t="s">
        <v>502</v>
      </c>
      <c r="B3" t="s">
        <v>503</v>
      </c>
      <c r="C3" t="s">
        <v>504</v>
      </c>
      <c r="D3" t="s">
        <v>505</v>
      </c>
      <c r="E3" t="s">
        <v>506</v>
      </c>
      <c r="F3" t="s">
        <v>507</v>
      </c>
      <c r="G3" t="s">
        <v>508</v>
      </c>
      <c r="H3" t="s">
        <v>509</v>
      </c>
      <c r="I3" t="s">
        <v>510</v>
      </c>
      <c r="J3" t="s">
        <v>511</v>
      </c>
      <c r="K3" t="s">
        <v>506</v>
      </c>
      <c r="L3" t="s">
        <v>512</v>
      </c>
      <c r="M3" t="s">
        <v>513</v>
      </c>
      <c r="N3" t="s">
        <v>514</v>
      </c>
      <c r="O3" t="s">
        <v>2105</v>
      </c>
      <c r="Q3" t="s">
        <v>512</v>
      </c>
      <c r="R3" t="s">
        <v>515</v>
      </c>
      <c r="S3" t="s">
        <v>503</v>
      </c>
      <c r="U3" s="4" t="s">
        <v>1982</v>
      </c>
      <c r="V3" s="4" t="s">
        <v>1983</v>
      </c>
      <c r="W3" s="4" t="s">
        <v>1984</v>
      </c>
      <c r="Z3" s="14" t="s">
        <v>515</v>
      </c>
      <c r="AA3" s="14" t="s">
        <v>900</v>
      </c>
      <c r="AB3" s="14" t="s">
        <v>867</v>
      </c>
      <c r="AC3" s="14" t="s">
        <v>865</v>
      </c>
      <c r="AD3" s="14" t="s">
        <v>890</v>
      </c>
    </row>
    <row r="4" spans="1:30">
      <c r="A4" s="1">
        <v>1</v>
      </c>
      <c r="B4" t="s">
        <v>516</v>
      </c>
      <c r="C4" t="s">
        <v>517</v>
      </c>
      <c r="D4" t="str">
        <f>IF($D$1="ESPN",INDEX(Table2[Mapped Name],MATCH('Rankings Master'!$A4,Table2[Overall Rank],0)),IF('Rankings Master'!$D$1="NFL.com",INDEX(Table3[Name Clean],MATCH('Rankings Master'!$A4,Table3[Rank],0)),IF('Rankings Master'!$D$1="Sleeper",INDEX(Sleeper!$B$2:$B$201,MATCH('Rankings Master'!$A4,Sleeper!$A$2:$A$201,0)),"Need platform")))</f>
        <v>Jahmyr Gibbs</v>
      </c>
      <c r="E4" t="str">
        <f>IF($D$1="ESPN",INDEX(Table2[Position],MATCH('Rankings Master'!$A4,Table2[Overall Rank],0)),IF('Rankings Master'!$D$1="NFL.com",INDEX(Table3[Position],MATCH('Rankings Master'!$A4,Table3[Rank],0)),INDEX(Sleeper!$C$2:$C$201,MATCH('Rankings Master'!A4,Sleeper!$A$2:$A$201,0))))</f>
        <v>RB</v>
      </c>
      <c r="F4">
        <f>INDEX(Table4[RK],MATCH('Rankings Master'!D4,Table4[PLAYER NAME],0))</f>
        <v>1</v>
      </c>
      <c r="G4">
        <f t="shared" ref="G4:G35" si="0">A4-F4</f>
        <v>0</v>
      </c>
      <c r="H4">
        <f t="shared" ref="H4:H35" si="1">G4/F4</f>
        <v>0</v>
      </c>
      <c r="I4" t="str">
        <f t="shared" ref="I4:I44" si="2">IF(AND(H4 &gt; -1, H4 &lt;= -0.5), "Extremely Overvalued",
IF(AND(H4 &gt; -0.5, H4 &lt;= -0.15), "Pretty Overvalued",
IF(AND(H4 &gt; -0.15, H4 &lt; 0), "Slightly Overvalued",
IF(H4 = 0, "At ADP",
IF(AND(H4 &gt; 0, H4 &lt;= 0.15), "Slightly Undervalued",
IF(AND(H4 &gt; 0.15, H4 &lt;= 0.5), "Pretty Undervalued",
IF(AND(H4 &gt; 0.5, H4 &lt;= 1), "Extremely Undervalued", "")))))))</f>
        <v>At ADP</v>
      </c>
      <c r="J4" t="str">
        <f>IF(W4=$G$1,"M",IF(AND(U4="Drafted",W4&lt;&gt;$G$1),"Y",""))</f>
        <v>Y</v>
      </c>
      <c r="K4">
        <f t="shared" ref="K4:K35" si="3">IF(E4="QB",1,IF(E4="RB",2,IF(E4="WR",3,IF(E4="TE",4,IF(E4="K",5,"Check")))))</f>
        <v>2</v>
      </c>
      <c r="L4" t="str">
        <f>IF(J4="M",COUNTIFS($J$4:J4,"M",$E$4:E4,E4)&amp;" - "&amp;K4,"N/A")</f>
        <v>N/A</v>
      </c>
      <c r="M4">
        <f>IFERROR(INDEX(PlayerSummaryTable[Rushing Yds],MATCH('Rankings Master'!D4,PlayerSummaryTable[Player],0)),"")</f>
        <v>1199.5</v>
      </c>
      <c r="N4">
        <f>IFERROR(INDEX(PlayerSummaryTable[Receiving Yds],MATCH('Rankings Master'!D4,PlayerSummaryTable[Player],0)),"")</f>
        <v>449.5</v>
      </c>
      <c r="O4" t="str">
        <f>IFERROR(INDEX(PlayerSummaryTable[Passing Yds],MATCH('Rankings Master'!D4,PlayerSummaryTable[Player],0)),"")</f>
        <v>N/A</v>
      </c>
      <c r="Q4" s="2" t="str">
        <f>"1 - 1"</f>
        <v>1 - 1</v>
      </c>
      <c r="R4" t="s">
        <v>518</v>
      </c>
      <c r="S4" t="str">
        <f>IFERROR(INDEX($D$4:$D$203,MATCH(Q4,$L$4:$L$203,0)),"")</f>
        <v>Trevor Lawrence</v>
      </c>
      <c r="U4" t="str">
        <f>IF(COUNTIF('Draft Log'!$B$2:$B$301,D4)&gt;0,"DRAFTED","")</f>
        <v>DRAFTED</v>
      </c>
      <c r="V4">
        <f>IFERROR(INDEX('Draft Log'!$A$2:$A$301,MATCH(D4,'Draft Log'!$B$2:$B$301,0)),"")</f>
        <v>1</v>
      </c>
      <c r="W4" t="str">
        <f>IFERROR(INDEX('Draft Log'!$C$2:$C$301,MATCH(D4,'Draft Log'!$B$2:$B$301,0)),"")</f>
        <v>Team Afeef</v>
      </c>
      <c r="Z4" s="14" t="str" cm="1">
        <f t="array" ref="Z4:Z14">_xlfn.UNIQUE(_xlfn.SORTBY($W$4:$W$402,$V$4:$V$402,1))</f>
        <v>Team Afeef</v>
      </c>
      <c r="AA4">
        <f>COUNTIFS($W$4:$W$402,$Z4,$E$4:$E$402,AA$3)</f>
        <v>2</v>
      </c>
      <c r="AB4">
        <f>COUNTIFS($W$4:$W$402,$Z4,$E$4:$E$402,AB$3)</f>
        <v>5</v>
      </c>
      <c r="AC4">
        <f>COUNTIFS($W$4:$W$402,$Z4,$E$4:$E$402,AC$3)</f>
        <v>6</v>
      </c>
      <c r="AD4">
        <f>COUNTIFS($W$4:$W$402,$Z4,$E$4:$E$402,AD$3)</f>
        <v>2</v>
      </c>
    </row>
    <row r="5" spans="1:30">
      <c r="A5" s="1">
        <v>2</v>
      </c>
      <c r="B5" t="s">
        <v>519</v>
      </c>
      <c r="C5" t="s">
        <v>520</v>
      </c>
      <c r="D5" t="str">
        <f>IF($D$1="ESPN",INDEX(Table2[Mapped Name],MATCH('Rankings Master'!$A5,Table2[Overall Rank],0)),IF('Rankings Master'!$D$1="NFL.com",INDEX(Table3[Name Clean],MATCH('Rankings Master'!$A5,Table3[Rank],0)),IF('Rankings Master'!$D$1="Sleeper",INDEX(Sleeper!$B$2:$B$201,MATCH('Rankings Master'!$A5,Sleeper!$A$2:$A$201,0)),"Need platform")))</f>
        <v>Bijan Robinson</v>
      </c>
      <c r="E5" t="str">
        <f>IF($D$1="ESPN",INDEX(Table2[Position],MATCH('Rankings Master'!$A5,Table2[Overall Rank],0)),IF('Rankings Master'!$D$1="NFL.com",INDEX(Table3[Position],MATCH('Rankings Master'!$A5,Table3[Rank],0)),INDEX(Sleeper!$C$2:$C$201,MATCH('Rankings Master'!A5,Sleeper!$A$2:$A$201,0))))</f>
        <v>RB</v>
      </c>
      <c r="F5">
        <f>INDEX(Table4[RK],MATCH('Rankings Master'!D5,Table4[PLAYER NAME],0))</f>
        <v>3</v>
      </c>
      <c r="G5">
        <f t="shared" si="0"/>
        <v>-1</v>
      </c>
      <c r="H5">
        <f t="shared" si="1"/>
        <v>-0.33333333333333331</v>
      </c>
      <c r="I5" t="str">
        <f t="shared" si="2"/>
        <v>Pretty Overvalued</v>
      </c>
      <c r="J5" t="str">
        <f t="shared" ref="J5:J68" si="4">IF(W5=$G$1,"M",IF(AND(U5="Drafted",W5&lt;&gt;$G$1),"Y",""))</f>
        <v>Y</v>
      </c>
      <c r="K5">
        <f t="shared" si="3"/>
        <v>2</v>
      </c>
      <c r="L5" t="str">
        <f>IF(J5="M",COUNTIFS($J$4:J5,"M",$E$4:E5,E5)&amp;" - "&amp;K5,"N/A")</f>
        <v>N/A</v>
      </c>
      <c r="M5">
        <f>IFERROR(INDEX(PlayerSummaryTable[Rushing Yds],MATCH('Rankings Master'!D5,PlayerSummaryTable[Player],0)),"")</f>
        <v>1174.5</v>
      </c>
      <c r="N5">
        <f>IFERROR(INDEX(PlayerSummaryTable[Receiving Yds],MATCH('Rankings Master'!D5,PlayerSummaryTable[Player],0)),"")</f>
        <v>574.5</v>
      </c>
      <c r="O5" t="str">
        <f>IFERROR(INDEX(PlayerSummaryTable[Passing Yds],MATCH('Rankings Master'!D5,PlayerSummaryTable[Player],0)),"")</f>
        <v>N/A</v>
      </c>
      <c r="Q5" t="str">
        <f>"2 - 1"</f>
        <v>2 - 1</v>
      </c>
      <c r="R5" t="s">
        <v>521</v>
      </c>
      <c r="S5" t="str">
        <f t="shared" ref="S5:S19" si="5">IFERROR(INDEX($D$4:$D$198,MATCH(Q5,$L$4:$L$198,0)),"")</f>
        <v>Justin Herbert</v>
      </c>
      <c r="U5" t="str">
        <f>IF(COUNTIF('Draft Log'!$B$2:$B$301,D5)&gt;0,"DRAFTED","")</f>
        <v>DRAFTED</v>
      </c>
      <c r="V5">
        <f>IFERROR(INDEX('Draft Log'!$A$2:$A$301,MATCH(D5,'Draft Log'!$B$2:$B$301,0)),"")</f>
        <v>2</v>
      </c>
      <c r="W5" t="str">
        <f>IFERROR(INDEX('Draft Log'!$C$2:$C$301,MATCH(D5,'Draft Log'!$B$2:$B$301,0)),"")</f>
        <v>Benjamins Bandits</v>
      </c>
      <c r="Z5" s="14" t="str">
        <v>Benjamins Bandits</v>
      </c>
      <c r="AA5">
        <f>COUNTIFS($W$4:$W$402,$Z5,$E$4:$E$402,AA$3)</f>
        <v>1</v>
      </c>
      <c r="AB5">
        <f>COUNTIFS($W$4:$W$402,$Z5,$E$4:$E$402,AB$3)</f>
        <v>4</v>
      </c>
      <c r="AC5">
        <f>COUNTIFS($W$4:$W$402,$Z5,$E$4:$E$402,AC$3)</f>
        <v>6</v>
      </c>
      <c r="AD5">
        <f>COUNTIFS($W$4:$W$402,$Z5,$E$4:$E$402,AD$3)</f>
        <v>2</v>
      </c>
    </row>
    <row r="6" spans="1:30">
      <c r="A6" s="1">
        <v>3</v>
      </c>
      <c r="B6" t="s">
        <v>522</v>
      </c>
      <c r="C6" t="s">
        <v>523</v>
      </c>
      <c r="D6" t="str">
        <f>IF($D$1="ESPN",INDEX(Table2[Mapped Name],MATCH('Rankings Master'!$A6,Table2[Overall Rank],0)),IF('Rankings Master'!$D$1="NFL.com",INDEX(Table3[Name Clean],MATCH('Rankings Master'!$A6,Table3[Rank],0)),IF('Rankings Master'!$D$1="Sleeper",INDEX(Sleeper!$B$2:$B$201,MATCH('Rankings Master'!$A6,Sleeper!$A$2:$A$201,0)),"Need platform")))</f>
        <v>Ja'Marr Chase</v>
      </c>
      <c r="E6" t="str">
        <f>IF($D$1="ESPN",INDEX(Table2[Position],MATCH('Rankings Master'!$A6,Table2[Overall Rank],0)),IF('Rankings Master'!$D$1="NFL.com",INDEX(Table3[Position],MATCH('Rankings Master'!$A6,Table3[Rank],0)),INDEX(Sleeper!$C$2:$C$201,MATCH('Rankings Master'!A6,Sleeper!$A$2:$A$201,0))))</f>
        <v>WR</v>
      </c>
      <c r="F6">
        <f>INDEX(Table4[RK],MATCH('Rankings Master'!D6,Table4[PLAYER NAME],0))</f>
        <v>2</v>
      </c>
      <c r="G6">
        <f t="shared" si="0"/>
        <v>1</v>
      </c>
      <c r="H6">
        <f t="shared" si="1"/>
        <v>0.5</v>
      </c>
      <c r="I6" t="str">
        <f t="shared" si="2"/>
        <v>Pretty Undervalued</v>
      </c>
      <c r="J6" t="str">
        <f t="shared" si="4"/>
        <v>Y</v>
      </c>
      <c r="K6">
        <f t="shared" si="3"/>
        <v>3</v>
      </c>
      <c r="L6" t="str">
        <f>IF(J6="M",COUNTIFS($J$4:J6,"M",$E$4:E6,E6)&amp;" - "&amp;K6,"N/A")</f>
        <v>N/A</v>
      </c>
      <c r="M6" t="str">
        <f>IFERROR(INDEX(PlayerSummaryTable[Rushing Yds],MATCH('Rankings Master'!D6,PlayerSummaryTable[Player],0)),"")</f>
        <v>N/A</v>
      </c>
      <c r="N6">
        <f>IFERROR(INDEX(PlayerSummaryTable[Receiving Yds],MATCH('Rankings Master'!D6,PlayerSummaryTable[Player],0)),"")</f>
        <v>1324.5</v>
      </c>
      <c r="O6" t="str">
        <f>IFERROR(INDEX(PlayerSummaryTable[Passing Yds],MATCH('Rankings Master'!D6,PlayerSummaryTable[Player],0)),"")</f>
        <v>N/A</v>
      </c>
      <c r="Q6" t="str">
        <f>"3 - 1"</f>
        <v>3 - 1</v>
      </c>
      <c r="R6" t="s">
        <v>524</v>
      </c>
      <c r="S6" t="str">
        <f t="shared" si="5"/>
        <v/>
      </c>
      <c r="U6" t="str">
        <f>IF(COUNTIF('Draft Log'!$B$2:$B$301,D6)&gt;0,"DRAFTED","")</f>
        <v>DRAFTED</v>
      </c>
      <c r="V6">
        <f>IFERROR(INDEX('Draft Log'!$A$2:$A$301,MATCH(D6,'Draft Log'!$B$2:$B$301,0)),"")</f>
        <v>3</v>
      </c>
      <c r="W6" t="str">
        <f>IFERROR(INDEX('Draft Log'!$C$2:$C$301,MATCH(D6,'Draft Log'!$B$2:$B$301,0)),"")</f>
        <v>dontsaynosayYA</v>
      </c>
      <c r="Z6" s="14" t="str">
        <v>dontsaynosayYA</v>
      </c>
      <c r="AA6">
        <f>COUNTIFS($W$4:$W$402,$Z6,$E$4:$E$402,AA$3)</f>
        <v>2</v>
      </c>
      <c r="AB6">
        <f>COUNTIFS($W$4:$W$402,$Z6,$E$4:$E$402,AB$3)</f>
        <v>4</v>
      </c>
      <c r="AC6">
        <f>COUNTIFS($W$4:$W$402,$Z6,$E$4:$E$402,AC$3)</f>
        <v>5</v>
      </c>
      <c r="AD6">
        <f>COUNTIFS($W$4:$W$402,$Z6,$E$4:$E$402,AD$3)</f>
        <v>3</v>
      </c>
    </row>
    <row r="7" spans="1:30">
      <c r="A7" s="1">
        <v>4</v>
      </c>
      <c r="B7" t="s">
        <v>525</v>
      </c>
      <c r="C7" t="s">
        <v>526</v>
      </c>
      <c r="D7" t="str">
        <f>IF($D$1="ESPN",INDEX(Table2[Mapped Name],MATCH('Rankings Master'!$A7,Table2[Overall Rank],0)),IF('Rankings Master'!$D$1="NFL.com",INDEX(Table3[Name Clean],MATCH('Rankings Master'!$A7,Table3[Rank],0)),IF('Rankings Master'!$D$1="Sleeper",INDEX(Sleeper!$B$2:$B$201,MATCH('Rankings Master'!$A7,Sleeper!$A$2:$A$201,0)),"Need platform")))</f>
        <v>Puka Nacua</v>
      </c>
      <c r="E7" t="str">
        <f>IF($D$1="ESPN",INDEX(Table2[Position],MATCH('Rankings Master'!$A7,Table2[Overall Rank],0)),IF('Rankings Master'!$D$1="NFL.com",INDEX(Table3[Position],MATCH('Rankings Master'!$A7,Table3[Rank],0)),INDEX(Sleeper!$C$2:$C$201,MATCH('Rankings Master'!A7,Sleeper!$A$2:$A$201,0))))</f>
        <v>WR</v>
      </c>
      <c r="F7">
        <f>INDEX(Table4[RK],MATCH('Rankings Master'!D7,Table4[PLAYER NAME],0))</f>
        <v>4</v>
      </c>
      <c r="G7">
        <f t="shared" si="0"/>
        <v>0</v>
      </c>
      <c r="H7">
        <f t="shared" si="1"/>
        <v>0</v>
      </c>
      <c r="I7" t="str">
        <f t="shared" si="2"/>
        <v>At ADP</v>
      </c>
      <c r="J7" t="str">
        <f t="shared" si="4"/>
        <v>Y</v>
      </c>
      <c r="K7">
        <f t="shared" si="3"/>
        <v>3</v>
      </c>
      <c r="L7" t="str">
        <f>IF(J7="M",COUNTIFS($J$4:J7,"M",$E$4:E7,E7)&amp;" - "&amp;K7,"N/A")</f>
        <v>N/A</v>
      </c>
      <c r="M7" t="str">
        <f>IFERROR(INDEX(PlayerSummaryTable[Rushing Yds],MATCH('Rankings Master'!D7,PlayerSummaryTable[Player],0)),"")</f>
        <v>N/A</v>
      </c>
      <c r="N7">
        <f>IFERROR(INDEX(PlayerSummaryTable[Receiving Yds],MATCH('Rankings Master'!D7,PlayerSummaryTable[Player],0)),"")</f>
        <v>1324.5</v>
      </c>
      <c r="O7" t="str">
        <f>IFERROR(INDEX(PlayerSummaryTable[Passing Yds],MATCH('Rankings Master'!D7,PlayerSummaryTable[Player],0)),"")</f>
        <v>N/A</v>
      </c>
      <c r="Q7" t="str">
        <f>"1 - 2"</f>
        <v>1 - 2</v>
      </c>
      <c r="R7" t="s">
        <v>527</v>
      </c>
      <c r="S7" t="str">
        <f t="shared" si="5"/>
        <v>James Cook III</v>
      </c>
      <c r="U7" t="str">
        <f>IF(COUNTIF('Draft Log'!$B$2:$B$301,D7)&gt;0,"DRAFTED","")</f>
        <v>DRAFTED</v>
      </c>
      <c r="V7">
        <f>IFERROR(INDEX('Draft Log'!$A$2:$A$301,MATCH(D7,'Draft Log'!$B$2:$B$301,0)),"")</f>
        <v>4</v>
      </c>
      <c r="W7" t="str">
        <f>IFERROR(INDEX('Draft Log'!$C$2:$C$301,MATCH(D7,'Draft Log'!$B$2:$B$301,0)),"")</f>
        <v>Cut to the Chase</v>
      </c>
      <c r="Z7" s="14" t="str">
        <v>Cut to the Chase</v>
      </c>
      <c r="AA7">
        <f>COUNTIFS($W$4:$W$402,$Z7,$E$4:$E$402,AA$3)</f>
        <v>1</v>
      </c>
      <c r="AB7">
        <f>COUNTIFS($W$4:$W$402,$Z7,$E$4:$E$402,AB$3)</f>
        <v>5</v>
      </c>
      <c r="AC7">
        <f>COUNTIFS($W$4:$W$402,$Z7,$E$4:$E$402,AC$3)</f>
        <v>7</v>
      </c>
      <c r="AD7">
        <f>COUNTIFS($W$4:$W$402,$Z7,$E$4:$E$402,AD$3)</f>
        <v>2</v>
      </c>
    </row>
    <row r="8" spans="1:30">
      <c r="A8" s="1">
        <v>5</v>
      </c>
      <c r="B8" t="s">
        <v>528</v>
      </c>
      <c r="C8" t="s">
        <v>529</v>
      </c>
      <c r="D8" t="str">
        <f>IF($D$1="ESPN",INDEX(Table2[Mapped Name],MATCH('Rankings Master'!$A8,Table2[Overall Rank],0)),IF('Rankings Master'!$D$1="NFL.com",INDEX(Table3[Name Clean],MATCH('Rankings Master'!$A8,Table3[Rank],0)),IF('Rankings Master'!$D$1="Sleeper",INDEX(Sleeper!$B$2:$B$201,MATCH('Rankings Master'!$A8,Sleeper!$A$2:$A$201,0)),"Need platform")))</f>
        <v>Jaxon Smith-Njigba</v>
      </c>
      <c r="E8" t="str">
        <f>IF($D$1="ESPN",INDEX(Table2[Position],MATCH('Rankings Master'!$A8,Table2[Overall Rank],0)),IF('Rankings Master'!$D$1="NFL.com",INDEX(Table3[Position],MATCH('Rankings Master'!$A8,Table3[Rank],0)),INDEX(Sleeper!$C$2:$C$201,MATCH('Rankings Master'!A8,Sleeper!$A$2:$A$201,0))))</f>
        <v>WR</v>
      </c>
      <c r="F8">
        <f>INDEX(Table4[RK],MATCH('Rankings Master'!D8,Table4[PLAYER NAME],0))</f>
        <v>5</v>
      </c>
      <c r="G8">
        <f t="shared" si="0"/>
        <v>0</v>
      </c>
      <c r="H8">
        <f t="shared" si="1"/>
        <v>0</v>
      </c>
      <c r="I8" t="str">
        <f t="shared" si="2"/>
        <v>At ADP</v>
      </c>
      <c r="J8" t="str">
        <f t="shared" si="4"/>
        <v>Y</v>
      </c>
      <c r="K8">
        <f t="shared" si="3"/>
        <v>3</v>
      </c>
      <c r="L8" t="str">
        <f>IF(J8="M",COUNTIFS($J$4:J8,"M",$E$4:E8,E8)&amp;" - "&amp;K8,"N/A")</f>
        <v>N/A</v>
      </c>
      <c r="M8" t="str">
        <f>IFERROR(INDEX(PlayerSummaryTable[Rushing Yds],MATCH('Rankings Master'!D8,PlayerSummaryTable[Player],0)),"")</f>
        <v>N/A</v>
      </c>
      <c r="N8">
        <f>IFERROR(INDEX(PlayerSummaryTable[Receiving Yds],MATCH('Rankings Master'!D8,PlayerSummaryTable[Player],0)),"")</f>
        <v>1324.5</v>
      </c>
      <c r="O8" t="str">
        <f>IFERROR(INDEX(PlayerSummaryTable[Passing Yds],MATCH('Rankings Master'!D8,PlayerSummaryTable[Player],0)),"")</f>
        <v>N/A</v>
      </c>
      <c r="Q8" t="str">
        <f>"2 - 2"</f>
        <v>2 - 2</v>
      </c>
      <c r="R8" t="s">
        <v>530</v>
      </c>
      <c r="S8" t="str">
        <f t="shared" si="5"/>
        <v>Omarion Hampton</v>
      </c>
      <c r="U8" t="str">
        <f>IF(COUNTIF('Draft Log'!$B$2:$B$301,D8)&gt;0,"DRAFTED","")</f>
        <v>DRAFTED</v>
      </c>
      <c r="V8">
        <f>IFERROR(INDEX('Draft Log'!$A$2:$A$301,MATCH(D8,'Draft Log'!$B$2:$B$301,0)),"")</f>
        <v>5</v>
      </c>
      <c r="W8" t="str">
        <f>IFERROR(INDEX('Draft Log'!$C$2:$C$301,MATCH(D8,'Draft Log'!$B$2:$B$301,0)),"")</f>
        <v>JJetts Skatt Hurts</v>
      </c>
      <c r="Z8" s="14" t="str">
        <v>JJetts Skatt Hurts</v>
      </c>
      <c r="AA8">
        <f>COUNTIFS($W$4:$W$402,$Z8,$E$4:$E$402,AA$3)</f>
        <v>1</v>
      </c>
      <c r="AB8">
        <f>COUNTIFS($W$4:$W$402,$Z8,$E$4:$E$402,AB$3)</f>
        <v>7</v>
      </c>
      <c r="AC8">
        <f>COUNTIFS($W$4:$W$402,$Z8,$E$4:$E$402,AC$3)</f>
        <v>6</v>
      </c>
      <c r="AD8">
        <f>COUNTIFS($W$4:$W$402,$Z8,$E$4:$E$402,AD$3)</f>
        <v>1</v>
      </c>
    </row>
    <row r="9" spans="1:30">
      <c r="A9" s="1">
        <v>6</v>
      </c>
      <c r="B9" t="s">
        <v>531</v>
      </c>
      <c r="C9" t="s">
        <v>532</v>
      </c>
      <c r="D9" t="str">
        <f>IF($D$1="ESPN",INDEX(Table2[Mapped Name],MATCH('Rankings Master'!$A9,Table2[Overall Rank],0)),IF('Rankings Master'!$D$1="NFL.com",INDEX(Table3[Name Clean],MATCH('Rankings Master'!$A9,Table3[Rank],0)),IF('Rankings Master'!$D$1="Sleeper",INDEX(Sleeper!$B$2:$B$201,MATCH('Rankings Master'!$A9,Sleeper!$A$2:$A$201,0)),"Need platform")))</f>
        <v>Christian McCaffrey</v>
      </c>
      <c r="E9" t="str">
        <f>IF($D$1="ESPN",INDEX(Table2[Position],MATCH('Rankings Master'!$A9,Table2[Overall Rank],0)),IF('Rankings Master'!$D$1="NFL.com",INDEX(Table3[Position],MATCH('Rankings Master'!$A9,Table3[Rank],0)),INDEX(Sleeper!$C$2:$C$201,MATCH('Rankings Master'!A9,Sleeper!$A$2:$A$201,0))))</f>
        <v>RB</v>
      </c>
      <c r="F9">
        <f>INDEX(Table4[RK],MATCH('Rankings Master'!D9,Table4[PLAYER NAME],0))</f>
        <v>9</v>
      </c>
      <c r="G9">
        <f t="shared" si="0"/>
        <v>-3</v>
      </c>
      <c r="H9">
        <f t="shared" si="1"/>
        <v>-0.33333333333333331</v>
      </c>
      <c r="I9" t="str">
        <f t="shared" si="2"/>
        <v>Pretty Overvalued</v>
      </c>
      <c r="J9" t="str">
        <f t="shared" si="4"/>
        <v>Y</v>
      </c>
      <c r="K9">
        <f t="shared" si="3"/>
        <v>2</v>
      </c>
      <c r="L9" t="str">
        <f>IF(J9="M",COUNTIFS($J$4:J9,"M",$E$4:E9,E9)&amp;" - "&amp;K9,"N/A")</f>
        <v>N/A</v>
      </c>
      <c r="M9">
        <f>IFERROR(INDEX(PlayerSummaryTable[Rushing Yds],MATCH('Rankings Master'!D9,PlayerSummaryTable[Player],0)),"")</f>
        <v>949.5</v>
      </c>
      <c r="N9">
        <f>IFERROR(INDEX(PlayerSummaryTable[Receiving Yds],MATCH('Rankings Master'!D9,PlayerSummaryTable[Player],0)),"")</f>
        <v>574.5</v>
      </c>
      <c r="O9" t="str">
        <f>IFERROR(INDEX(PlayerSummaryTable[Passing Yds],MATCH('Rankings Master'!D9,PlayerSummaryTable[Player],0)),"")</f>
        <v>N/A</v>
      </c>
      <c r="Q9" t="str">
        <f>"3 - 2"</f>
        <v>3 - 2</v>
      </c>
      <c r="R9" t="s">
        <v>533</v>
      </c>
      <c r="S9" t="str">
        <f t="shared" si="5"/>
        <v>Kenny Gainwell</v>
      </c>
      <c r="U9" t="str">
        <f>IF(COUNTIF('Draft Log'!$B$2:$B$301,D9)&gt;0,"DRAFTED","")</f>
        <v>DRAFTED</v>
      </c>
      <c r="V9">
        <f>IFERROR(INDEX('Draft Log'!$A$2:$A$301,MATCH(D9,'Draft Log'!$B$2:$B$301,0)),"")</f>
        <v>10</v>
      </c>
      <c r="W9" t="str">
        <f>IFERROR(INDEX('Draft Log'!$C$2:$C$301,MATCH(D9,'Draft Log'!$B$2:$B$301,0)),"")</f>
        <v>Double Chubb Chocolate Cookie</v>
      </c>
      <c r="Z9" s="14" t="str">
        <v>BEST COUNTRY IN THE WORLD</v>
      </c>
      <c r="AA9">
        <f>COUNTIFS($W$4:$W$402,$Z9,$E$4:$E$402,AA$3)</f>
        <v>2</v>
      </c>
      <c r="AB9">
        <f>COUNTIFS($W$4:$W$402,$Z9,$E$4:$E$402,AB$3)</f>
        <v>5</v>
      </c>
      <c r="AC9">
        <f>COUNTIFS($W$4:$W$402,$Z9,$E$4:$E$402,AC$3)</f>
        <v>6</v>
      </c>
      <c r="AD9">
        <f>COUNTIFS($W$4:$W$402,$Z9,$E$4:$E$402,AD$3)</f>
        <v>2</v>
      </c>
    </row>
    <row r="10" spans="1:30">
      <c r="A10" s="1">
        <v>7</v>
      </c>
      <c r="B10" t="s">
        <v>534</v>
      </c>
      <c r="C10" t="s">
        <v>535</v>
      </c>
      <c r="D10" t="str">
        <f>IF($D$1="ESPN",INDEX(Table2[Mapped Name],MATCH('Rankings Master'!$A10,Table2[Overall Rank],0)),IF('Rankings Master'!$D$1="NFL.com",INDEX(Table3[Name Clean],MATCH('Rankings Master'!$A10,Table3[Rank],0)),IF('Rankings Master'!$D$1="Sleeper",INDEX(Sleeper!$B$2:$B$201,MATCH('Rankings Master'!$A10,Sleeper!$A$2:$A$201,0)),"Need platform")))</f>
        <v>Jonathan Taylor</v>
      </c>
      <c r="E10" t="str">
        <f>IF($D$1="ESPN",INDEX(Table2[Position],MATCH('Rankings Master'!$A10,Table2[Overall Rank],0)),IF('Rankings Master'!$D$1="NFL.com",INDEX(Table3[Position],MATCH('Rankings Master'!$A10,Table3[Rank],0)),INDEX(Sleeper!$C$2:$C$201,MATCH('Rankings Master'!A10,Sleeper!$A$2:$A$201,0))))</f>
        <v>RB</v>
      </c>
      <c r="F10">
        <f>INDEX(Table4[RK],MATCH('Rankings Master'!D10,Table4[PLAYER NAME],0))</f>
        <v>7</v>
      </c>
      <c r="G10">
        <f t="shared" si="0"/>
        <v>0</v>
      </c>
      <c r="H10">
        <f t="shared" si="1"/>
        <v>0</v>
      </c>
      <c r="I10" t="str">
        <f t="shared" si="2"/>
        <v>At ADP</v>
      </c>
      <c r="J10" t="str">
        <f t="shared" si="4"/>
        <v>Y</v>
      </c>
      <c r="K10">
        <f t="shared" si="3"/>
        <v>2</v>
      </c>
      <c r="L10" t="str">
        <f>IF(J10="M",COUNTIFS($J$4:J10,"M",$E$4:E10,E10)&amp;" - "&amp;K10,"N/A")</f>
        <v>N/A</v>
      </c>
      <c r="M10">
        <f>IFERROR(INDEX(PlayerSummaryTable[Rushing Yds],MATCH('Rankings Master'!D10,PlayerSummaryTable[Player],0)),"")</f>
        <v>1224.5</v>
      </c>
      <c r="N10" t="str">
        <f>IFERROR(INDEX(PlayerSummaryTable[Receiving Yds],MATCH('Rankings Master'!D10,PlayerSummaryTable[Player],0)),"")</f>
        <v>N/A</v>
      </c>
      <c r="O10" t="str">
        <f>IFERROR(INDEX(PlayerSummaryTable[Passing Yds],MATCH('Rankings Master'!D10,PlayerSummaryTable[Player],0)),"")</f>
        <v>N/A</v>
      </c>
      <c r="Q10" t="str">
        <f>"4 - 2"</f>
        <v>4 - 2</v>
      </c>
      <c r="R10" t="s">
        <v>536</v>
      </c>
      <c r="S10" t="str">
        <f t="shared" si="5"/>
        <v>Blake Corum</v>
      </c>
      <c r="U10" t="str">
        <f>IF(COUNTIF('Draft Log'!$B$2:$B$301,D10)&gt;0,"DRAFTED","")</f>
        <v>DRAFTED</v>
      </c>
      <c r="V10">
        <f>IFERROR(INDEX('Draft Log'!$A$2:$A$301,MATCH(D10,'Draft Log'!$B$2:$B$301,0)),"")</f>
        <v>7</v>
      </c>
      <c r="W10" t="str">
        <f>IFERROR(INDEX('Draft Log'!$C$2:$C$301,MATCH(D10,'Draft Log'!$B$2:$B$301,0)),"")</f>
        <v>Eight Bell Tolls</v>
      </c>
      <c r="Z10" s="14" t="str">
        <v>Eight Bell Tolls</v>
      </c>
      <c r="AA10">
        <f>COUNTIFS($W$4:$W$402,$Z10,$E$4:$E$402,AA$3)</f>
        <v>2</v>
      </c>
      <c r="AB10">
        <f>COUNTIFS($W$4:$W$402,$Z10,$E$4:$E$402,AB$3)</f>
        <v>6</v>
      </c>
      <c r="AC10">
        <f>COUNTIFS($W$4:$W$402,$Z10,$E$4:$E$402,AC$3)</f>
        <v>5</v>
      </c>
      <c r="AD10">
        <f>COUNTIFS($W$4:$W$402,$Z10,$E$4:$E$402,AD$3)</f>
        <v>1</v>
      </c>
    </row>
    <row r="11" spans="1:30">
      <c r="A11" s="1">
        <v>8</v>
      </c>
      <c r="B11" t="s">
        <v>537</v>
      </c>
      <c r="C11" t="s">
        <v>538</v>
      </c>
      <c r="D11" t="str">
        <f>IF($D$1="ESPN",INDEX(Table2[Mapped Name],MATCH('Rankings Master'!$A11,Table2[Overall Rank],0)),IF('Rankings Master'!$D$1="NFL.com",INDEX(Table3[Name Clean],MATCH('Rankings Master'!$A11,Table3[Rank],0)),IF('Rankings Master'!$D$1="Sleeper",INDEX(Sleeper!$B$2:$B$201,MATCH('Rankings Master'!$A11,Sleeper!$A$2:$A$201,0)),"Need platform")))</f>
        <v>Amon-Ra St. Brown</v>
      </c>
      <c r="E11" t="str">
        <f>IF($D$1="ESPN",INDEX(Table2[Position],MATCH('Rankings Master'!$A11,Table2[Overall Rank],0)),IF('Rankings Master'!$D$1="NFL.com",INDEX(Table3[Position],MATCH('Rankings Master'!$A11,Table3[Rank],0)),INDEX(Sleeper!$C$2:$C$201,MATCH('Rankings Master'!A11,Sleeper!$A$2:$A$201,0))))</f>
        <v>WR</v>
      </c>
      <c r="F11">
        <f>INDEX(Table4[RK],MATCH('Rankings Master'!D11,Table4[PLAYER NAME],0))</f>
        <v>6</v>
      </c>
      <c r="G11">
        <f t="shared" si="0"/>
        <v>2</v>
      </c>
      <c r="H11">
        <f t="shared" si="1"/>
        <v>0.33333333333333331</v>
      </c>
      <c r="I11" t="str">
        <f t="shared" si="2"/>
        <v>Pretty Undervalued</v>
      </c>
      <c r="J11" t="str">
        <f t="shared" si="4"/>
        <v>Y</v>
      </c>
      <c r="K11">
        <f t="shared" si="3"/>
        <v>3</v>
      </c>
      <c r="L11" t="str">
        <f>IF(J11="M",COUNTIFS($J$4:J11,"M",$E$4:E11,E11)&amp;" - "&amp;K11,"N/A")</f>
        <v>N/A</v>
      </c>
      <c r="M11" t="str">
        <f>IFERROR(INDEX(PlayerSummaryTable[Rushing Yds],MATCH('Rankings Master'!D11,PlayerSummaryTable[Player],0)),"")</f>
        <v/>
      </c>
      <c r="N11" t="str">
        <f>IFERROR(INDEX(PlayerSummaryTable[Receiving Yds],MATCH('Rankings Master'!D11,PlayerSummaryTable[Player],0)),"")</f>
        <v/>
      </c>
      <c r="O11" t="str">
        <f>IFERROR(INDEX(PlayerSummaryTable[Passing Yds],MATCH('Rankings Master'!D11,PlayerSummaryTable[Player],0)),"")</f>
        <v/>
      </c>
      <c r="Q11" t="str">
        <f>"5 - 2"</f>
        <v>5 - 2</v>
      </c>
      <c r="R11" t="s">
        <v>539</v>
      </c>
      <c r="S11" t="str">
        <f t="shared" si="5"/>
        <v>Chris Rodriguez Jr.</v>
      </c>
      <c r="U11" t="str">
        <f>IF(COUNTIF('Draft Log'!$B$2:$B$301,D11)&gt;0,"DRAFTED","")</f>
        <v>DRAFTED</v>
      </c>
      <c r="V11">
        <f>IFERROR(INDEX('Draft Log'!$A$2:$A$301,MATCH(D11,'Draft Log'!$B$2:$B$301,0)),"")</f>
        <v>6</v>
      </c>
      <c r="W11" t="str">
        <f>IFERROR(INDEX('Draft Log'!$C$2:$C$301,MATCH(D11,'Draft Log'!$B$2:$B$301,0)),"")</f>
        <v>BEST COUNTRY IN THE WORLD</v>
      </c>
      <c r="Z11" s="14" t="str">
        <v>Mustafa is Not Like Us</v>
      </c>
      <c r="AA11">
        <f>COUNTIFS($W$4:$W$402,$Z11,$E$4:$E$402,AA$3)</f>
        <v>2</v>
      </c>
      <c r="AB11">
        <f>COUNTIFS($W$4:$W$402,$Z11,$E$4:$E$402,AB$3)</f>
        <v>7</v>
      </c>
      <c r="AC11">
        <f>COUNTIFS($W$4:$W$402,$Z11,$E$4:$E$402,AC$3)</f>
        <v>5</v>
      </c>
      <c r="AD11">
        <f>COUNTIFS($W$4:$W$402,$Z11,$E$4:$E$402,AD$3)</f>
        <v>1</v>
      </c>
    </row>
    <row r="12" spans="1:30">
      <c r="A12" s="1">
        <v>9</v>
      </c>
      <c r="B12" t="s">
        <v>540</v>
      </c>
      <c r="C12" t="s">
        <v>541</v>
      </c>
      <c r="D12" t="str">
        <f>IF($D$1="ESPN",INDEX(Table2[Mapped Name],MATCH('Rankings Master'!$A12,Table2[Overall Rank],0)),IF('Rankings Master'!$D$1="NFL.com",INDEX(Table3[Name Clean],MATCH('Rankings Master'!$A12,Table3[Rank],0)),IF('Rankings Master'!$D$1="Sleeper",INDEX(Sleeper!$B$2:$B$201,MATCH('Rankings Master'!$A12,Sleeper!$A$2:$A$201,0)),"Need platform")))</f>
        <v>CeeDee Lamb</v>
      </c>
      <c r="E12" t="str">
        <f>IF($D$1="ESPN",INDEX(Table2[Position],MATCH('Rankings Master'!$A12,Table2[Overall Rank],0)),IF('Rankings Master'!$D$1="NFL.com",INDEX(Table3[Position],MATCH('Rankings Master'!$A12,Table3[Rank],0)),INDEX(Sleeper!$C$2:$C$201,MATCH('Rankings Master'!A12,Sleeper!$A$2:$A$201,0))))</f>
        <v>WR</v>
      </c>
      <c r="F12">
        <f>INDEX(Table4[RK],MATCH('Rankings Master'!D12,Table4[PLAYER NAME],0))</f>
        <v>10</v>
      </c>
      <c r="G12">
        <f t="shared" si="0"/>
        <v>-1</v>
      </c>
      <c r="H12">
        <f t="shared" si="1"/>
        <v>-0.1</v>
      </c>
      <c r="I12" t="str">
        <f t="shared" si="2"/>
        <v>Slightly Overvalued</v>
      </c>
      <c r="J12" t="str">
        <f t="shared" si="4"/>
        <v>Y</v>
      </c>
      <c r="K12">
        <f t="shared" si="3"/>
        <v>3</v>
      </c>
      <c r="L12" t="str">
        <f>IF(J12="M",COUNTIFS($J$4:J12,"M",$E$4:E12,E12)&amp;" - "&amp;K12,"N/A")</f>
        <v>N/A</v>
      </c>
      <c r="M12" t="str">
        <f>IFERROR(INDEX(PlayerSummaryTable[Rushing Yds],MATCH('Rankings Master'!D12,PlayerSummaryTable[Player],0)),"")</f>
        <v>N/A</v>
      </c>
      <c r="N12">
        <f>IFERROR(INDEX(PlayerSummaryTable[Receiving Yds],MATCH('Rankings Master'!D12,PlayerSummaryTable[Player],0)),"")</f>
        <v>1199.5</v>
      </c>
      <c r="O12" t="str">
        <f>IFERROR(INDEX(PlayerSummaryTable[Passing Yds],MATCH('Rankings Master'!D12,PlayerSummaryTable[Player],0)),"")</f>
        <v>N/A</v>
      </c>
      <c r="Q12" t="str">
        <f>"6 - 2"</f>
        <v>6 - 2</v>
      </c>
      <c r="R12" t="s">
        <v>542</v>
      </c>
      <c r="S12" t="str">
        <f t="shared" si="5"/>
        <v>Tyler Allgeier</v>
      </c>
      <c r="U12" t="str">
        <f>IF(COUNTIF('Draft Log'!$B$2:$B$301,D12)&gt;0,"DRAFTED","")</f>
        <v>DRAFTED</v>
      </c>
      <c r="V12">
        <f>IFERROR(INDEX('Draft Log'!$A$2:$A$301,MATCH(D12,'Draft Log'!$B$2:$B$301,0)),"")</f>
        <v>9</v>
      </c>
      <c r="W12" t="str">
        <f>IFERROR(INDEX('Draft Log'!$C$2:$C$301,MATCH(D12,'Draft Log'!$B$2:$B$301,0)),"")</f>
        <v>The Good, Bad and Ugly</v>
      </c>
      <c r="Z12" s="14" t="str">
        <v>The Good, Bad and Ugly</v>
      </c>
      <c r="AA12">
        <f>COUNTIFS($W$4:$W$402,$Z12,$E$4:$E$402,AA$3)</f>
        <v>2</v>
      </c>
      <c r="AB12">
        <f>COUNTIFS($W$4:$W$402,$Z12,$E$4:$E$402,AB$3)</f>
        <v>4</v>
      </c>
      <c r="AC12">
        <f>COUNTIFS($W$4:$W$402,$Z12,$E$4:$E$402,AC$3)</f>
        <v>7</v>
      </c>
      <c r="AD12">
        <f>COUNTIFS($W$4:$W$402,$Z12,$E$4:$E$402,AD$3)</f>
        <v>2</v>
      </c>
    </row>
    <row r="13" spans="1:30">
      <c r="A13" s="1">
        <v>10</v>
      </c>
      <c r="B13" t="s">
        <v>543</v>
      </c>
      <c r="C13" t="s">
        <v>544</v>
      </c>
      <c r="D13" t="str">
        <f>IF($D$1="ESPN",INDEX(Table2[Mapped Name],MATCH('Rankings Master'!$A13,Table2[Overall Rank],0)),IF('Rankings Master'!$D$1="NFL.com",INDEX(Table3[Name Clean],MATCH('Rankings Master'!$A13,Table3[Rank],0)),IF('Rankings Master'!$D$1="Sleeper",INDEX(Sleeper!$B$2:$B$201,MATCH('Rankings Master'!$A13,Sleeper!$A$2:$A$201,0)),"Need platform")))</f>
        <v>Justin Jefferson</v>
      </c>
      <c r="E13" t="str">
        <f>IF($D$1="ESPN",INDEX(Table2[Position],MATCH('Rankings Master'!$A13,Table2[Overall Rank],0)),IF('Rankings Master'!$D$1="NFL.com",INDEX(Table3[Position],MATCH('Rankings Master'!$A13,Table3[Rank],0)),INDEX(Sleeper!$C$2:$C$201,MATCH('Rankings Master'!A13,Sleeper!$A$2:$A$201,0))))</f>
        <v>WR</v>
      </c>
      <c r="F13">
        <f>INDEX(Table4[RK],MATCH('Rankings Master'!D13,Table4[PLAYER NAME],0))</f>
        <v>11</v>
      </c>
      <c r="G13">
        <f t="shared" si="0"/>
        <v>-1</v>
      </c>
      <c r="H13">
        <f t="shared" si="1"/>
        <v>-9.0909090909090912E-2</v>
      </c>
      <c r="I13" t="str">
        <f t="shared" si="2"/>
        <v>Slightly Overvalued</v>
      </c>
      <c r="J13" t="str">
        <f t="shared" si="4"/>
        <v>Y</v>
      </c>
      <c r="K13">
        <f t="shared" si="3"/>
        <v>3</v>
      </c>
      <c r="L13" t="str">
        <f>IF(J13="M",COUNTIFS($J$4:J13,"M",$E$4:E13,E13)&amp;" - "&amp;K13,"N/A")</f>
        <v>N/A</v>
      </c>
      <c r="M13" t="str">
        <f>IFERROR(INDEX(PlayerSummaryTable[Rushing Yds],MATCH('Rankings Master'!D13,PlayerSummaryTable[Player],0)),"")</f>
        <v>N/A</v>
      </c>
      <c r="N13">
        <f>IFERROR(INDEX(PlayerSummaryTable[Receiving Yds],MATCH('Rankings Master'!D13,PlayerSummaryTable[Player],0)),"")</f>
        <v>1174.5</v>
      </c>
      <c r="O13" t="str">
        <f>IFERROR(INDEX(PlayerSummaryTable[Passing Yds],MATCH('Rankings Master'!D13,PlayerSummaryTable[Player],0)),"")</f>
        <v>N/A</v>
      </c>
      <c r="Q13" t="str">
        <f>"1 - 3"</f>
        <v>1 - 3</v>
      </c>
      <c r="R13" t="s">
        <v>545</v>
      </c>
      <c r="S13" t="str">
        <f t="shared" si="5"/>
        <v>DeVonta Smith</v>
      </c>
      <c r="U13" t="str">
        <f>IF(COUNTIF('Draft Log'!$B$2:$B$301,D13)&gt;0,"DRAFTED","")</f>
        <v>DRAFTED</v>
      </c>
      <c r="V13">
        <f>IFERROR(INDEX('Draft Log'!$A$2:$A$301,MATCH(D13,'Draft Log'!$B$2:$B$301,0)),"")</f>
        <v>11</v>
      </c>
      <c r="W13" t="str">
        <f>IFERROR(INDEX('Draft Log'!$C$2:$C$301,MATCH(D13,'Draft Log'!$B$2:$B$301,0)),"")</f>
        <v>Double Chubb Chocolate Cookie</v>
      </c>
      <c r="Z13" s="14" t="str">
        <v>Double Chubb Chocolate Cookie</v>
      </c>
      <c r="AA13">
        <f>COUNTIFS($W$4:$W$402,$Z13,$E$4:$E$402,AA$3)</f>
        <v>1</v>
      </c>
      <c r="AB13">
        <f>COUNTIFS($W$4:$W$402,$Z13,$E$4:$E$402,AB$3)</f>
        <v>7</v>
      </c>
      <c r="AC13">
        <f>COUNTIFS($W$4:$W$402,$Z13,$E$4:$E$402,AC$3)</f>
        <v>6</v>
      </c>
      <c r="AD13">
        <f>COUNTIFS($W$4:$W$402,$Z13,$E$4:$E$402,AD$3)</f>
        <v>1</v>
      </c>
    </row>
    <row r="14" spans="1:30">
      <c r="A14" s="1">
        <v>11</v>
      </c>
      <c r="B14" t="s">
        <v>546</v>
      </c>
      <c r="C14" t="s">
        <v>547</v>
      </c>
      <c r="D14" t="str">
        <f>IF($D$1="ESPN",INDEX(Table2[Mapped Name],MATCH('Rankings Master'!$A14,Table2[Overall Rank],0)),IF('Rankings Master'!$D$1="NFL.com",INDEX(Table3[Name Clean],MATCH('Rankings Master'!$A14,Table3[Rank],0)),IF('Rankings Master'!$D$1="Sleeper",INDEX(Sleeper!$B$2:$B$201,MATCH('Rankings Master'!$A14,Sleeper!$A$2:$A$201,0)),"Need platform")))</f>
        <v>Derrick Henry</v>
      </c>
      <c r="E14" t="str">
        <f>IF($D$1="ESPN",INDEX(Table2[Position],MATCH('Rankings Master'!$A14,Table2[Overall Rank],0)),IF('Rankings Master'!$D$1="NFL.com",INDEX(Table3[Position],MATCH('Rankings Master'!$A14,Table3[Rank],0)),INDEX(Sleeper!$C$2:$C$201,MATCH('Rankings Master'!A14,Sleeper!$A$2:$A$201,0))))</f>
        <v>RB</v>
      </c>
      <c r="F14">
        <f>INDEX(Table4[RK],MATCH('Rankings Master'!D14,Table4[PLAYER NAME],0))</f>
        <v>14</v>
      </c>
      <c r="G14">
        <f t="shared" si="0"/>
        <v>-3</v>
      </c>
      <c r="H14">
        <f t="shared" si="1"/>
        <v>-0.21428571428571427</v>
      </c>
      <c r="I14" t="str">
        <f t="shared" si="2"/>
        <v>Pretty Overvalued</v>
      </c>
      <c r="J14" t="str">
        <f t="shared" si="4"/>
        <v>Y</v>
      </c>
      <c r="K14">
        <f t="shared" si="3"/>
        <v>2</v>
      </c>
      <c r="L14" t="str">
        <f>IF(J14="M",COUNTIFS($J$4:J14,"M",$E$4:E14,E14)&amp;" - "&amp;K14,"N/A")</f>
        <v>N/A</v>
      </c>
      <c r="M14">
        <f>IFERROR(INDEX(PlayerSummaryTable[Rushing Yds],MATCH('Rankings Master'!D14,PlayerSummaryTable[Player],0)),"")</f>
        <v>1249.5</v>
      </c>
      <c r="N14" t="str">
        <f>IFERROR(INDEX(PlayerSummaryTable[Receiving Yds],MATCH('Rankings Master'!D14,PlayerSummaryTable[Player],0)),"")</f>
        <v>N/A</v>
      </c>
      <c r="O14" t="str">
        <f>IFERROR(INDEX(PlayerSummaryTable[Passing Yds],MATCH('Rankings Master'!D14,PlayerSummaryTable[Player],0)),"")</f>
        <v>N/A</v>
      </c>
      <c r="Q14" t="str">
        <f>"2 - 3"</f>
        <v>2 - 3</v>
      </c>
      <c r="R14" t="s">
        <v>548</v>
      </c>
      <c r="S14" t="str">
        <f t="shared" si="5"/>
        <v>Jameson Williams</v>
      </c>
      <c r="U14" t="str">
        <f>IF(COUNTIF('Draft Log'!$B$2:$B$301,D14)&gt;0,"DRAFTED","")</f>
        <v>DRAFTED</v>
      </c>
      <c r="V14">
        <f>IFERROR(INDEX('Draft Log'!$A$2:$A$301,MATCH(D14,'Draft Log'!$B$2:$B$301,0)),"")</f>
        <v>12</v>
      </c>
      <c r="W14" t="str">
        <f>IFERROR(INDEX('Draft Log'!$C$2:$C$301,MATCH(D14,'Draft Log'!$B$2:$B$301,0)),"")</f>
        <v>The Good, Bad and Ugly</v>
      </c>
      <c r="Z14" s="14" t="str">
        <v/>
      </c>
    </row>
    <row r="15" spans="1:30">
      <c r="A15" s="1">
        <v>12</v>
      </c>
      <c r="B15" t="s">
        <v>549</v>
      </c>
      <c r="C15" t="s">
        <v>550</v>
      </c>
      <c r="D15" t="str">
        <f>IF($D$1="ESPN",INDEX(Table2[Mapped Name],MATCH('Rankings Master'!$A15,Table2[Overall Rank],0)),IF('Rankings Master'!$D$1="NFL.com",INDEX(Table3[Name Clean],MATCH('Rankings Master'!$A15,Table3[Rank],0)),IF('Rankings Master'!$D$1="Sleeper",INDEX(Sleeper!$B$2:$B$201,MATCH('Rankings Master'!$A15,Sleeper!$A$2:$A$201,0)),"Need platform")))</f>
        <v>James Cook III</v>
      </c>
      <c r="E15" t="str">
        <f>IF($D$1="ESPN",INDEX(Table2[Position],MATCH('Rankings Master'!$A15,Table2[Overall Rank],0)),IF('Rankings Master'!$D$1="NFL.com",INDEX(Table3[Position],MATCH('Rankings Master'!$A15,Table3[Rank],0)),INDEX(Sleeper!$C$2:$C$201,MATCH('Rankings Master'!A15,Sleeper!$A$2:$A$201,0))))</f>
        <v>RB</v>
      </c>
      <c r="F15">
        <f>INDEX(Table4[RK],MATCH('Rankings Master'!D15,Table4[PLAYER NAME],0))</f>
        <v>8</v>
      </c>
      <c r="G15">
        <f t="shared" si="0"/>
        <v>4</v>
      </c>
      <c r="H15">
        <f t="shared" si="1"/>
        <v>0.5</v>
      </c>
      <c r="I15" t="str">
        <f t="shared" si="2"/>
        <v>Pretty Undervalued</v>
      </c>
      <c r="J15" t="str">
        <f t="shared" si="4"/>
        <v>M</v>
      </c>
      <c r="K15">
        <f t="shared" si="3"/>
        <v>2</v>
      </c>
      <c r="L15" t="str">
        <f>IF(J15="M",COUNTIFS($J$4:J15,"M",$E$4:E15,E15)&amp;" - "&amp;K15,"N/A")</f>
        <v>1 - 2</v>
      </c>
      <c r="M15" t="str">
        <f>IFERROR(INDEX(PlayerSummaryTable[Rushing Yds],MATCH('Rankings Master'!D15,PlayerSummaryTable[Player],0)),"")</f>
        <v/>
      </c>
      <c r="N15" t="str">
        <f>IFERROR(INDEX(PlayerSummaryTable[Receiving Yds],MATCH('Rankings Master'!D15,PlayerSummaryTable[Player],0)),"")</f>
        <v/>
      </c>
      <c r="O15" t="str">
        <f>IFERROR(INDEX(PlayerSummaryTable[Passing Yds],MATCH('Rankings Master'!D15,PlayerSummaryTable[Player],0)),"")</f>
        <v/>
      </c>
      <c r="Q15" t="str">
        <f>"3 - 3"</f>
        <v>3 - 3</v>
      </c>
      <c r="R15" t="s">
        <v>551</v>
      </c>
      <c r="S15" t="str">
        <f t="shared" si="5"/>
        <v>Luther Burden III</v>
      </c>
      <c r="U15" t="str">
        <f>IF(COUNTIF('Draft Log'!$B$2:$B$301,D15)&gt;0,"DRAFTED","")</f>
        <v>DRAFTED</v>
      </c>
      <c r="V15">
        <f>IFERROR(INDEX('Draft Log'!$A$2:$A$301,MATCH(D15,'Draft Log'!$B$2:$B$301,0)),"")</f>
        <v>8</v>
      </c>
      <c r="W15" t="str">
        <f>IFERROR(INDEX('Draft Log'!$C$2:$C$301,MATCH(D15,'Draft Log'!$B$2:$B$301,0)),"")</f>
        <v>Mustafa is Not Like Us</v>
      </c>
    </row>
    <row r="16" spans="1:30">
      <c r="A16" s="1">
        <v>13</v>
      </c>
      <c r="B16" t="s">
        <v>552</v>
      </c>
      <c r="C16" t="s">
        <v>553</v>
      </c>
      <c r="D16" t="str">
        <f>IF($D$1="ESPN",INDEX(Table2[Mapped Name],MATCH('Rankings Master'!$A16,Table2[Overall Rank],0)),IF('Rankings Master'!$D$1="NFL.com",INDEX(Table3[Name Clean],MATCH('Rankings Master'!$A16,Table3[Rank],0)),IF('Rankings Master'!$D$1="Sleeper",INDEX(Sleeper!$B$2:$B$201,MATCH('Rankings Master'!$A16,Sleeper!$A$2:$A$201,0)),"Need platform")))</f>
        <v>De'Von Achane</v>
      </c>
      <c r="E16" t="str">
        <f>IF($D$1="ESPN",INDEX(Table2[Position],MATCH('Rankings Master'!$A16,Table2[Overall Rank],0)),IF('Rankings Master'!$D$1="NFL.com",INDEX(Table3[Position],MATCH('Rankings Master'!$A16,Table3[Rank],0)),INDEX(Sleeper!$C$2:$C$201,MATCH('Rankings Master'!A16,Sleeper!$A$2:$A$201,0))))</f>
        <v>RB</v>
      </c>
      <c r="F16">
        <f>INDEX(Table4[RK],MATCH('Rankings Master'!D16,Table4[PLAYER NAME],0))</f>
        <v>23</v>
      </c>
      <c r="G16">
        <f t="shared" si="0"/>
        <v>-10</v>
      </c>
      <c r="H16">
        <f t="shared" si="1"/>
        <v>-0.43478260869565216</v>
      </c>
      <c r="I16" t="str">
        <f t="shared" si="2"/>
        <v>Pretty Overvalued</v>
      </c>
      <c r="J16" t="str">
        <f t="shared" si="4"/>
        <v>Y</v>
      </c>
      <c r="K16">
        <f t="shared" si="3"/>
        <v>2</v>
      </c>
      <c r="L16" t="str">
        <f>IF(J16="M",COUNTIFS($J$4:J16,"M",$E$4:E16,E16)&amp;" - "&amp;K16,"N/A")</f>
        <v>N/A</v>
      </c>
      <c r="M16">
        <f>IFERROR(INDEX(PlayerSummaryTable[Rushing Yds],MATCH('Rankings Master'!D16,PlayerSummaryTable[Player],0)),"")</f>
        <v>974.5</v>
      </c>
      <c r="N16" t="str">
        <f>IFERROR(INDEX(PlayerSummaryTable[Receiving Yds],MATCH('Rankings Master'!D16,PlayerSummaryTable[Player],0)),"")</f>
        <v>N/A</v>
      </c>
      <c r="O16" t="str">
        <f>IFERROR(INDEX(PlayerSummaryTable[Passing Yds],MATCH('Rankings Master'!D16,PlayerSummaryTable[Player],0)),"")</f>
        <v>N/A</v>
      </c>
      <c r="Q16" t="str">
        <f>"4 - 3"</f>
        <v>4 - 3</v>
      </c>
      <c r="R16" t="s">
        <v>554</v>
      </c>
      <c r="S16" t="str">
        <f t="shared" si="5"/>
        <v>Carnell Tate</v>
      </c>
      <c r="U16" t="str">
        <f>IF(COUNTIF('Draft Log'!$B$2:$B$301,D16)&gt;0,"DRAFTED","")</f>
        <v>DRAFTED</v>
      </c>
      <c r="V16">
        <f>IFERROR(INDEX('Draft Log'!$A$2:$A$301,MATCH(D16,'Draft Log'!$B$2:$B$301,0)),"")</f>
        <v>14</v>
      </c>
      <c r="W16" t="str">
        <f>IFERROR(INDEX('Draft Log'!$C$2:$C$301,MATCH(D16,'Draft Log'!$B$2:$B$301,0)),"")</f>
        <v>Eight Bell Tolls</v>
      </c>
    </row>
    <row r="17" spans="1:23">
      <c r="A17" s="1">
        <v>14</v>
      </c>
      <c r="B17" t="s">
        <v>555</v>
      </c>
      <c r="C17" t="s">
        <v>556</v>
      </c>
      <c r="D17" t="str">
        <f>IF($D$1="ESPN",INDEX(Table2[Mapped Name],MATCH('Rankings Master'!$A17,Table2[Overall Rank],0)),IF('Rankings Master'!$D$1="NFL.com",INDEX(Table3[Name Clean],MATCH('Rankings Master'!$A17,Table3[Rank],0)),IF('Rankings Master'!$D$1="Sleeper",INDEX(Sleeper!$B$2:$B$201,MATCH('Rankings Master'!$A17,Sleeper!$A$2:$A$201,0)),"Need platform")))</f>
        <v>Drake London</v>
      </c>
      <c r="E17" t="str">
        <f>IF($D$1="ESPN",INDEX(Table2[Position],MATCH('Rankings Master'!$A17,Table2[Overall Rank],0)),IF('Rankings Master'!$D$1="NFL.com",INDEX(Table3[Position],MATCH('Rankings Master'!$A17,Table3[Rank],0)),INDEX(Sleeper!$C$2:$C$201,MATCH('Rankings Master'!A17,Sleeper!$A$2:$A$201,0))))</f>
        <v>WR</v>
      </c>
      <c r="F17">
        <f>INDEX(Table4[RK],MATCH('Rankings Master'!D17,Table4[PLAYER NAME],0))</f>
        <v>17</v>
      </c>
      <c r="G17">
        <f t="shared" si="0"/>
        <v>-3</v>
      </c>
      <c r="H17">
        <f t="shared" si="1"/>
        <v>-0.17647058823529413</v>
      </c>
      <c r="I17" t="str">
        <f t="shared" si="2"/>
        <v>Pretty Overvalued</v>
      </c>
      <c r="J17" t="str">
        <f t="shared" si="4"/>
        <v>Y</v>
      </c>
      <c r="K17">
        <f t="shared" si="3"/>
        <v>3</v>
      </c>
      <c r="L17" t="str">
        <f>IF(J17="M",COUNTIFS($J$4:J17,"M",$E$4:E17,E17)&amp;" - "&amp;K17,"N/A")</f>
        <v>N/A</v>
      </c>
      <c r="M17" t="str">
        <f>IFERROR(INDEX(PlayerSummaryTable[Rushing Yds],MATCH('Rankings Master'!D17,PlayerSummaryTable[Player],0)),"")</f>
        <v>N/A</v>
      </c>
      <c r="N17">
        <f>IFERROR(INDEX(PlayerSummaryTable[Receiving Yds],MATCH('Rankings Master'!D17,PlayerSummaryTable[Player],0)),"")</f>
        <v>1099.5</v>
      </c>
      <c r="O17" t="str">
        <f>IFERROR(INDEX(PlayerSummaryTable[Passing Yds],MATCH('Rankings Master'!D17,PlayerSummaryTable[Player],0)),"")</f>
        <v>N/A</v>
      </c>
      <c r="Q17" t="str">
        <f>"5 - 3"</f>
        <v>5 - 3</v>
      </c>
      <c r="R17" t="s">
        <v>557</v>
      </c>
      <c r="S17" t="str">
        <f t="shared" si="5"/>
        <v>Mike Evans</v>
      </c>
      <c r="U17" t="str">
        <f>IF(COUNTIF('Draft Log'!$B$2:$B$301,D17)&gt;0,"DRAFTED","")</f>
        <v>DRAFTED</v>
      </c>
      <c r="V17">
        <f>IFERROR(INDEX('Draft Log'!$A$2:$A$301,MATCH(D17,'Draft Log'!$B$2:$B$301,0)),"")</f>
        <v>19</v>
      </c>
      <c r="W17" t="str">
        <f>IFERROR(INDEX('Draft Log'!$C$2:$C$301,MATCH(D17,'Draft Log'!$B$2:$B$301,0)),"")</f>
        <v>Benjamins Bandits</v>
      </c>
    </row>
    <row r="18" spans="1:23">
      <c r="A18" s="1">
        <v>15</v>
      </c>
      <c r="B18" t="s">
        <v>558</v>
      </c>
      <c r="C18" t="s">
        <v>559</v>
      </c>
      <c r="D18" t="str">
        <f>IF($D$1="ESPN",INDEX(Table2[Mapped Name],MATCH('Rankings Master'!$A18,Table2[Overall Rank],0)),IF('Rankings Master'!$D$1="NFL.com",INDEX(Table3[Name Clean],MATCH('Rankings Master'!$A18,Table3[Rank],0)),IF('Rankings Master'!$D$1="Sleeper",INDEX(Sleeper!$B$2:$B$201,MATCH('Rankings Master'!$A18,Sleeper!$A$2:$A$201,0)),"Need platform")))</f>
        <v>Saquon Barkley</v>
      </c>
      <c r="E18" t="str">
        <f>IF($D$1="ESPN",INDEX(Table2[Position],MATCH('Rankings Master'!$A18,Table2[Overall Rank],0)),IF('Rankings Master'!$D$1="NFL.com",INDEX(Table3[Position],MATCH('Rankings Master'!$A18,Table3[Rank],0)),INDEX(Sleeper!$C$2:$C$201,MATCH('Rankings Master'!A18,Sleeper!$A$2:$A$201,0))))</f>
        <v>RB</v>
      </c>
      <c r="F18">
        <f>INDEX(Table4[RK],MATCH('Rankings Master'!D18,Table4[PLAYER NAME],0))</f>
        <v>15</v>
      </c>
      <c r="G18">
        <f t="shared" si="0"/>
        <v>0</v>
      </c>
      <c r="H18">
        <f t="shared" si="1"/>
        <v>0</v>
      </c>
      <c r="I18" t="str">
        <f t="shared" si="2"/>
        <v>At ADP</v>
      </c>
      <c r="J18" t="str">
        <f t="shared" si="4"/>
        <v>Y</v>
      </c>
      <c r="K18">
        <f t="shared" si="3"/>
        <v>2</v>
      </c>
      <c r="L18" t="str">
        <f>IF(J18="M",COUNTIFS($J$4:J18,"M",$E$4:E18,E18)&amp;" - "&amp;K18,"N/A")</f>
        <v>N/A</v>
      </c>
      <c r="M18">
        <f>IFERROR(INDEX(PlayerSummaryTable[Rushing Yds],MATCH('Rankings Master'!D18,PlayerSummaryTable[Player],0)),"")</f>
        <v>1099.5</v>
      </c>
      <c r="N18" t="str">
        <f>IFERROR(INDEX(PlayerSummaryTable[Receiving Yds],MATCH('Rankings Master'!D18,PlayerSummaryTable[Player],0)),"")</f>
        <v>N/A</v>
      </c>
      <c r="O18" t="str">
        <f>IFERROR(INDEX(PlayerSummaryTable[Passing Yds],MATCH('Rankings Master'!D18,PlayerSummaryTable[Player],0)),"")</f>
        <v>N/A</v>
      </c>
      <c r="Q18" t="str">
        <f>"6 - 4"</f>
        <v>6 - 4</v>
      </c>
      <c r="R18" t="s">
        <v>560</v>
      </c>
      <c r="S18" t="str">
        <f t="shared" si="5"/>
        <v/>
      </c>
      <c r="U18" t="str">
        <f>IF(COUNTIF('Draft Log'!$B$2:$B$301,D18)&gt;0,"DRAFTED","")</f>
        <v>DRAFTED</v>
      </c>
      <c r="V18">
        <f>IFERROR(INDEX('Draft Log'!$A$2:$A$301,MATCH(D18,'Draft Log'!$B$2:$B$301,0)),"")</f>
        <v>15</v>
      </c>
      <c r="W18" t="str">
        <f>IFERROR(INDEX('Draft Log'!$C$2:$C$301,MATCH(D18,'Draft Log'!$B$2:$B$301,0)),"")</f>
        <v>BEST COUNTRY IN THE WORLD</v>
      </c>
    </row>
    <row r="19" spans="1:23">
      <c r="A19" s="1">
        <v>16</v>
      </c>
      <c r="B19" t="s">
        <v>561</v>
      </c>
      <c r="C19" t="s">
        <v>562</v>
      </c>
      <c r="D19" t="str">
        <f>IF($D$1="ESPN",INDEX(Table2[Mapped Name],MATCH('Rankings Master'!$A19,Table2[Overall Rank],0)),IF('Rankings Master'!$D$1="NFL.com",INDEX(Table3[Name Clean],MATCH('Rankings Master'!$A19,Table3[Rank],0)),IF('Rankings Master'!$D$1="Sleeper",INDEX(Sleeper!$B$2:$B$201,MATCH('Rankings Master'!$A19,Sleeper!$A$2:$A$201,0)),"Need platform")))</f>
        <v>Ashton Jeanty</v>
      </c>
      <c r="E19" t="str">
        <f>IF($D$1="ESPN",INDEX(Table2[Position],MATCH('Rankings Master'!$A19,Table2[Overall Rank],0)),IF('Rankings Master'!$D$1="NFL.com",INDEX(Table3[Position],MATCH('Rankings Master'!$A19,Table3[Rank],0)),INDEX(Sleeper!$C$2:$C$201,MATCH('Rankings Master'!A19,Sleeper!$A$2:$A$201,0))))</f>
        <v>RB</v>
      </c>
      <c r="F19">
        <f>INDEX(Table4[RK],MATCH('Rankings Master'!D19,Table4[PLAYER NAME],0))</f>
        <v>31</v>
      </c>
      <c r="G19">
        <f t="shared" si="0"/>
        <v>-15</v>
      </c>
      <c r="H19">
        <f t="shared" si="1"/>
        <v>-0.4838709677419355</v>
      </c>
      <c r="I19" t="str">
        <f t="shared" si="2"/>
        <v>Pretty Overvalued</v>
      </c>
      <c r="J19" t="str">
        <f t="shared" si="4"/>
        <v>Y</v>
      </c>
      <c r="K19">
        <f t="shared" si="3"/>
        <v>2</v>
      </c>
      <c r="L19" t="str">
        <f>IF(J19="M",COUNTIFS($J$4:J19,"M",$E$4:E19,E19)&amp;" - "&amp;K19,"N/A")</f>
        <v>N/A</v>
      </c>
      <c r="M19">
        <f>IFERROR(INDEX(PlayerSummaryTable[Rushing Yds],MATCH('Rankings Master'!D19,PlayerSummaryTable[Player],0)),"")</f>
        <v>1024.5</v>
      </c>
      <c r="N19" t="str">
        <f>IFERROR(INDEX(PlayerSummaryTable[Receiving Yds],MATCH('Rankings Master'!D19,PlayerSummaryTable[Player],0)),"")</f>
        <v>N/A</v>
      </c>
      <c r="O19" t="str">
        <f>IFERROR(INDEX(PlayerSummaryTable[Passing Yds],MATCH('Rankings Master'!D19,PlayerSummaryTable[Player],0)),"")</f>
        <v>N/A</v>
      </c>
      <c r="Q19" t="str">
        <f>"1 - 4"</f>
        <v>1 - 4</v>
      </c>
      <c r="R19" t="s">
        <v>563</v>
      </c>
      <c r="S19" t="str">
        <f t="shared" si="5"/>
        <v>Brock Bowers</v>
      </c>
      <c r="U19" t="str">
        <f>IF(COUNTIF('Draft Log'!$B$2:$B$301,D19)&gt;0,"DRAFTED","")</f>
        <v>DRAFTED</v>
      </c>
      <c r="V19">
        <f>IFERROR(INDEX('Draft Log'!$A$2:$A$301,MATCH(D19,'Draft Log'!$B$2:$B$301,0)),"")</f>
        <v>18</v>
      </c>
      <c r="W19" t="str">
        <f>IFERROR(INDEX('Draft Log'!$C$2:$C$301,MATCH(D19,'Draft Log'!$B$2:$B$301,0)),"")</f>
        <v>dontsaynosayYA</v>
      </c>
    </row>
    <row r="20" spans="1:23">
      <c r="A20" s="1">
        <v>17</v>
      </c>
      <c r="B20" t="s">
        <v>564</v>
      </c>
      <c r="C20" t="s">
        <v>565</v>
      </c>
      <c r="D20" t="str">
        <f>IF($D$1="ESPN",INDEX(Table2[Mapped Name],MATCH('Rankings Master'!$A20,Table2[Overall Rank],0)),IF('Rankings Master'!$D$1="NFL.com",INDEX(Table3[Name Clean],MATCH('Rankings Master'!$A20,Table3[Rank],0)),IF('Rankings Master'!$D$1="Sleeper",INDEX(Sleeper!$B$2:$B$201,MATCH('Rankings Master'!$A20,Sleeper!$A$2:$A$201,0)),"Need platform")))</f>
        <v>Jeremiyah Love</v>
      </c>
      <c r="E20" t="str">
        <f>IF($D$1="ESPN",INDEX(Table2[Position],MATCH('Rankings Master'!$A20,Table2[Overall Rank],0)),IF('Rankings Master'!$D$1="NFL.com",INDEX(Table3[Position],MATCH('Rankings Master'!$A20,Table3[Rank],0)),INDEX(Sleeper!$C$2:$C$201,MATCH('Rankings Master'!A20,Sleeper!$A$2:$A$201,0))))</f>
        <v>RB</v>
      </c>
      <c r="F20">
        <f>INDEX(Table4[RK],MATCH('Rankings Master'!D20,Table4[PLAYER NAME],0))</f>
        <v>44</v>
      </c>
      <c r="G20">
        <f t="shared" si="0"/>
        <v>-27</v>
      </c>
      <c r="H20">
        <f t="shared" si="1"/>
        <v>-0.61363636363636365</v>
      </c>
      <c r="I20" t="str">
        <f t="shared" si="2"/>
        <v>Extremely Overvalued</v>
      </c>
      <c r="J20" t="str">
        <f t="shared" si="4"/>
        <v>Y</v>
      </c>
      <c r="K20">
        <f t="shared" si="3"/>
        <v>2</v>
      </c>
      <c r="L20" t="str">
        <f>IF(J20="M",COUNTIFS($J$4:J20,"M",$E$4:E20,E20)&amp;" - "&amp;K20,"N/A")</f>
        <v>N/A</v>
      </c>
      <c r="M20">
        <f>IFERROR(INDEX(PlayerSummaryTable[Rushing Yds],MATCH('Rankings Master'!D20,PlayerSummaryTable[Player],0)),"")</f>
        <v>774.5</v>
      </c>
      <c r="N20" t="str">
        <f>IFERROR(INDEX(PlayerSummaryTable[Receiving Yds],MATCH('Rankings Master'!D20,PlayerSummaryTable[Player],0)),"")</f>
        <v>N/A</v>
      </c>
      <c r="O20" t="str">
        <f>IFERROR(INDEX(PlayerSummaryTable[Passing Yds],MATCH('Rankings Master'!D20,PlayerSummaryTable[Player],0)),"")</f>
        <v>N/A</v>
      </c>
      <c r="Q20" t="str">
        <f>"2 - 4"</f>
        <v>2 - 4</v>
      </c>
      <c r="R20" t="s">
        <v>566</v>
      </c>
      <c r="S20" t="str">
        <f>IFERROR(INDEX($D$4:$D$198,MATCH(Q20,$L$4:$L$198,0)),"")</f>
        <v/>
      </c>
      <c r="U20" t="str">
        <f>IF(COUNTIF('Draft Log'!$B$2:$B$301,D20)&gt;0,"DRAFTED","")</f>
        <v>DRAFTED</v>
      </c>
      <c r="V20">
        <f>IFERROR(INDEX('Draft Log'!$A$2:$A$301,MATCH(D20,'Draft Log'!$B$2:$B$301,0)),"")</f>
        <v>22</v>
      </c>
      <c r="W20" t="str">
        <f>IFERROR(INDEX('Draft Log'!$C$2:$C$301,MATCH(D20,'Draft Log'!$B$2:$B$301,0)),"")</f>
        <v>Benjamins Bandits</v>
      </c>
    </row>
    <row r="21" spans="1:23">
      <c r="A21" s="1">
        <v>18</v>
      </c>
      <c r="B21" t="s">
        <v>567</v>
      </c>
      <c r="C21" t="s">
        <v>568</v>
      </c>
      <c r="D21" t="str">
        <f>IF($D$1="ESPN",INDEX(Table2[Mapped Name],MATCH('Rankings Master'!$A21,Table2[Overall Rank],0)),IF('Rankings Master'!$D$1="NFL.com",INDEX(Table3[Name Clean],MATCH('Rankings Master'!$A21,Table3[Rank],0)),IF('Rankings Master'!$D$1="Sleeper",INDEX(Sleeper!$B$2:$B$201,MATCH('Rankings Master'!$A21,Sleeper!$A$2:$A$201,0)),"Need platform")))</f>
        <v>Kenneth Walker III</v>
      </c>
      <c r="E21" t="str">
        <f>IF($D$1="ESPN",INDEX(Table2[Position],MATCH('Rankings Master'!$A21,Table2[Overall Rank],0)),IF('Rankings Master'!$D$1="NFL.com",INDEX(Table3[Position],MATCH('Rankings Master'!$A21,Table3[Rank],0)),INDEX(Sleeper!$C$2:$C$201,MATCH('Rankings Master'!A21,Sleeper!$A$2:$A$201,0))))</f>
        <v>RB</v>
      </c>
      <c r="F21">
        <f>INDEX(Table4[RK],MATCH('Rankings Master'!D21,Table4[PLAYER NAME],0))</f>
        <v>20</v>
      </c>
      <c r="G21">
        <f t="shared" si="0"/>
        <v>-2</v>
      </c>
      <c r="H21">
        <f t="shared" si="1"/>
        <v>-0.1</v>
      </c>
      <c r="I21" t="str">
        <f t="shared" si="2"/>
        <v>Slightly Overvalued</v>
      </c>
      <c r="J21" t="str">
        <f t="shared" si="4"/>
        <v>Y</v>
      </c>
      <c r="K21">
        <f t="shared" si="3"/>
        <v>2</v>
      </c>
      <c r="L21" t="str">
        <f>IF(J21="M",COUNTIFS($J$4:J21,"M",$E$4:E21,E21)&amp;" - "&amp;K21,"N/A")</f>
        <v>N/A</v>
      </c>
      <c r="M21" t="str">
        <f>IFERROR(INDEX(PlayerSummaryTable[Rushing Yds],MATCH('Rankings Master'!D21,PlayerSummaryTable[Player],0)),"")</f>
        <v/>
      </c>
      <c r="N21" t="str">
        <f>IFERROR(INDEX(PlayerSummaryTable[Receiving Yds],MATCH('Rankings Master'!D21,PlayerSummaryTable[Player],0)),"")</f>
        <v/>
      </c>
      <c r="O21" t="str">
        <f>IFERROR(INDEX(PlayerSummaryTable[Passing Yds],MATCH('Rankings Master'!D21,PlayerSummaryTable[Player],0)),"")</f>
        <v/>
      </c>
      <c r="U21" t="str">
        <f>IF(COUNTIF('Draft Log'!$B$2:$B$301,D21)&gt;0,"DRAFTED","")</f>
        <v>DRAFTED</v>
      </c>
      <c r="V21">
        <f>IFERROR(INDEX('Draft Log'!$A$2:$A$301,MATCH(D21,'Draft Log'!$B$2:$B$301,0)),"")</f>
        <v>17</v>
      </c>
      <c r="W21" t="str">
        <f>IFERROR(INDEX('Draft Log'!$C$2:$C$301,MATCH(D21,'Draft Log'!$B$2:$B$301,0)),"")</f>
        <v>Cut to the Chase</v>
      </c>
    </row>
    <row r="22" spans="1:23">
      <c r="A22" s="1">
        <v>19</v>
      </c>
      <c r="B22" t="s">
        <v>569</v>
      </c>
      <c r="C22" t="s">
        <v>570</v>
      </c>
      <c r="D22" t="str">
        <f>IF($D$1="ESPN",INDEX(Table2[Mapped Name],MATCH('Rankings Master'!$A22,Table2[Overall Rank],0)),IF('Rankings Master'!$D$1="NFL.com",INDEX(Table3[Name Clean],MATCH('Rankings Master'!$A22,Table3[Rank],0)),IF('Rankings Master'!$D$1="Sleeper",INDEX(Sleeper!$B$2:$B$201,MATCH('Rankings Master'!$A22,Sleeper!$A$2:$A$201,0)),"Need platform")))</f>
        <v>Omarion Hampton</v>
      </c>
      <c r="E22" t="str">
        <f>IF($D$1="ESPN",INDEX(Table2[Position],MATCH('Rankings Master'!$A22,Table2[Overall Rank],0)),IF('Rankings Master'!$D$1="NFL.com",INDEX(Table3[Position],MATCH('Rankings Master'!$A22,Table3[Rank],0)),INDEX(Sleeper!$C$2:$C$201,MATCH('Rankings Master'!A22,Sleeper!$A$2:$A$201,0))))</f>
        <v>RB</v>
      </c>
      <c r="F22">
        <f>INDEX(Table4[RK],MATCH('Rankings Master'!D22,Table4[PLAYER NAME],0))</f>
        <v>21</v>
      </c>
      <c r="G22">
        <f t="shared" si="0"/>
        <v>-2</v>
      </c>
      <c r="H22">
        <f t="shared" si="1"/>
        <v>-9.5238095238095233E-2</v>
      </c>
      <c r="I22" t="str">
        <f t="shared" si="2"/>
        <v>Slightly Overvalued</v>
      </c>
      <c r="J22" t="str">
        <f t="shared" si="4"/>
        <v>M</v>
      </c>
      <c r="K22">
        <f t="shared" si="3"/>
        <v>2</v>
      </c>
      <c r="L22" t="str">
        <f>IF(J22="M",COUNTIFS($J$4:J22,"M",$E$4:E22,E22)&amp;" - "&amp;K22,"N/A")</f>
        <v>2 - 2</v>
      </c>
      <c r="M22">
        <f>IFERROR(INDEX(PlayerSummaryTable[Rushing Yds],MATCH('Rankings Master'!D22,PlayerSummaryTable[Player],0)),"")</f>
        <v>949.5</v>
      </c>
      <c r="N22" t="str">
        <f>IFERROR(INDEX(PlayerSummaryTable[Receiving Yds],MATCH('Rankings Master'!D22,PlayerSummaryTable[Player],0)),"")</f>
        <v>N/A</v>
      </c>
      <c r="O22" t="str">
        <f>IFERROR(INDEX(PlayerSummaryTable[Passing Yds],MATCH('Rankings Master'!D22,PlayerSummaryTable[Player],0)),"")</f>
        <v>N/A</v>
      </c>
      <c r="U22" t="str">
        <f>IF(COUNTIF('Draft Log'!$B$2:$B$301,D22)&gt;0,"DRAFTED","")</f>
        <v>DRAFTED</v>
      </c>
      <c r="V22">
        <f>IFERROR(INDEX('Draft Log'!$A$2:$A$301,MATCH(D22,'Draft Log'!$B$2:$B$301,0)),"")</f>
        <v>13</v>
      </c>
      <c r="W22" t="str">
        <f>IFERROR(INDEX('Draft Log'!$C$2:$C$301,MATCH(D22,'Draft Log'!$B$2:$B$301,0)),"")</f>
        <v>Mustafa is Not Like Us</v>
      </c>
    </row>
    <row r="23" spans="1:23">
      <c r="A23" s="1">
        <v>20</v>
      </c>
      <c r="B23" t="s">
        <v>571</v>
      </c>
      <c r="C23" t="s">
        <v>572</v>
      </c>
      <c r="D23" t="str">
        <f>IF($D$1="ESPN",INDEX(Table2[Mapped Name],MATCH('Rankings Master'!$A23,Table2[Overall Rank],0)),IF('Rankings Master'!$D$1="NFL.com",INDEX(Table3[Name Clean],MATCH('Rankings Master'!$A23,Table3[Rank],0)),IF('Rankings Master'!$D$1="Sleeper",INDEX(Sleeper!$B$2:$B$201,MATCH('Rankings Master'!$A23,Sleeper!$A$2:$A$201,0)),"Need platform")))</f>
        <v>Trey McBride</v>
      </c>
      <c r="E23" t="str">
        <f>IF($D$1="ESPN",INDEX(Table2[Position],MATCH('Rankings Master'!$A23,Table2[Overall Rank],0)),IF('Rankings Master'!$D$1="NFL.com",INDEX(Table3[Position],MATCH('Rankings Master'!$A23,Table3[Rank],0)),INDEX(Sleeper!$C$2:$C$201,MATCH('Rankings Master'!A23,Sleeper!$A$2:$A$201,0))))</f>
        <v>TE</v>
      </c>
      <c r="F23">
        <f>INDEX(Table4[RK],MATCH('Rankings Master'!D23,Table4[PLAYER NAME],0))</f>
        <v>22</v>
      </c>
      <c r="G23">
        <f t="shared" si="0"/>
        <v>-2</v>
      </c>
      <c r="H23">
        <f t="shared" si="1"/>
        <v>-9.0909090909090912E-2</v>
      </c>
      <c r="I23" t="str">
        <f t="shared" si="2"/>
        <v>Slightly Overvalued</v>
      </c>
      <c r="J23" t="str">
        <f t="shared" si="4"/>
        <v>Y</v>
      </c>
      <c r="K23">
        <f t="shared" si="3"/>
        <v>4</v>
      </c>
      <c r="L23" t="str">
        <f>IF(J23="M",COUNTIFS($J$4:J23,"M",$E$4:E23,E23)&amp;" - "&amp;K23,"N/A")</f>
        <v>N/A</v>
      </c>
      <c r="M23" t="str">
        <f>IFERROR(INDEX(PlayerSummaryTable[Rushing Yds],MATCH('Rankings Master'!D23,PlayerSummaryTable[Player],0)),"")</f>
        <v>N/A</v>
      </c>
      <c r="N23">
        <f>IFERROR(INDEX(PlayerSummaryTable[Receiving Yds],MATCH('Rankings Master'!D23,PlayerSummaryTable[Player],0)),"")</f>
        <v>999.5</v>
      </c>
      <c r="O23" t="str">
        <f>IFERROR(INDEX(PlayerSummaryTable[Passing Yds],MATCH('Rankings Master'!D23,PlayerSummaryTable[Player],0)),"")</f>
        <v>N/A</v>
      </c>
      <c r="Q23" s="3"/>
      <c r="U23" t="str">
        <f>IF(COUNTIF('Draft Log'!$B$2:$B$301,D23)&gt;0,"DRAFTED","")</f>
        <v>DRAFTED</v>
      </c>
      <c r="V23">
        <f>IFERROR(INDEX('Draft Log'!$A$2:$A$301,MATCH(D23,'Draft Log'!$B$2:$B$301,0)),"")</f>
        <v>16</v>
      </c>
      <c r="W23" t="str">
        <f>IFERROR(INDEX('Draft Log'!$C$2:$C$301,MATCH(D23,'Draft Log'!$B$2:$B$301,0)),"")</f>
        <v>JJetts Skatt Hurts</v>
      </c>
    </row>
    <row r="24" spans="1:23">
      <c r="A24" s="1">
        <v>21</v>
      </c>
      <c r="B24" t="s">
        <v>573</v>
      </c>
      <c r="C24" t="s">
        <v>574</v>
      </c>
      <c r="D24" t="str">
        <f>IF($D$1="ESPN",INDEX(Table2[Mapped Name],MATCH('Rankings Master'!$A24,Table2[Overall Rank],0)),IF('Rankings Master'!$D$1="NFL.com",INDEX(Table3[Name Clean],MATCH('Rankings Master'!$A24,Table3[Rank],0)),IF('Rankings Master'!$D$1="Sleeper",INDEX(Sleeper!$B$2:$B$201,MATCH('Rankings Master'!$A24,Sleeper!$A$2:$A$201,0)),"Need platform")))</f>
        <v>Brock Bowers</v>
      </c>
      <c r="E24" t="str">
        <f>IF($D$1="ESPN",INDEX(Table2[Position],MATCH('Rankings Master'!$A24,Table2[Overall Rank],0)),IF('Rankings Master'!$D$1="NFL.com",INDEX(Table3[Position],MATCH('Rankings Master'!$A24,Table3[Rank],0)),INDEX(Sleeper!$C$2:$C$201,MATCH('Rankings Master'!A24,Sleeper!$A$2:$A$201,0))))</f>
        <v>TE</v>
      </c>
      <c r="F24">
        <f>INDEX(Table4[RK],MATCH('Rankings Master'!D24,Table4[PLAYER NAME],0))</f>
        <v>16</v>
      </c>
      <c r="G24">
        <f t="shared" si="0"/>
        <v>5</v>
      </c>
      <c r="H24">
        <f t="shared" si="1"/>
        <v>0.3125</v>
      </c>
      <c r="I24" t="str">
        <f t="shared" si="2"/>
        <v>Pretty Undervalued</v>
      </c>
      <c r="J24" t="str">
        <f t="shared" si="4"/>
        <v>M</v>
      </c>
      <c r="K24">
        <f t="shared" si="3"/>
        <v>4</v>
      </c>
      <c r="L24" t="str">
        <f>IF(J24="M",COUNTIFS($J$4:J24,"M",$E$4:E24,E24)&amp;" - "&amp;K24,"N/A")</f>
        <v>1 - 4</v>
      </c>
      <c r="M24" t="str">
        <f>IFERROR(INDEX(PlayerSummaryTable[Rushing Yds],MATCH('Rankings Master'!D24,PlayerSummaryTable[Player],0)),"")</f>
        <v>N/A</v>
      </c>
      <c r="N24">
        <f>IFERROR(INDEX(PlayerSummaryTable[Receiving Yds],MATCH('Rankings Master'!D24,PlayerSummaryTable[Player],0)),"")</f>
        <v>949.5</v>
      </c>
      <c r="O24" t="str">
        <f>IFERROR(INDEX(PlayerSummaryTable[Passing Yds],MATCH('Rankings Master'!D24,PlayerSummaryTable[Player],0)),"")</f>
        <v>N/A</v>
      </c>
      <c r="Q24" s="3"/>
      <c r="U24" t="str">
        <f>IF(COUNTIF('Draft Log'!$B$2:$B$301,D24)&gt;0,"DRAFTED","")</f>
        <v>DRAFTED</v>
      </c>
      <c r="V24">
        <f>IFERROR(INDEX('Draft Log'!$A$2:$A$301,MATCH(D24,'Draft Log'!$B$2:$B$301,0)),"")</f>
        <v>28</v>
      </c>
      <c r="W24" t="str">
        <f>IFERROR(INDEX('Draft Log'!$C$2:$C$301,MATCH(D24,'Draft Log'!$B$2:$B$301,0)),"")</f>
        <v>Mustafa is Not Like Us</v>
      </c>
    </row>
    <row r="25" spans="1:23">
      <c r="A25" s="1">
        <v>22</v>
      </c>
      <c r="B25" t="s">
        <v>575</v>
      </c>
      <c r="C25" t="s">
        <v>576</v>
      </c>
      <c r="D25" t="str">
        <f>IF($D$1="ESPN",INDEX(Table2[Mapped Name],MATCH('Rankings Master'!$A25,Table2[Overall Rank],0)),IF('Rankings Master'!$D$1="NFL.com",INDEX(Table3[Name Clean],MATCH('Rankings Master'!$A25,Table3[Rank],0)),IF('Rankings Master'!$D$1="Sleeper",INDEX(Sleeper!$B$2:$B$201,MATCH('Rankings Master'!$A25,Sleeper!$A$2:$A$201,0)),"Need platform")))</f>
        <v>Breece Hall</v>
      </c>
      <c r="E25" t="str">
        <f>IF($D$1="ESPN",INDEX(Table2[Position],MATCH('Rankings Master'!$A25,Table2[Overall Rank],0)),IF('Rankings Master'!$D$1="NFL.com",INDEX(Table3[Position],MATCH('Rankings Master'!$A25,Table3[Rank],0)),INDEX(Sleeper!$C$2:$C$201,MATCH('Rankings Master'!A25,Sleeper!$A$2:$A$201,0))))</f>
        <v>RB</v>
      </c>
      <c r="F25">
        <f>INDEX(Table4[RK],MATCH('Rankings Master'!D25,Table4[PLAYER NAME],0))</f>
        <v>39</v>
      </c>
      <c r="G25">
        <f t="shared" si="0"/>
        <v>-17</v>
      </c>
      <c r="H25">
        <f t="shared" si="1"/>
        <v>-0.4358974358974359</v>
      </c>
      <c r="I25" t="str">
        <f t="shared" si="2"/>
        <v>Pretty Overvalued</v>
      </c>
      <c r="J25" t="str">
        <f t="shared" si="4"/>
        <v>Y</v>
      </c>
      <c r="K25">
        <f t="shared" si="3"/>
        <v>2</v>
      </c>
      <c r="L25" t="str">
        <f>IF(J25="M",COUNTIFS($J$4:J25,"M",$E$4:E25,E25)&amp;" - "&amp;K25,"N/A")</f>
        <v>N/A</v>
      </c>
      <c r="M25">
        <f>IFERROR(INDEX(PlayerSummaryTable[Rushing Yds],MATCH('Rankings Master'!D25,PlayerSummaryTable[Player],0)),"")</f>
        <v>899.5</v>
      </c>
      <c r="N25" t="str">
        <f>IFERROR(INDEX(PlayerSummaryTable[Receiving Yds],MATCH('Rankings Master'!D25,PlayerSummaryTable[Player],0)),"")</f>
        <v>N/A</v>
      </c>
      <c r="O25" t="str">
        <f>IFERROR(INDEX(PlayerSummaryTable[Passing Yds],MATCH('Rankings Master'!D25,PlayerSummaryTable[Player],0)),"")</f>
        <v>N/A</v>
      </c>
      <c r="Q25" s="3"/>
      <c r="U25" t="str">
        <f>IF(COUNTIF('Draft Log'!$B$2:$B$301,D25)&gt;0,"DRAFTED","")</f>
        <v>DRAFTED</v>
      </c>
      <c r="V25">
        <f>IFERROR(INDEX('Draft Log'!$A$2:$A$301,MATCH(D25,'Draft Log'!$B$2:$B$301,0)),"")</f>
        <v>23</v>
      </c>
      <c r="W25" t="str">
        <f>IFERROR(INDEX('Draft Log'!$C$2:$C$301,MATCH(D25,'Draft Log'!$B$2:$B$301,0)),"")</f>
        <v>dontsaynosayYA</v>
      </c>
    </row>
    <row r="26" spans="1:23">
      <c r="A26" s="1">
        <v>23</v>
      </c>
      <c r="B26" t="s">
        <v>577</v>
      </c>
      <c r="C26" t="s">
        <v>578</v>
      </c>
      <c r="D26" t="str">
        <f>IF($D$1="ESPN",INDEX(Table2[Mapped Name],MATCH('Rankings Master'!$A26,Table2[Overall Rank],0)),IF('Rankings Master'!$D$1="NFL.com",INDEX(Table3[Name Clean],MATCH('Rankings Master'!$A26,Table3[Rank],0)),IF('Rankings Master'!$D$1="Sleeper",INDEX(Sleeper!$B$2:$B$201,MATCH('Rankings Master'!$A26,Sleeper!$A$2:$A$201,0)),"Need platform")))</f>
        <v>Chase Brown</v>
      </c>
      <c r="E26" t="str">
        <f>IF($D$1="ESPN",INDEX(Table2[Position],MATCH('Rankings Master'!$A26,Table2[Overall Rank],0)),IF('Rankings Master'!$D$1="NFL.com",INDEX(Table3[Position],MATCH('Rankings Master'!$A26,Table3[Rank],0)),INDEX(Sleeper!$C$2:$C$201,MATCH('Rankings Master'!A26,Sleeper!$A$2:$A$201,0))))</f>
        <v>RB</v>
      </c>
      <c r="F26">
        <f>INDEX(Table4[RK],MATCH('Rankings Master'!D26,Table4[PLAYER NAME],0))</f>
        <v>18</v>
      </c>
      <c r="G26">
        <f t="shared" si="0"/>
        <v>5</v>
      </c>
      <c r="H26">
        <f t="shared" si="1"/>
        <v>0.27777777777777779</v>
      </c>
      <c r="I26" t="str">
        <f t="shared" si="2"/>
        <v>Pretty Undervalued</v>
      </c>
      <c r="J26" t="str">
        <f t="shared" si="4"/>
        <v>Y</v>
      </c>
      <c r="K26">
        <f t="shared" si="3"/>
        <v>2</v>
      </c>
      <c r="L26" t="str">
        <f>IF(J26="M",COUNTIFS($J$4:J26,"M",$E$4:E26,E26)&amp;" - "&amp;K26,"N/A")</f>
        <v>N/A</v>
      </c>
      <c r="M26">
        <f>IFERROR(INDEX(PlayerSummaryTable[Rushing Yds],MATCH('Rankings Master'!D26,PlayerSummaryTable[Player],0)),"")</f>
        <v>849.5</v>
      </c>
      <c r="N26" t="str">
        <f>IFERROR(INDEX(PlayerSummaryTable[Receiving Yds],MATCH('Rankings Master'!D26,PlayerSummaryTable[Player],0)),"")</f>
        <v>N/A</v>
      </c>
      <c r="O26" t="str">
        <f>IFERROR(INDEX(PlayerSummaryTable[Passing Yds],MATCH('Rankings Master'!D26,PlayerSummaryTable[Player],0)),"")</f>
        <v>N/A</v>
      </c>
      <c r="U26" t="str">
        <f>IF(COUNTIF('Draft Log'!$B$2:$B$301,D26)&gt;0,"DRAFTED","")</f>
        <v>DRAFTED</v>
      </c>
      <c r="V26">
        <f>IFERROR(INDEX('Draft Log'!$A$2:$A$301,MATCH(D26,'Draft Log'!$B$2:$B$301,0)),"")</f>
        <v>20</v>
      </c>
      <c r="W26" t="str">
        <f>IFERROR(INDEX('Draft Log'!$C$2:$C$301,MATCH(D26,'Draft Log'!$B$2:$B$301,0)),"")</f>
        <v>Team Afeef</v>
      </c>
    </row>
    <row r="27" spans="1:23">
      <c r="A27" s="1">
        <v>24</v>
      </c>
      <c r="B27" t="s">
        <v>579</v>
      </c>
      <c r="C27" t="s">
        <v>580</v>
      </c>
      <c r="D27" t="str">
        <f>IF($D$1="ESPN",INDEX(Table2[Mapped Name],MATCH('Rankings Master'!$A27,Table2[Overall Rank],0)),IF('Rankings Master'!$D$1="NFL.com",INDEX(Table3[Name Clean],MATCH('Rankings Master'!$A27,Table3[Rank],0)),IF('Rankings Master'!$D$1="Sleeper",INDEX(Sleeper!$B$2:$B$201,MATCH('Rankings Master'!$A27,Sleeper!$A$2:$A$201,0)),"Need platform")))</f>
        <v>Rashee Rice</v>
      </c>
      <c r="E27" t="str">
        <f>IF($D$1="ESPN",INDEX(Table2[Position],MATCH('Rankings Master'!$A27,Table2[Overall Rank],0)),IF('Rankings Master'!$D$1="NFL.com",INDEX(Table3[Position],MATCH('Rankings Master'!$A27,Table3[Rank],0)),INDEX(Sleeper!$C$2:$C$201,MATCH('Rankings Master'!A27,Sleeper!$A$2:$A$201,0))))</f>
        <v>WR</v>
      </c>
      <c r="F27">
        <f>INDEX(Table4[RK],MATCH('Rankings Master'!D27,Table4[PLAYER NAME],0))</f>
        <v>35</v>
      </c>
      <c r="G27">
        <f t="shared" si="0"/>
        <v>-11</v>
      </c>
      <c r="H27">
        <f t="shared" si="1"/>
        <v>-0.31428571428571428</v>
      </c>
      <c r="I27" t="str">
        <f t="shared" si="2"/>
        <v>Pretty Overvalued</v>
      </c>
      <c r="J27" t="str">
        <f t="shared" si="4"/>
        <v>Y</v>
      </c>
      <c r="K27">
        <f t="shared" si="3"/>
        <v>3</v>
      </c>
      <c r="L27" t="str">
        <f>IF(J27="M",COUNTIFS($J$4:J27,"M",$E$4:E27,E27)&amp;" - "&amp;K27,"N/A")</f>
        <v>N/A</v>
      </c>
      <c r="M27" t="str">
        <f>IFERROR(INDEX(PlayerSummaryTable[Rushing Yds],MATCH('Rankings Master'!D27,PlayerSummaryTable[Player],0)),"")</f>
        <v/>
      </c>
      <c r="N27" t="str">
        <f>IFERROR(INDEX(PlayerSummaryTable[Receiving Yds],MATCH('Rankings Master'!D27,PlayerSummaryTable[Player],0)),"")</f>
        <v/>
      </c>
      <c r="O27" t="str">
        <f>IFERROR(INDEX(PlayerSummaryTable[Passing Yds],MATCH('Rankings Master'!D27,PlayerSummaryTable[Player],0)),"")</f>
        <v/>
      </c>
      <c r="U27" t="str">
        <f>IF(COUNTIF('Draft Log'!$B$2:$B$301,D27)&gt;0,"DRAFTED","")</f>
        <v>DRAFTED</v>
      </c>
      <c r="V27">
        <f>IFERROR(INDEX('Draft Log'!$A$2:$A$301,MATCH(D27,'Draft Log'!$B$2:$B$301,0)),"")</f>
        <v>27</v>
      </c>
      <c r="W27" t="str">
        <f>IFERROR(INDEX('Draft Log'!$C$2:$C$301,MATCH(D27,'Draft Log'!$B$2:$B$301,0)),"")</f>
        <v>Eight Bell Tolls</v>
      </c>
    </row>
    <row r="28" spans="1:23">
      <c r="A28" s="1">
        <v>25</v>
      </c>
      <c r="B28" t="s">
        <v>581</v>
      </c>
      <c r="C28" t="s">
        <v>582</v>
      </c>
      <c r="D28" t="str">
        <f>IF($D$1="ESPN",INDEX(Table2[Mapped Name],MATCH('Rankings Master'!$A28,Table2[Overall Rank],0)),IF('Rankings Master'!$D$1="NFL.com",INDEX(Table3[Name Clean],MATCH('Rankings Master'!$A28,Table3[Rank],0)),IF('Rankings Master'!$D$1="Sleeper",INDEX(Sleeper!$B$2:$B$201,MATCH('Rankings Master'!$A28,Sleeper!$A$2:$A$201,0)),"Need platform")))</f>
        <v>Nico Collins</v>
      </c>
      <c r="E28" t="str">
        <f>IF($D$1="ESPN",INDEX(Table2[Position],MATCH('Rankings Master'!$A28,Table2[Overall Rank],0)),IF('Rankings Master'!$D$1="NFL.com",INDEX(Table3[Position],MATCH('Rankings Master'!$A28,Table3[Rank],0)),INDEX(Sleeper!$C$2:$C$201,MATCH('Rankings Master'!A28,Sleeper!$A$2:$A$201,0))))</f>
        <v>WR</v>
      </c>
      <c r="F28">
        <f>INDEX(Table4[RK],MATCH('Rankings Master'!D28,Table4[PLAYER NAME],0))</f>
        <v>13</v>
      </c>
      <c r="G28">
        <f t="shared" si="0"/>
        <v>12</v>
      </c>
      <c r="H28">
        <f t="shared" si="1"/>
        <v>0.92307692307692313</v>
      </c>
      <c r="I28" t="str">
        <f t="shared" si="2"/>
        <v>Extremely Undervalued</v>
      </c>
      <c r="J28" t="str">
        <f t="shared" si="4"/>
        <v>Y</v>
      </c>
      <c r="K28">
        <f t="shared" si="3"/>
        <v>3</v>
      </c>
      <c r="L28" t="str">
        <f>IF(J28="M",COUNTIFS($J$4:J28,"M",$E$4:E28,E28)&amp;" - "&amp;K28,"N/A")</f>
        <v>N/A</v>
      </c>
      <c r="M28" t="str">
        <f>IFERROR(INDEX(PlayerSummaryTable[Rushing Yds],MATCH('Rankings Master'!D28,PlayerSummaryTable[Player],0)),"")</f>
        <v>N/A</v>
      </c>
      <c r="N28">
        <f>IFERROR(INDEX(PlayerSummaryTable[Receiving Yds],MATCH('Rankings Master'!D28,PlayerSummaryTable[Player],0)),"")</f>
        <v>1149.5</v>
      </c>
      <c r="O28" t="str">
        <f>IFERROR(INDEX(PlayerSummaryTable[Passing Yds],MATCH('Rankings Master'!D28,PlayerSummaryTable[Player],0)),"")</f>
        <v>N/A</v>
      </c>
      <c r="U28" t="str">
        <f>IF(COUNTIF('Draft Log'!$B$2:$B$301,D28)&gt;0,"DRAFTED","")</f>
        <v>DRAFTED</v>
      </c>
      <c r="V28">
        <f>IFERROR(INDEX('Draft Log'!$A$2:$A$301,MATCH(D28,'Draft Log'!$B$2:$B$301,0)),"")</f>
        <v>24</v>
      </c>
      <c r="W28" t="str">
        <f>IFERROR(INDEX('Draft Log'!$C$2:$C$301,MATCH(D28,'Draft Log'!$B$2:$B$301,0)),"")</f>
        <v>Cut to the Chase</v>
      </c>
    </row>
    <row r="29" spans="1:23">
      <c r="A29" s="1">
        <v>26</v>
      </c>
      <c r="B29" t="s">
        <v>583</v>
      </c>
      <c r="C29" t="s">
        <v>584</v>
      </c>
      <c r="D29" t="str">
        <f>IF($D$1="ESPN",INDEX(Table2[Mapped Name],MATCH('Rankings Master'!$A29,Table2[Overall Rank],0)),IF('Rankings Master'!$D$1="NFL.com",INDEX(Table3[Name Clean],MATCH('Rankings Master'!$A29,Table3[Rank],0)),IF('Rankings Master'!$D$1="Sleeper",INDEX(Sleeper!$B$2:$B$201,MATCH('Rankings Master'!$A29,Sleeper!$A$2:$A$201,0)),"Need platform")))</f>
        <v>A.J. Brown</v>
      </c>
      <c r="E29" t="str">
        <f>IF($D$1="ESPN",INDEX(Table2[Position],MATCH('Rankings Master'!$A29,Table2[Overall Rank],0)),IF('Rankings Master'!$D$1="NFL.com",INDEX(Table3[Position],MATCH('Rankings Master'!$A29,Table3[Rank],0)),INDEX(Sleeper!$C$2:$C$201,MATCH('Rankings Master'!A29,Sleeper!$A$2:$A$201,0))))</f>
        <v>WR</v>
      </c>
      <c r="F29">
        <f>INDEX(Table4[RK],MATCH('Rankings Master'!D29,Table4[PLAYER NAME],0))</f>
        <v>12</v>
      </c>
      <c r="G29">
        <f t="shared" si="0"/>
        <v>14</v>
      </c>
      <c r="H29">
        <f t="shared" si="1"/>
        <v>1.1666666666666667</v>
      </c>
      <c r="I29" t="str">
        <f t="shared" si="2"/>
        <v/>
      </c>
      <c r="J29" t="str">
        <f t="shared" si="4"/>
        <v>Y</v>
      </c>
      <c r="K29">
        <f t="shared" si="3"/>
        <v>3</v>
      </c>
      <c r="L29" t="str">
        <f>IF(J29="M",COUNTIFS($J$4:J29,"M",$E$4:E29,E29)&amp;" - "&amp;K29,"N/A")</f>
        <v>N/A</v>
      </c>
      <c r="M29" t="str">
        <f>IFERROR(INDEX(PlayerSummaryTable[Rushing Yds],MATCH('Rankings Master'!D29,PlayerSummaryTable[Player],0)),"")</f>
        <v/>
      </c>
      <c r="N29" t="str">
        <f>IFERROR(INDEX(PlayerSummaryTable[Receiving Yds],MATCH('Rankings Master'!D29,PlayerSummaryTable[Player],0)),"")</f>
        <v/>
      </c>
      <c r="O29" t="str">
        <f>IFERROR(INDEX(PlayerSummaryTable[Passing Yds],MATCH('Rankings Master'!D29,PlayerSummaryTable[Player],0)),"")</f>
        <v/>
      </c>
      <c r="U29" t="str">
        <f>IF(COUNTIF('Draft Log'!$B$2:$B$301,D29)&gt;0,"DRAFTED","")</f>
        <v>DRAFTED</v>
      </c>
      <c r="V29">
        <f>IFERROR(INDEX('Draft Log'!$A$2:$A$301,MATCH(D29,'Draft Log'!$B$2:$B$301,0)),"")</f>
        <v>21</v>
      </c>
      <c r="W29" t="str">
        <f>IFERROR(INDEX('Draft Log'!$C$2:$C$301,MATCH(D29,'Draft Log'!$B$2:$B$301,0)),"")</f>
        <v>Team Afeef</v>
      </c>
    </row>
    <row r="30" spans="1:23">
      <c r="A30" s="1">
        <v>27</v>
      </c>
      <c r="B30" t="s">
        <v>585</v>
      </c>
      <c r="C30" t="s">
        <v>586</v>
      </c>
      <c r="D30" t="str">
        <f>IF($D$1="ESPN",INDEX(Table2[Mapped Name],MATCH('Rankings Master'!$A30,Table2[Overall Rank],0)),IF('Rankings Master'!$D$1="NFL.com",INDEX(Table3[Name Clean],MATCH('Rankings Master'!$A30,Table3[Rank],0)),IF('Rankings Master'!$D$1="Sleeper",INDEX(Sleeper!$B$2:$B$201,MATCH('Rankings Master'!$A30,Sleeper!$A$2:$A$201,0)),"Need platform")))</f>
        <v>Chris Olave</v>
      </c>
      <c r="E30" t="str">
        <f>IF($D$1="ESPN",INDEX(Table2[Position],MATCH('Rankings Master'!$A30,Table2[Overall Rank],0)),IF('Rankings Master'!$D$1="NFL.com",INDEX(Table3[Position],MATCH('Rankings Master'!$A30,Table3[Rank],0)),INDEX(Sleeper!$C$2:$C$201,MATCH('Rankings Master'!A30,Sleeper!$A$2:$A$201,0))))</f>
        <v>WR</v>
      </c>
      <c r="F30">
        <f>INDEX(Table4[RK],MATCH('Rankings Master'!D30,Table4[PLAYER NAME],0))</f>
        <v>24</v>
      </c>
      <c r="G30">
        <f t="shared" si="0"/>
        <v>3</v>
      </c>
      <c r="H30">
        <f t="shared" si="1"/>
        <v>0.125</v>
      </c>
      <c r="I30" t="str">
        <f t="shared" si="2"/>
        <v>Slightly Undervalued</v>
      </c>
      <c r="J30" t="str">
        <f t="shared" si="4"/>
        <v>Y</v>
      </c>
      <c r="K30">
        <f t="shared" si="3"/>
        <v>3</v>
      </c>
      <c r="L30" t="str">
        <f>IF(J30="M",COUNTIFS($J$4:J30,"M",$E$4:E30,E30)&amp;" - "&amp;K30,"N/A")</f>
        <v>N/A</v>
      </c>
      <c r="M30" t="str">
        <f>IFERROR(INDEX(PlayerSummaryTable[Rushing Yds],MATCH('Rankings Master'!D30,PlayerSummaryTable[Player],0)),"")</f>
        <v>N/A</v>
      </c>
      <c r="N30">
        <f>IFERROR(INDEX(PlayerSummaryTable[Receiving Yds],MATCH('Rankings Master'!D30,PlayerSummaryTable[Player],0)),"")</f>
        <v>1049.5</v>
      </c>
      <c r="O30" t="str">
        <f>IFERROR(INDEX(PlayerSummaryTable[Passing Yds],MATCH('Rankings Master'!D30,PlayerSummaryTable[Player],0)),"")</f>
        <v>N/A</v>
      </c>
      <c r="U30" t="str">
        <f>IF(COUNTIF('Draft Log'!$B$2:$B$301,D30)&gt;0,"DRAFTED","")</f>
        <v>DRAFTED</v>
      </c>
      <c r="V30">
        <f>IFERROR(INDEX('Draft Log'!$A$2:$A$301,MATCH(D30,'Draft Log'!$B$2:$B$301,0)),"")</f>
        <v>29</v>
      </c>
      <c r="W30" t="str">
        <f>IFERROR(INDEX('Draft Log'!$C$2:$C$301,MATCH(D30,'Draft Log'!$B$2:$B$301,0)),"")</f>
        <v>The Good, Bad and Ugly</v>
      </c>
    </row>
    <row r="31" spans="1:23">
      <c r="A31" s="1">
        <v>28</v>
      </c>
      <c r="B31" t="s">
        <v>587</v>
      </c>
      <c r="C31" t="s">
        <v>588</v>
      </c>
      <c r="D31" t="str">
        <f>IF($D$1="ESPN",INDEX(Table2[Mapped Name],MATCH('Rankings Master'!$A31,Table2[Overall Rank],0)),IF('Rankings Master'!$D$1="NFL.com",INDEX(Table3[Name Clean],MATCH('Rankings Master'!$A31,Table3[Rank],0)),IF('Rankings Master'!$D$1="Sleeper",INDEX(Sleeper!$B$2:$B$201,MATCH('Rankings Master'!$A31,Sleeper!$A$2:$A$201,0)),"Need platform")))</f>
        <v>George Pickens</v>
      </c>
      <c r="E31" t="str">
        <f>IF($D$1="ESPN",INDEX(Table2[Position],MATCH('Rankings Master'!$A31,Table2[Overall Rank],0)),IF('Rankings Master'!$D$1="NFL.com",INDEX(Table3[Position],MATCH('Rankings Master'!$A31,Table3[Rank],0)),INDEX(Sleeper!$C$2:$C$201,MATCH('Rankings Master'!A31,Sleeper!$A$2:$A$201,0))))</f>
        <v>WR</v>
      </c>
      <c r="F31">
        <f>INDEX(Table4[RK],MATCH('Rankings Master'!D31,Table4[PLAYER NAME],0))</f>
        <v>19</v>
      </c>
      <c r="G31">
        <f t="shared" si="0"/>
        <v>9</v>
      </c>
      <c r="H31">
        <f t="shared" si="1"/>
        <v>0.47368421052631576</v>
      </c>
      <c r="I31" t="str">
        <f t="shared" si="2"/>
        <v>Pretty Undervalued</v>
      </c>
      <c r="J31" t="str">
        <f t="shared" si="4"/>
        <v>Y</v>
      </c>
      <c r="K31">
        <f t="shared" si="3"/>
        <v>3</v>
      </c>
      <c r="L31" t="str">
        <f>IF(J31="M",COUNTIFS($J$4:J31,"M",$E$4:E31,E31)&amp;" - "&amp;K31,"N/A")</f>
        <v>N/A</v>
      </c>
      <c r="M31" t="str">
        <f>IFERROR(INDEX(PlayerSummaryTable[Rushing Yds],MATCH('Rankings Master'!D31,PlayerSummaryTable[Player],0)),"")</f>
        <v>N/A</v>
      </c>
      <c r="N31">
        <f>IFERROR(INDEX(PlayerSummaryTable[Receiving Yds],MATCH('Rankings Master'!D31,PlayerSummaryTable[Player],0)),"")</f>
        <v>1049.5</v>
      </c>
      <c r="O31" t="str">
        <f>IFERROR(INDEX(PlayerSummaryTable[Passing Yds],MATCH('Rankings Master'!D31,PlayerSummaryTable[Player],0)),"")</f>
        <v>N/A</v>
      </c>
      <c r="U31" t="str">
        <f>IF(COUNTIF('Draft Log'!$B$2:$B$301,D31)&gt;0,"DRAFTED","")</f>
        <v>DRAFTED</v>
      </c>
      <c r="V31">
        <f>IFERROR(INDEX('Draft Log'!$A$2:$A$301,MATCH(D31,'Draft Log'!$B$2:$B$301,0)),"")</f>
        <v>25</v>
      </c>
      <c r="W31" t="str">
        <f>IFERROR(INDEX('Draft Log'!$C$2:$C$301,MATCH(D31,'Draft Log'!$B$2:$B$301,0)),"")</f>
        <v>JJetts Skatt Hurts</v>
      </c>
    </row>
    <row r="32" spans="1:23">
      <c r="A32" s="1">
        <v>29</v>
      </c>
      <c r="B32" t="s">
        <v>589</v>
      </c>
      <c r="C32" t="s">
        <v>590</v>
      </c>
      <c r="D32" t="str">
        <f>IF($D$1="ESPN",INDEX(Table2[Mapped Name],MATCH('Rankings Master'!$A32,Table2[Overall Rank],0)),IF('Rankings Master'!$D$1="NFL.com",INDEX(Table3[Name Clean],MATCH('Rankings Master'!$A32,Table3[Rank],0)),IF('Rankings Master'!$D$1="Sleeper",INDEX(Sleeper!$B$2:$B$201,MATCH('Rankings Master'!$A32,Sleeper!$A$2:$A$201,0)),"Need platform")))</f>
        <v>Malik Nabers</v>
      </c>
      <c r="E32" t="str">
        <f>IF($D$1="ESPN",INDEX(Table2[Position],MATCH('Rankings Master'!$A32,Table2[Overall Rank],0)),IF('Rankings Master'!$D$1="NFL.com",INDEX(Table3[Position],MATCH('Rankings Master'!$A32,Table3[Rank],0)),INDEX(Sleeper!$C$2:$C$201,MATCH('Rankings Master'!A32,Sleeper!$A$2:$A$201,0))))</f>
        <v>WR</v>
      </c>
      <c r="F32">
        <f>INDEX(Table4[RK],MATCH('Rankings Master'!D32,Table4[PLAYER NAME],0))</f>
        <v>26</v>
      </c>
      <c r="G32">
        <f t="shared" si="0"/>
        <v>3</v>
      </c>
      <c r="H32">
        <f t="shared" si="1"/>
        <v>0.11538461538461539</v>
      </c>
      <c r="I32" t="str">
        <f t="shared" si="2"/>
        <v>Slightly Undervalued</v>
      </c>
      <c r="J32" t="str">
        <f t="shared" si="4"/>
        <v>Y</v>
      </c>
      <c r="K32">
        <f t="shared" si="3"/>
        <v>3</v>
      </c>
      <c r="L32" t="str">
        <f>IF(J32="M",COUNTIFS($J$4:J32,"M",$E$4:E32,E32)&amp;" - "&amp;K32,"N/A")</f>
        <v>N/A</v>
      </c>
      <c r="M32" t="str">
        <f>IFERROR(INDEX(PlayerSummaryTable[Rushing Yds],MATCH('Rankings Master'!D32,PlayerSummaryTable[Player],0)),"")</f>
        <v>N/A</v>
      </c>
      <c r="N32" t="str">
        <f>IFERROR(INDEX(PlayerSummaryTable[Receiving Yds],MATCH('Rankings Master'!D32,PlayerSummaryTable[Player],0)),"")</f>
        <v>N/A</v>
      </c>
      <c r="O32" t="str">
        <f>IFERROR(INDEX(PlayerSummaryTable[Passing Yds],MATCH('Rankings Master'!D32,PlayerSummaryTable[Player],0)),"")</f>
        <v>N/A</v>
      </c>
      <c r="U32" t="str">
        <f>IF(COUNTIF('Draft Log'!$B$2:$B$301,D32)&gt;0,"DRAFTED","")</f>
        <v>DRAFTED</v>
      </c>
      <c r="V32">
        <f>IFERROR(INDEX('Draft Log'!$A$2:$A$301,MATCH(D32,'Draft Log'!$B$2:$B$301,0)),"")</f>
        <v>30</v>
      </c>
      <c r="W32" t="str">
        <f>IFERROR(INDEX('Draft Log'!$C$2:$C$301,MATCH(D32,'Draft Log'!$B$2:$B$301,0)),"")</f>
        <v>Double Chubb Chocolate Cookie</v>
      </c>
    </row>
    <row r="33" spans="1:23">
      <c r="A33" s="1">
        <v>30</v>
      </c>
      <c r="B33" t="s">
        <v>591</v>
      </c>
      <c r="C33" t="s">
        <v>592</v>
      </c>
      <c r="D33" t="str">
        <f>IF($D$1="ESPN",INDEX(Table2[Mapped Name],MATCH('Rankings Master'!$A33,Table2[Overall Rank],0)),IF('Rankings Master'!$D$1="NFL.com",INDEX(Table3[Name Clean],MATCH('Rankings Master'!$A33,Table3[Rank],0)),IF('Rankings Master'!$D$1="Sleeper",INDEX(Sleeper!$B$2:$B$201,MATCH('Rankings Master'!$A33,Sleeper!$A$2:$A$201,0)),"Need platform")))</f>
        <v>Javonte Williams</v>
      </c>
      <c r="E33" t="str">
        <f>IF($D$1="ESPN",INDEX(Table2[Position],MATCH('Rankings Master'!$A33,Table2[Overall Rank],0)),IF('Rankings Master'!$D$1="NFL.com",INDEX(Table3[Position],MATCH('Rankings Master'!$A33,Table3[Rank],0)),INDEX(Sleeper!$C$2:$C$201,MATCH('Rankings Master'!A33,Sleeper!$A$2:$A$201,0))))</f>
        <v>RB</v>
      </c>
      <c r="F33">
        <f>INDEX(Table4[RK],MATCH('Rankings Master'!D33,Table4[PLAYER NAME],0))</f>
        <v>32</v>
      </c>
      <c r="G33">
        <f t="shared" si="0"/>
        <v>-2</v>
      </c>
      <c r="H33">
        <f t="shared" si="1"/>
        <v>-6.25E-2</v>
      </c>
      <c r="I33" t="str">
        <f t="shared" si="2"/>
        <v>Slightly Overvalued</v>
      </c>
      <c r="J33" t="str">
        <f t="shared" si="4"/>
        <v>Y</v>
      </c>
      <c r="K33">
        <f t="shared" si="3"/>
        <v>2</v>
      </c>
      <c r="L33" t="str">
        <f>IF(J33="M",COUNTIFS($J$4:J33,"M",$E$4:E33,E33)&amp;" - "&amp;K33,"N/A")</f>
        <v>N/A</v>
      </c>
      <c r="M33">
        <f>IFERROR(INDEX(PlayerSummaryTable[Rushing Yds],MATCH('Rankings Master'!D33,PlayerSummaryTable[Player],0)),"")</f>
        <v>949.5</v>
      </c>
      <c r="N33" t="str">
        <f>IFERROR(INDEX(PlayerSummaryTable[Receiving Yds],MATCH('Rankings Master'!D33,PlayerSummaryTable[Player],0)),"")</f>
        <v>N/A</v>
      </c>
      <c r="O33" t="str">
        <f>IFERROR(INDEX(PlayerSummaryTable[Passing Yds],MATCH('Rankings Master'!D33,PlayerSummaryTable[Player],0)),"")</f>
        <v>N/A</v>
      </c>
      <c r="U33" t="str">
        <f>IF(COUNTIF('Draft Log'!$B$2:$B$301,D33)&gt;0,"DRAFTED","")</f>
        <v>DRAFTED</v>
      </c>
      <c r="V33">
        <f>IFERROR(INDEX('Draft Log'!$A$2:$A$301,MATCH(D33,'Draft Log'!$B$2:$B$301,0)),"")</f>
        <v>34</v>
      </c>
      <c r="W33" t="str">
        <f>IFERROR(INDEX('Draft Log'!$C$2:$C$301,MATCH(D33,'Draft Log'!$B$2:$B$301,0)),"")</f>
        <v>Eight Bell Tolls</v>
      </c>
    </row>
    <row r="34" spans="1:23">
      <c r="A34" s="1">
        <v>31</v>
      </c>
      <c r="B34" t="s">
        <v>593</v>
      </c>
      <c r="C34" t="s">
        <v>594</v>
      </c>
      <c r="D34" t="str">
        <f>IF($D$1="ESPN",INDEX(Table2[Mapped Name],MATCH('Rankings Master'!$A34,Table2[Overall Rank],0)),IF('Rankings Master'!$D$1="NFL.com",INDEX(Table3[Name Clean],MATCH('Rankings Master'!$A34,Table3[Rank],0)),IF('Rankings Master'!$D$1="Sleeper",INDEX(Sleeper!$B$2:$B$201,MATCH('Rankings Master'!$A34,Sleeper!$A$2:$A$201,0)),"Need platform")))</f>
        <v>Davante Adams</v>
      </c>
      <c r="E34" t="str">
        <f>IF($D$1="ESPN",INDEX(Table2[Position],MATCH('Rankings Master'!$A34,Table2[Overall Rank],0)),IF('Rankings Master'!$D$1="NFL.com",INDEX(Table3[Position],MATCH('Rankings Master'!$A34,Table3[Rank],0)),INDEX(Sleeper!$C$2:$C$201,MATCH('Rankings Master'!A34,Sleeper!$A$2:$A$201,0))))</f>
        <v>WR</v>
      </c>
      <c r="F34">
        <f>INDEX(Table4[RK],MATCH('Rankings Master'!D34,Table4[PLAYER NAME],0))</f>
        <v>48</v>
      </c>
      <c r="G34">
        <f t="shared" si="0"/>
        <v>-17</v>
      </c>
      <c r="H34">
        <f t="shared" si="1"/>
        <v>-0.35416666666666669</v>
      </c>
      <c r="I34" t="str">
        <f t="shared" si="2"/>
        <v>Pretty Overvalued</v>
      </c>
      <c r="J34" t="str">
        <f t="shared" si="4"/>
        <v>Y</v>
      </c>
      <c r="K34">
        <f t="shared" si="3"/>
        <v>3</v>
      </c>
      <c r="L34" t="str">
        <f>IF(J34="M",COUNTIFS($J$4:J34,"M",$E$4:E34,E34)&amp;" - "&amp;K34,"N/A")</f>
        <v>N/A</v>
      </c>
      <c r="M34" t="str">
        <f>IFERROR(INDEX(PlayerSummaryTable[Rushing Yds],MATCH('Rankings Master'!D34,PlayerSummaryTable[Player],0)),"")</f>
        <v>N/A</v>
      </c>
      <c r="N34">
        <f>IFERROR(INDEX(PlayerSummaryTable[Receiving Yds],MATCH('Rankings Master'!D34,PlayerSummaryTable[Player],0)),"")</f>
        <v>774.5</v>
      </c>
      <c r="O34" t="str">
        <f>IFERROR(INDEX(PlayerSummaryTable[Passing Yds],MATCH('Rankings Master'!D34,PlayerSummaryTable[Player],0)),"")</f>
        <v>N/A</v>
      </c>
      <c r="U34" t="str">
        <f>IF(COUNTIF('Draft Log'!$B$2:$B$301,D34)&gt;0,"DRAFTED","")</f>
        <v>DRAFTED</v>
      </c>
      <c r="V34">
        <f>IFERROR(INDEX('Draft Log'!$A$2:$A$301,MATCH(D34,'Draft Log'!$B$2:$B$301,0)),"")</f>
        <v>36</v>
      </c>
      <c r="W34" t="str">
        <f>IFERROR(INDEX('Draft Log'!$C$2:$C$301,MATCH(D34,'Draft Log'!$B$2:$B$301,0)),"")</f>
        <v>JJetts Skatt Hurts</v>
      </c>
    </row>
    <row r="35" spans="1:23">
      <c r="A35" s="1">
        <v>32</v>
      </c>
      <c r="B35" t="s">
        <v>595</v>
      </c>
      <c r="C35" t="s">
        <v>596</v>
      </c>
      <c r="D35" t="str">
        <f>IF($D$1="ESPN",INDEX(Table2[Mapped Name],MATCH('Rankings Master'!$A35,Table2[Overall Rank],0)),IF('Rankings Master'!$D$1="NFL.com",INDEX(Table3[Name Clean],MATCH('Rankings Master'!$A35,Table3[Rank],0)),IF('Rankings Master'!$D$1="Sleeper",INDEX(Sleeper!$B$2:$B$201,MATCH('Rankings Master'!$A35,Sleeper!$A$2:$A$201,0)),"Need platform")))</f>
        <v>Travis Etienne Jr.</v>
      </c>
      <c r="E35" t="str">
        <f>IF($D$1="ESPN",INDEX(Table2[Position],MATCH('Rankings Master'!$A35,Table2[Overall Rank],0)),IF('Rankings Master'!$D$1="NFL.com",INDEX(Table3[Position],MATCH('Rankings Master'!$A35,Table3[Rank],0)),INDEX(Sleeper!$C$2:$C$201,MATCH('Rankings Master'!A35,Sleeper!$A$2:$A$201,0))))</f>
        <v>RB</v>
      </c>
      <c r="F35">
        <f>INDEX(Table4[RK],MATCH('Rankings Master'!D35,Table4[PLAYER NAME],0))</f>
        <v>43</v>
      </c>
      <c r="G35">
        <f t="shared" si="0"/>
        <v>-11</v>
      </c>
      <c r="H35">
        <f t="shared" si="1"/>
        <v>-0.2558139534883721</v>
      </c>
      <c r="I35" t="str">
        <f t="shared" si="2"/>
        <v>Pretty Overvalued</v>
      </c>
      <c r="J35" t="str">
        <f t="shared" si="4"/>
        <v>Y</v>
      </c>
      <c r="K35">
        <f t="shared" si="3"/>
        <v>2</v>
      </c>
      <c r="L35" t="str">
        <f>IF(J35="M",COUNTIFS($J$4:J35,"M",$E$4:E35,E35)&amp;" - "&amp;K35,"N/A")</f>
        <v>N/A</v>
      </c>
      <c r="M35" t="str">
        <f>IFERROR(INDEX(PlayerSummaryTable[Rushing Yds],MATCH('Rankings Master'!D35,PlayerSummaryTable[Player],0)),"")</f>
        <v/>
      </c>
      <c r="N35" t="str">
        <f>IFERROR(INDEX(PlayerSummaryTable[Receiving Yds],MATCH('Rankings Master'!D35,PlayerSummaryTable[Player],0)),"")</f>
        <v/>
      </c>
      <c r="O35" t="str">
        <f>IFERROR(INDEX(PlayerSummaryTable[Passing Yds],MATCH('Rankings Master'!D35,PlayerSummaryTable[Player],0)),"")</f>
        <v/>
      </c>
      <c r="U35" t="str">
        <f>IF(COUNTIF('Draft Log'!$B$2:$B$301,D35)&gt;0,"DRAFTED","")</f>
        <v>DRAFTED</v>
      </c>
      <c r="V35">
        <f>IFERROR(INDEX('Draft Log'!$A$2:$A$301,MATCH(D35,'Draft Log'!$B$2:$B$301,0)),"")</f>
        <v>26</v>
      </c>
      <c r="W35" t="str">
        <f>IFERROR(INDEX('Draft Log'!$C$2:$C$301,MATCH(D35,'Draft Log'!$B$2:$B$301,0)),"")</f>
        <v>BEST COUNTRY IN THE WORLD</v>
      </c>
    </row>
    <row r="36" spans="1:23">
      <c r="A36" s="1">
        <v>33</v>
      </c>
      <c r="B36" t="s">
        <v>597</v>
      </c>
      <c r="C36" t="s">
        <v>598</v>
      </c>
      <c r="D36" t="str">
        <f>IF($D$1="ESPN",INDEX(Table2[Mapped Name],MATCH('Rankings Master'!$A36,Table2[Overall Rank],0)),IF('Rankings Master'!$D$1="NFL.com",INDEX(Table3[Name Clean],MATCH('Rankings Master'!$A36,Table3[Rank],0)),IF('Rankings Master'!$D$1="Sleeper",INDEX(Sleeper!$B$2:$B$201,MATCH('Rankings Master'!$A36,Sleeper!$A$2:$A$201,0)),"Need platform")))</f>
        <v>Zay Flowers</v>
      </c>
      <c r="E36" t="str">
        <f>IF($D$1="ESPN",INDEX(Table2[Position],MATCH('Rankings Master'!$A36,Table2[Overall Rank],0)),IF('Rankings Master'!$D$1="NFL.com",INDEX(Table3[Position],MATCH('Rankings Master'!$A36,Table3[Rank],0)),INDEX(Sleeper!$C$2:$C$201,MATCH('Rankings Master'!A36,Sleeper!$A$2:$A$201,0))))</f>
        <v>WR</v>
      </c>
      <c r="F36">
        <f>INDEX(Table4[RK],MATCH('Rankings Master'!D36,Table4[PLAYER NAME],0))</f>
        <v>28</v>
      </c>
      <c r="G36">
        <f t="shared" ref="G36:G67" si="6">A36-F36</f>
        <v>5</v>
      </c>
      <c r="H36">
        <f t="shared" ref="H36:H67" si="7">G36/F36</f>
        <v>0.17857142857142858</v>
      </c>
      <c r="I36" t="str">
        <f t="shared" si="2"/>
        <v>Pretty Undervalued</v>
      </c>
      <c r="J36" t="str">
        <f t="shared" si="4"/>
        <v>Y</v>
      </c>
      <c r="K36">
        <f t="shared" ref="K36:K67" si="8">IF(E36="QB",1,IF(E36="RB",2,IF(E36="WR",3,IF(E36="TE",4,IF(E36="K",5,"Check")))))</f>
        <v>3</v>
      </c>
      <c r="L36" t="str">
        <f>IF(J36="M",COUNTIFS($J$4:J36,"M",$E$4:E36,E36)&amp;" - "&amp;K36,"N/A")</f>
        <v>N/A</v>
      </c>
      <c r="M36" t="str">
        <f>IFERROR(INDEX(PlayerSummaryTable[Rushing Yds],MATCH('Rankings Master'!D36,PlayerSummaryTable[Player],0)),"")</f>
        <v>N/A</v>
      </c>
      <c r="N36">
        <f>IFERROR(INDEX(PlayerSummaryTable[Receiving Yds],MATCH('Rankings Master'!D36,PlayerSummaryTable[Player],0)),"")</f>
        <v>999.5</v>
      </c>
      <c r="O36" t="str">
        <f>IFERROR(INDEX(PlayerSummaryTable[Passing Yds],MATCH('Rankings Master'!D36,PlayerSummaryTable[Player],0)),"")</f>
        <v>N/A</v>
      </c>
      <c r="U36" t="str">
        <f>IF(COUNTIF('Draft Log'!$B$2:$B$301,D36)&gt;0,"DRAFTED","")</f>
        <v>DRAFTED</v>
      </c>
      <c r="V36">
        <f>IFERROR(INDEX('Draft Log'!$A$2:$A$301,MATCH(D36,'Draft Log'!$B$2:$B$301,0)),"")</f>
        <v>43</v>
      </c>
      <c r="W36" t="str">
        <f>IFERROR(INDEX('Draft Log'!$C$2:$C$301,MATCH(D36,'Draft Log'!$B$2:$B$301,0)),"")</f>
        <v>dontsaynosayYA</v>
      </c>
    </row>
    <row r="37" spans="1:23">
      <c r="A37" s="1">
        <v>34</v>
      </c>
      <c r="B37" t="s">
        <v>573</v>
      </c>
      <c r="C37" t="s">
        <v>599</v>
      </c>
      <c r="D37" t="str">
        <f>IF($D$1="ESPN",INDEX(Table2[Mapped Name],MATCH('Rankings Master'!$A37,Table2[Overall Rank],0)),IF('Rankings Master'!$D$1="NFL.com",INDEX(Table3[Name Clean],MATCH('Rankings Master'!$A37,Table3[Rank],0)),IF('Rankings Master'!$D$1="Sleeper",INDEX(Sleeper!$B$2:$B$201,MATCH('Rankings Master'!$A37,Sleeper!$A$2:$A$201,0)),"Need platform")))</f>
        <v>Emeka Egbuka</v>
      </c>
      <c r="E37" t="str">
        <f>IF($D$1="ESPN",INDEX(Table2[Position],MATCH('Rankings Master'!$A37,Table2[Overall Rank],0)),IF('Rankings Master'!$D$1="NFL.com",INDEX(Table3[Position],MATCH('Rankings Master'!$A37,Table3[Rank],0)),INDEX(Sleeper!$C$2:$C$201,MATCH('Rankings Master'!A37,Sleeper!$A$2:$A$201,0))))</f>
        <v>WR</v>
      </c>
      <c r="F37">
        <f>INDEX(Table4[RK],MATCH('Rankings Master'!D37,Table4[PLAYER NAME],0))</f>
        <v>38</v>
      </c>
      <c r="G37">
        <f t="shared" si="6"/>
        <v>-4</v>
      </c>
      <c r="H37">
        <f t="shared" si="7"/>
        <v>-0.10526315789473684</v>
      </c>
      <c r="I37" t="str">
        <f t="shared" si="2"/>
        <v>Slightly Overvalued</v>
      </c>
      <c r="J37" t="str">
        <f t="shared" si="4"/>
        <v>Y</v>
      </c>
      <c r="K37">
        <f t="shared" si="8"/>
        <v>3</v>
      </c>
      <c r="L37" t="str">
        <f>IF(J37="M",COUNTIFS($J$4:J37,"M",$E$4:E37,E37)&amp;" - "&amp;K37,"N/A")</f>
        <v>N/A</v>
      </c>
      <c r="M37" t="str">
        <f>IFERROR(INDEX(PlayerSummaryTable[Rushing Yds],MATCH('Rankings Master'!D37,PlayerSummaryTable[Player],0)),"")</f>
        <v>N/A</v>
      </c>
      <c r="N37">
        <f>IFERROR(INDEX(PlayerSummaryTable[Receiving Yds],MATCH('Rankings Master'!D37,PlayerSummaryTable[Player],0)),"")</f>
        <v>874.5</v>
      </c>
      <c r="O37" t="str">
        <f>IFERROR(INDEX(PlayerSummaryTable[Passing Yds],MATCH('Rankings Master'!D37,PlayerSummaryTable[Player],0)),"")</f>
        <v>N/A</v>
      </c>
      <c r="U37" t="str">
        <f>IF(COUNTIF('Draft Log'!$B$2:$B$301,D37)&gt;0,"DRAFTED","")</f>
        <v>DRAFTED</v>
      </c>
      <c r="V37">
        <f>IFERROR(INDEX('Draft Log'!$A$2:$A$301,MATCH(D37,'Draft Log'!$B$2:$B$301,0)),"")</f>
        <v>38</v>
      </c>
      <c r="W37" t="str">
        <f>IFERROR(INDEX('Draft Log'!$C$2:$C$301,MATCH(D37,'Draft Log'!$B$2:$B$301,0)),"")</f>
        <v>dontsaynosayYA</v>
      </c>
    </row>
    <row r="38" spans="1:23">
      <c r="A38" s="1">
        <v>35</v>
      </c>
      <c r="B38" t="s">
        <v>600</v>
      </c>
      <c r="C38" t="s">
        <v>601</v>
      </c>
      <c r="D38" t="str">
        <f>IF($D$1="ESPN",INDEX(Table2[Mapped Name],MATCH('Rankings Master'!$A38,Table2[Overall Rank],0)),IF('Rankings Master'!$D$1="NFL.com",INDEX(Table3[Name Clean],MATCH('Rankings Master'!$A38,Table3[Rank],0)),IF('Rankings Master'!$D$1="Sleeper",INDEX(Sleeper!$B$2:$B$201,MATCH('Rankings Master'!$A38,Sleeper!$A$2:$A$201,0)),"Need platform")))</f>
        <v>Tetairoa McMillan</v>
      </c>
      <c r="E38" t="str">
        <f>IF($D$1="ESPN",INDEX(Table2[Position],MATCH('Rankings Master'!$A38,Table2[Overall Rank],0)),IF('Rankings Master'!$D$1="NFL.com",INDEX(Table3[Position],MATCH('Rankings Master'!$A38,Table3[Rank],0)),INDEX(Sleeper!$C$2:$C$201,MATCH('Rankings Master'!A38,Sleeper!$A$2:$A$201,0))))</f>
        <v>WR</v>
      </c>
      <c r="F38">
        <f>INDEX(Table4[RK],MATCH('Rankings Master'!D38,Table4[PLAYER NAME],0))</f>
        <v>37</v>
      </c>
      <c r="G38">
        <f t="shared" si="6"/>
        <v>-2</v>
      </c>
      <c r="H38">
        <f t="shared" si="7"/>
        <v>-5.4054054054054057E-2</v>
      </c>
      <c r="I38" t="str">
        <f t="shared" si="2"/>
        <v>Slightly Overvalued</v>
      </c>
      <c r="J38" t="str">
        <f t="shared" si="4"/>
        <v>Y</v>
      </c>
      <c r="K38">
        <f t="shared" si="8"/>
        <v>3</v>
      </c>
      <c r="L38" t="str">
        <f>IF(J38="M",COUNTIFS($J$4:J38,"M",$E$4:E38,E38)&amp;" - "&amp;K38,"N/A")</f>
        <v>N/A</v>
      </c>
      <c r="M38" t="str">
        <f>IFERROR(INDEX(PlayerSummaryTable[Rushing Yds],MATCH('Rankings Master'!D38,PlayerSummaryTable[Player],0)),"")</f>
        <v>N/A</v>
      </c>
      <c r="N38">
        <f>IFERROR(INDEX(PlayerSummaryTable[Receiving Yds],MATCH('Rankings Master'!D38,PlayerSummaryTable[Player],0)),"")</f>
        <v>949.5</v>
      </c>
      <c r="O38" t="str">
        <f>IFERROR(INDEX(PlayerSummaryTable[Passing Yds],MATCH('Rankings Master'!D38,PlayerSummaryTable[Player],0)),"")</f>
        <v>N/A</v>
      </c>
      <c r="U38" t="str">
        <f>IF(COUNTIF('Draft Log'!$B$2:$B$301,D38)&gt;0,"DRAFTED","")</f>
        <v>DRAFTED</v>
      </c>
      <c r="V38">
        <f>IFERROR(INDEX('Draft Log'!$A$2:$A$301,MATCH(D38,'Draft Log'!$B$2:$B$301,0)),"")</f>
        <v>39</v>
      </c>
      <c r="W38" t="str">
        <f>IFERROR(INDEX('Draft Log'!$C$2:$C$301,MATCH(D38,'Draft Log'!$B$2:$B$301,0)),"")</f>
        <v>Benjamins Bandits</v>
      </c>
    </row>
    <row r="39" spans="1:23">
      <c r="A39" s="1">
        <v>36</v>
      </c>
      <c r="B39" t="s">
        <v>602</v>
      </c>
      <c r="C39" t="s">
        <v>581</v>
      </c>
      <c r="D39" t="str">
        <f>IF($D$1="ESPN",INDEX(Table2[Mapped Name],MATCH('Rankings Master'!$A39,Table2[Overall Rank],0)),IF('Rankings Master'!$D$1="NFL.com",INDEX(Table3[Name Clean],MATCH('Rankings Master'!$A39,Table3[Rank],0)),IF('Rankings Master'!$D$1="Sleeper",INDEX(Sleeper!$B$2:$B$201,MATCH('Rankings Master'!$A39,Sleeper!$A$2:$A$201,0)),"Need platform")))</f>
        <v>Josh Allen</v>
      </c>
      <c r="E39" t="str">
        <f>IF($D$1="ESPN",INDEX(Table2[Position],MATCH('Rankings Master'!$A39,Table2[Overall Rank],0)),IF('Rankings Master'!$D$1="NFL.com",INDEX(Table3[Position],MATCH('Rankings Master'!$A39,Table3[Rank],0)),INDEX(Sleeper!$C$2:$C$201,MATCH('Rankings Master'!A39,Sleeper!$A$2:$A$201,0))))</f>
        <v>QB</v>
      </c>
      <c r="F39">
        <f>INDEX(Table4[RK],MATCH('Rankings Master'!D39,Table4[PLAYER NAME],0))</f>
        <v>25</v>
      </c>
      <c r="G39">
        <f t="shared" si="6"/>
        <v>11</v>
      </c>
      <c r="H39">
        <f t="shared" si="7"/>
        <v>0.44</v>
      </c>
      <c r="I39" t="str">
        <f t="shared" si="2"/>
        <v>Pretty Undervalued</v>
      </c>
      <c r="J39" t="str">
        <f t="shared" si="4"/>
        <v>Y</v>
      </c>
      <c r="K39">
        <f t="shared" si="8"/>
        <v>1</v>
      </c>
      <c r="L39" t="str">
        <f>IF(J39="M",COUNTIFS($J$4:J39,"M",$E$4:E39,E39)&amp;" - "&amp;K39,"N/A")</f>
        <v>N/A</v>
      </c>
      <c r="M39">
        <f>IFERROR(INDEX(PlayerSummaryTable[Rushing Yds],MATCH('Rankings Master'!D39,PlayerSummaryTable[Player],0)),"")</f>
        <v>499.5</v>
      </c>
      <c r="N39" t="str">
        <f>IFERROR(INDEX(PlayerSummaryTable[Receiving Yds],MATCH('Rankings Master'!D39,PlayerSummaryTable[Player],0)),"")</f>
        <v>N/A</v>
      </c>
      <c r="O39">
        <f>IFERROR(INDEX(PlayerSummaryTable[Passing Yds],MATCH('Rankings Master'!D39,PlayerSummaryTable[Player],0)),"")</f>
        <v>3624.5</v>
      </c>
      <c r="U39" t="str">
        <f>IF(COUNTIF('Draft Log'!$B$2:$B$301,D39)&gt;0,"DRAFTED","")</f>
        <v>DRAFTED</v>
      </c>
      <c r="V39">
        <f>IFERROR(INDEX('Draft Log'!$A$2:$A$301,MATCH(D39,'Draft Log'!$B$2:$B$301,0)),"")</f>
        <v>31</v>
      </c>
      <c r="W39" t="str">
        <f>IFERROR(INDEX('Draft Log'!$C$2:$C$301,MATCH(D39,'Draft Log'!$B$2:$B$301,0)),"")</f>
        <v>Double Chubb Chocolate Cookie</v>
      </c>
    </row>
    <row r="40" spans="1:23">
      <c r="A40" s="1">
        <v>37</v>
      </c>
      <c r="B40" t="s">
        <v>603</v>
      </c>
      <c r="C40" t="s">
        <v>604</v>
      </c>
      <c r="D40" t="str">
        <f>IF($D$1="ESPN",INDEX(Table2[Mapped Name],MATCH('Rankings Master'!$A40,Table2[Overall Rank],0)),IF('Rankings Master'!$D$1="NFL.com",INDEX(Table3[Name Clean],MATCH('Rankings Master'!$A40,Table3[Rank],0)),IF('Rankings Master'!$D$1="Sleeper",INDEX(Sleeper!$B$2:$B$201,MATCH('Rankings Master'!$A40,Sleeper!$A$2:$A$201,0)),"Need platform")))</f>
        <v>Kyren Williams</v>
      </c>
      <c r="E40" t="str">
        <f>IF($D$1="ESPN",INDEX(Table2[Position],MATCH('Rankings Master'!$A40,Table2[Overall Rank],0)),IF('Rankings Master'!$D$1="NFL.com",INDEX(Table3[Position],MATCH('Rankings Master'!$A40,Table3[Rank],0)),INDEX(Sleeper!$C$2:$C$201,MATCH('Rankings Master'!A40,Sleeper!$A$2:$A$201,0))))</f>
        <v>RB</v>
      </c>
      <c r="F40">
        <f>INDEX(Table4[RK],MATCH('Rankings Master'!D40,Table4[PLAYER NAME],0))</f>
        <v>30</v>
      </c>
      <c r="G40">
        <f t="shared" si="6"/>
        <v>7</v>
      </c>
      <c r="H40">
        <f t="shared" si="7"/>
        <v>0.23333333333333334</v>
      </c>
      <c r="I40" t="str">
        <f t="shared" si="2"/>
        <v>Pretty Undervalued</v>
      </c>
      <c r="J40" t="str">
        <f t="shared" si="4"/>
        <v>Y</v>
      </c>
      <c r="K40">
        <f t="shared" si="8"/>
        <v>2</v>
      </c>
      <c r="L40" t="str">
        <f>IF(J40="M",COUNTIFS($J$4:J40,"M",$E$4:E40,E40)&amp;" - "&amp;K40,"N/A")</f>
        <v>N/A</v>
      </c>
      <c r="M40">
        <f>IFERROR(INDEX(PlayerSummaryTable[Rushing Yds],MATCH('Rankings Master'!D40,PlayerSummaryTable[Player],0)),"")</f>
        <v>949.5</v>
      </c>
      <c r="N40" t="str">
        <f>IFERROR(INDEX(PlayerSummaryTable[Receiving Yds],MATCH('Rankings Master'!D40,PlayerSummaryTable[Player],0)),"")</f>
        <v>N/A</v>
      </c>
      <c r="O40" t="str">
        <f>IFERROR(INDEX(PlayerSummaryTable[Passing Yds],MATCH('Rankings Master'!D40,PlayerSummaryTable[Player],0)),"")</f>
        <v>N/A</v>
      </c>
      <c r="U40" t="str">
        <f>IF(COUNTIF('Draft Log'!$B$2:$B$301,D40)&gt;0,"DRAFTED","")</f>
        <v>DRAFTED</v>
      </c>
      <c r="V40">
        <f>IFERROR(INDEX('Draft Log'!$A$2:$A$301,MATCH(D40,'Draft Log'!$B$2:$B$301,0)),"")</f>
        <v>32</v>
      </c>
      <c r="W40" t="str">
        <f>IFERROR(INDEX('Draft Log'!$C$2:$C$301,MATCH(D40,'Draft Log'!$B$2:$B$301,0)),"")</f>
        <v>The Good, Bad and Ugly</v>
      </c>
    </row>
    <row r="41" spans="1:23">
      <c r="A41" s="1">
        <v>38</v>
      </c>
      <c r="B41" t="s">
        <v>605</v>
      </c>
      <c r="C41" t="s">
        <v>606</v>
      </c>
      <c r="D41" t="str">
        <f>IF($D$1="ESPN",INDEX(Table2[Mapped Name],MATCH('Rankings Master'!$A41,Table2[Overall Rank],0)),IF('Rankings Master'!$D$1="NFL.com",INDEX(Table3[Name Clean],MATCH('Rankings Master'!$A41,Table3[Rank],0)),IF('Rankings Master'!$D$1="Sleeper",INDEX(Sleeper!$B$2:$B$201,MATCH('Rankings Master'!$A41,Sleeper!$A$2:$A$201,0)),"Need platform")))</f>
        <v>Quinshon Judkins</v>
      </c>
      <c r="E41" t="str">
        <f>IF($D$1="ESPN",INDEX(Table2[Position],MATCH('Rankings Master'!$A41,Table2[Overall Rank],0)),IF('Rankings Master'!$D$1="NFL.com",INDEX(Table3[Position],MATCH('Rankings Master'!$A41,Table3[Rank],0)),INDEX(Sleeper!$C$2:$C$201,MATCH('Rankings Master'!A41,Sleeper!$A$2:$A$201,0))))</f>
        <v>RB</v>
      </c>
      <c r="F41">
        <f>INDEX(Table4[RK],MATCH('Rankings Master'!D41,Table4[PLAYER NAME],0))</f>
        <v>52</v>
      </c>
      <c r="G41">
        <f t="shared" si="6"/>
        <v>-14</v>
      </c>
      <c r="H41">
        <f t="shared" si="7"/>
        <v>-0.26923076923076922</v>
      </c>
      <c r="I41" t="str">
        <f t="shared" si="2"/>
        <v>Pretty Overvalued</v>
      </c>
      <c r="J41" t="str">
        <f t="shared" si="4"/>
        <v>Y</v>
      </c>
      <c r="K41">
        <f t="shared" si="8"/>
        <v>2</v>
      </c>
      <c r="L41" t="str">
        <f>IF(J41="M",COUNTIFS($J$4:J41,"M",$E$4:E41,E41)&amp;" - "&amp;K41,"N/A")</f>
        <v>N/A</v>
      </c>
      <c r="M41">
        <f>IFERROR(INDEX(PlayerSummaryTable[Rushing Yds],MATCH('Rankings Master'!D41,PlayerSummaryTable[Player],0)),"")</f>
        <v>874.5</v>
      </c>
      <c r="N41" t="str">
        <f>IFERROR(INDEX(PlayerSummaryTable[Receiving Yds],MATCH('Rankings Master'!D41,PlayerSummaryTable[Player],0)),"")</f>
        <v>N/A</v>
      </c>
      <c r="O41" t="str">
        <f>IFERROR(INDEX(PlayerSummaryTable[Passing Yds],MATCH('Rankings Master'!D41,PlayerSummaryTable[Player],0)),"")</f>
        <v>N/A</v>
      </c>
      <c r="U41" t="str">
        <f>IF(COUNTIF('Draft Log'!$B$2:$B$301,D41)&gt;0,"DRAFTED","")</f>
        <v>DRAFTED</v>
      </c>
      <c r="V41">
        <f>IFERROR(INDEX('Draft Log'!$A$2:$A$301,MATCH(D41,'Draft Log'!$B$2:$B$301,0)),"")</f>
        <v>42</v>
      </c>
      <c r="W41" t="str">
        <f>IFERROR(INDEX('Draft Log'!$C$2:$C$301,MATCH(D41,'Draft Log'!$B$2:$B$301,0)),"")</f>
        <v>Benjamins Bandits</v>
      </c>
    </row>
    <row r="42" spans="1:23">
      <c r="A42" s="1">
        <v>39</v>
      </c>
      <c r="B42" t="s">
        <v>607</v>
      </c>
      <c r="C42" t="s">
        <v>608</v>
      </c>
      <c r="D42" t="str">
        <f>IF($D$1="ESPN",INDEX(Table2[Mapped Name],MATCH('Rankings Master'!$A42,Table2[Overall Rank],0)),IF('Rankings Master'!$D$1="NFL.com",INDEX(Table3[Name Clean],MATCH('Rankings Master'!$A42,Table3[Rank],0)),IF('Rankings Master'!$D$1="Sleeper",INDEX(Sleeper!$B$2:$B$201,MATCH('Rankings Master'!$A42,Sleeper!$A$2:$A$201,0)),"Need platform")))</f>
        <v>Cam Skattebo</v>
      </c>
      <c r="E42" t="str">
        <f>IF($D$1="ESPN",INDEX(Table2[Position],MATCH('Rankings Master'!$A42,Table2[Overall Rank],0)),IF('Rankings Master'!$D$1="NFL.com",INDEX(Table3[Position],MATCH('Rankings Master'!$A42,Table3[Rank],0)),INDEX(Sleeper!$C$2:$C$201,MATCH('Rankings Master'!A42,Sleeper!$A$2:$A$201,0))))</f>
        <v>RB</v>
      </c>
      <c r="F42">
        <f>INDEX(Table4[RK],MATCH('Rankings Master'!D42,Table4[PLAYER NAME],0))</f>
        <v>56</v>
      </c>
      <c r="G42">
        <f t="shared" si="6"/>
        <v>-17</v>
      </c>
      <c r="H42">
        <f t="shared" si="7"/>
        <v>-0.30357142857142855</v>
      </c>
      <c r="I42" t="str">
        <f t="shared" si="2"/>
        <v>Pretty Overvalued</v>
      </c>
      <c r="J42" t="str">
        <f t="shared" si="4"/>
        <v>Y</v>
      </c>
      <c r="K42">
        <f t="shared" si="8"/>
        <v>2</v>
      </c>
      <c r="L42" t="str">
        <f>IF(J42="M",COUNTIFS($J$4:J42,"M",$E$4:E42,E42)&amp;" - "&amp;K42,"N/A")</f>
        <v>N/A</v>
      </c>
      <c r="M42" t="str">
        <f>IFERROR(INDEX(PlayerSummaryTable[Rushing Yds],MATCH('Rankings Master'!D42,PlayerSummaryTable[Player],0)),"")</f>
        <v/>
      </c>
      <c r="N42" t="str">
        <f>IFERROR(INDEX(PlayerSummaryTable[Receiving Yds],MATCH('Rankings Master'!D42,PlayerSummaryTable[Player],0)),"")</f>
        <v/>
      </c>
      <c r="O42" t="str">
        <f>IFERROR(INDEX(PlayerSummaryTable[Passing Yds],MATCH('Rankings Master'!D42,PlayerSummaryTable[Player],0)),"")</f>
        <v/>
      </c>
      <c r="U42" t="str">
        <f>IF(COUNTIF('Draft Log'!$B$2:$B$301,D42)&gt;0,"DRAFTED","")</f>
        <v>DRAFTED</v>
      </c>
      <c r="V42">
        <f>IFERROR(INDEX('Draft Log'!$A$2:$A$301,MATCH(D42,'Draft Log'!$B$2:$B$301,0)),"")</f>
        <v>57</v>
      </c>
      <c r="W42" t="str">
        <f>IFERROR(INDEX('Draft Log'!$C$2:$C$301,MATCH(D42,'Draft Log'!$B$2:$B$301,0)),"")</f>
        <v>Cut to the Chase</v>
      </c>
    </row>
    <row r="43" spans="1:23">
      <c r="A43" s="1">
        <v>40</v>
      </c>
      <c r="B43" t="s">
        <v>609</v>
      </c>
      <c r="C43" t="s">
        <v>610</v>
      </c>
      <c r="D43" t="str">
        <f>IF($D$1="ESPN",INDEX(Table2[Mapped Name],MATCH('Rankings Master'!$A43,Table2[Overall Rank],0)),IF('Rankings Master'!$D$1="NFL.com",INDEX(Table3[Name Clean],MATCH('Rankings Master'!$A43,Table3[Rank],0)),IF('Rankings Master'!$D$1="Sleeper",INDEX(Sleeper!$B$2:$B$201,MATCH('Rankings Master'!$A43,Sleeper!$A$2:$A$201,0)),"Need platform")))</f>
        <v>Bucky Irving</v>
      </c>
      <c r="E43" t="str">
        <f>IF($D$1="ESPN",INDEX(Table2[Position],MATCH('Rankings Master'!$A43,Table2[Overall Rank],0)),IF('Rankings Master'!$D$1="NFL.com",INDEX(Table3[Position],MATCH('Rankings Master'!$A43,Table3[Rank],0)),INDEX(Sleeper!$C$2:$C$201,MATCH('Rankings Master'!A43,Sleeper!$A$2:$A$201,0))))</f>
        <v>RB</v>
      </c>
      <c r="F43">
        <f>INDEX(Table4[RK],MATCH('Rankings Master'!D43,Table4[PLAYER NAME],0))</f>
        <v>51</v>
      </c>
      <c r="G43">
        <f t="shared" si="6"/>
        <v>-11</v>
      </c>
      <c r="H43">
        <f t="shared" si="7"/>
        <v>-0.21568627450980393</v>
      </c>
      <c r="I43" t="str">
        <f t="shared" si="2"/>
        <v>Pretty Overvalued</v>
      </c>
      <c r="J43" t="str">
        <f t="shared" si="4"/>
        <v>Y</v>
      </c>
      <c r="K43">
        <f t="shared" si="8"/>
        <v>2</v>
      </c>
      <c r="L43" t="str">
        <f>IF(J43="M",COUNTIFS($J$4:J43,"M",$E$4:E43,E43)&amp;" - "&amp;K43,"N/A")</f>
        <v>N/A</v>
      </c>
      <c r="M43">
        <f>IFERROR(INDEX(PlayerSummaryTable[Rushing Yds],MATCH('Rankings Master'!D43,PlayerSummaryTable[Player],0)),"")</f>
        <v>799.5</v>
      </c>
      <c r="N43" t="str">
        <f>IFERROR(INDEX(PlayerSummaryTable[Receiving Yds],MATCH('Rankings Master'!D43,PlayerSummaryTable[Player],0)),"")</f>
        <v>N/A</v>
      </c>
      <c r="O43" t="str">
        <f>IFERROR(INDEX(PlayerSummaryTable[Passing Yds],MATCH('Rankings Master'!D43,PlayerSummaryTable[Player],0)),"")</f>
        <v>N/A</v>
      </c>
      <c r="U43" t="str">
        <f>IF(COUNTIF('Draft Log'!$B$2:$B$301,D43)&gt;0,"DRAFTED","")</f>
        <v>DRAFTED</v>
      </c>
      <c r="V43">
        <f>IFERROR(INDEX('Draft Log'!$A$2:$A$301,MATCH(D43,'Draft Log'!$B$2:$B$301,0)),"")</f>
        <v>35</v>
      </c>
      <c r="W43" t="str">
        <f>IFERROR(INDEX('Draft Log'!$C$2:$C$301,MATCH(D43,'Draft Log'!$B$2:$B$301,0)),"")</f>
        <v>BEST COUNTRY IN THE WORLD</v>
      </c>
    </row>
    <row r="44" spans="1:23">
      <c r="A44" s="1">
        <v>41</v>
      </c>
      <c r="B44" t="s">
        <v>611</v>
      </c>
      <c r="C44" t="s">
        <v>612</v>
      </c>
      <c r="D44" t="str">
        <f>IF($D$1="ESPN",INDEX(Table2[Mapped Name],MATCH('Rankings Master'!$A44,Table2[Overall Rank],0)),IF('Rankings Master'!$D$1="NFL.com",INDEX(Table3[Name Clean],MATCH('Rankings Master'!$A44,Table3[Rank],0)),IF('Rankings Master'!$D$1="Sleeper",INDEX(Sleeper!$B$2:$B$201,MATCH('Rankings Master'!$A44,Sleeper!$A$2:$A$201,0)),"Need platform")))</f>
        <v>D'Andre Swift</v>
      </c>
      <c r="E44" t="str">
        <f>IF($D$1="ESPN",INDEX(Table2[Position],MATCH('Rankings Master'!$A44,Table2[Overall Rank],0)),IF('Rankings Master'!$D$1="NFL.com",INDEX(Table3[Position],MATCH('Rankings Master'!$A44,Table3[Rank],0)),INDEX(Sleeper!$C$2:$C$201,MATCH('Rankings Master'!A44,Sleeper!$A$2:$A$201,0))))</f>
        <v>RB</v>
      </c>
      <c r="F44">
        <f>INDEX(Table4[RK],MATCH('Rankings Master'!D44,Table4[PLAYER NAME],0))</f>
        <v>45</v>
      </c>
      <c r="G44">
        <f t="shared" si="6"/>
        <v>-4</v>
      </c>
      <c r="H44">
        <f t="shared" si="7"/>
        <v>-8.8888888888888892E-2</v>
      </c>
      <c r="I44" t="str">
        <f t="shared" si="2"/>
        <v>Slightly Overvalued</v>
      </c>
      <c r="J44" t="str">
        <f t="shared" si="4"/>
        <v>Y</v>
      </c>
      <c r="K44">
        <f t="shared" si="8"/>
        <v>2</v>
      </c>
      <c r="L44" t="str">
        <f>IF(J44="M",COUNTIFS($J$4:J44,"M",$E$4:E44,E44)&amp;" - "&amp;K44,"N/A")</f>
        <v>N/A</v>
      </c>
      <c r="M44">
        <f>IFERROR(INDEX(PlayerSummaryTable[Rushing Yds],MATCH('Rankings Master'!D44,PlayerSummaryTable[Player],0)),"")</f>
        <v>824.5</v>
      </c>
      <c r="N44" t="str">
        <f>IFERROR(INDEX(PlayerSummaryTable[Receiving Yds],MATCH('Rankings Master'!D44,PlayerSummaryTable[Player],0)),"")</f>
        <v>N/A</v>
      </c>
      <c r="O44" t="str">
        <f>IFERROR(INDEX(PlayerSummaryTable[Passing Yds],MATCH('Rankings Master'!D44,PlayerSummaryTable[Player],0)),"")</f>
        <v>N/A</v>
      </c>
      <c r="U44" t="str">
        <f>IF(COUNTIF('Draft Log'!$B$2:$B$301,D44)&gt;0,"DRAFTED","")</f>
        <v>DRAFTED</v>
      </c>
      <c r="V44">
        <f>IFERROR(INDEX('Draft Log'!$A$2:$A$301,MATCH(D44,'Draft Log'!$B$2:$B$301,0)),"")</f>
        <v>49</v>
      </c>
      <c r="W44" t="str">
        <f>IFERROR(INDEX('Draft Log'!$C$2:$C$301,MATCH(D44,'Draft Log'!$B$2:$B$301,0)),"")</f>
        <v>The Good, Bad and Ugly</v>
      </c>
    </row>
    <row r="45" spans="1:23">
      <c r="A45" s="1">
        <v>42</v>
      </c>
      <c r="B45" t="s">
        <v>613</v>
      </c>
      <c r="C45" t="s">
        <v>614</v>
      </c>
      <c r="D45" t="str">
        <f>IF($D$1="ESPN",INDEX(Table2[Mapped Name],MATCH('Rankings Master'!$A45,Table2[Overall Rank],0)),IF('Rankings Master'!$D$1="NFL.com",INDEX(Table3[Name Clean],MATCH('Rankings Master'!$A45,Table3[Rank],0)),IF('Rankings Master'!$D$1="Sleeper",INDEX(Sleeper!$B$2:$B$201,MATCH('Rankings Master'!$A45,Sleeper!$A$2:$A$201,0)),"Need platform")))</f>
        <v>Garrett Wilson</v>
      </c>
      <c r="E45" t="str">
        <f>IF($D$1="ESPN",INDEX(Table2[Position],MATCH('Rankings Master'!$A45,Table2[Overall Rank],0)),IF('Rankings Master'!$D$1="NFL.com",INDEX(Table3[Position],MATCH('Rankings Master'!$A45,Table3[Rank],0)),INDEX(Sleeper!$C$2:$C$201,MATCH('Rankings Master'!A45,Sleeper!$A$2:$A$201,0))))</f>
        <v>WR</v>
      </c>
      <c r="F45">
        <f>INDEX(Table4[RK],MATCH('Rankings Master'!D45,Table4[PLAYER NAME],0))</f>
        <v>47</v>
      </c>
      <c r="G45">
        <f t="shared" si="6"/>
        <v>-5</v>
      </c>
      <c r="H45">
        <f t="shared" si="7"/>
        <v>-0.10638297872340426</v>
      </c>
      <c r="I45" t="s">
        <v>615</v>
      </c>
      <c r="J45" t="str">
        <f t="shared" si="4"/>
        <v>Y</v>
      </c>
      <c r="K45">
        <f t="shared" si="8"/>
        <v>3</v>
      </c>
      <c r="L45" t="str">
        <f>IF(J45="M",COUNTIFS($J$4:J45,"M",$E$4:E45,E45)&amp;" - "&amp;K45,"N/A")</f>
        <v>N/A</v>
      </c>
      <c r="M45" t="str">
        <f>IFERROR(INDEX(PlayerSummaryTable[Rushing Yds],MATCH('Rankings Master'!D45,PlayerSummaryTable[Player],0)),"")</f>
        <v>N/A</v>
      </c>
      <c r="N45">
        <f>IFERROR(INDEX(PlayerSummaryTable[Receiving Yds],MATCH('Rankings Master'!D45,PlayerSummaryTable[Player],0)),"")</f>
        <v>999.5</v>
      </c>
      <c r="O45" t="str">
        <f>IFERROR(INDEX(PlayerSummaryTable[Passing Yds],MATCH('Rankings Master'!D45,PlayerSummaryTable[Player],0)),"")</f>
        <v>N/A</v>
      </c>
      <c r="U45" t="str">
        <f>IF(COUNTIF('Draft Log'!$B$2:$B$301,D45)&gt;0,"DRAFTED","")</f>
        <v>DRAFTED</v>
      </c>
      <c r="V45">
        <f>IFERROR(INDEX('Draft Log'!$A$2:$A$301,MATCH(D45,'Draft Log'!$B$2:$B$301,0)),"")</f>
        <v>52</v>
      </c>
      <c r="W45" t="str">
        <f>IFERROR(INDEX('Draft Log'!$C$2:$C$301,MATCH(D45,'Draft Log'!$B$2:$B$301,0)),"")</f>
        <v>The Good, Bad and Ugly</v>
      </c>
    </row>
    <row r="46" spans="1:23">
      <c r="A46" s="1">
        <v>43</v>
      </c>
      <c r="B46" t="s">
        <v>616</v>
      </c>
      <c r="C46" t="s">
        <v>617</v>
      </c>
      <c r="D46" t="str">
        <f>IF($D$1="ESPN",INDEX(Table2[Mapped Name],MATCH('Rankings Master'!$A46,Table2[Overall Rank],0)),IF('Rankings Master'!$D$1="NFL.com",INDEX(Table3[Name Clean],MATCH('Rankings Master'!$A46,Table3[Rank],0)),IF('Rankings Master'!$D$1="Sleeper",INDEX(Sleeper!$B$2:$B$201,MATCH('Rankings Master'!$A46,Sleeper!$A$2:$A$201,0)),"Need platform")))</f>
        <v>DeVonta Smith</v>
      </c>
      <c r="E46" t="str">
        <f>IF($D$1="ESPN",INDEX(Table2[Position],MATCH('Rankings Master'!$A46,Table2[Overall Rank],0)),IF('Rankings Master'!$D$1="NFL.com",INDEX(Table3[Position],MATCH('Rankings Master'!$A46,Table3[Rank],0)),INDEX(Sleeper!$C$2:$C$201,MATCH('Rankings Master'!A46,Sleeper!$A$2:$A$201,0))))</f>
        <v>WR</v>
      </c>
      <c r="F46">
        <f>INDEX(Table4[RK],MATCH('Rankings Master'!D46,Table4[PLAYER NAME],0))</f>
        <v>29</v>
      </c>
      <c r="G46">
        <f t="shared" si="6"/>
        <v>14</v>
      </c>
      <c r="H46">
        <f t="shared" si="7"/>
        <v>0.48275862068965519</v>
      </c>
      <c r="I46" t="str">
        <f t="shared" ref="I46:I77" si="9">IF(AND(H46 &gt; -1, H46 &lt;= -0.5), "Extremely Overvalued",
IF(AND(H46 &gt; -0.5, H46 &lt;= -0.15), "Pretty Overvalued",
IF(AND(H46 &gt; -0.15, H46 &lt; 0), "Slightly Overvalued",
IF(H46 = 0, "At ADP",
IF(AND(H46 &gt; 0, H46 &lt;= 0.15), "Slightly Undervalued",
IF(AND(H46 &gt; 0.15, H46 &lt;= 0.5), "Pretty Undervalued",
IF(AND(H46 &gt; 0.5, H46 &lt;= 1), "Extremely Undervalued", "")))))))</f>
        <v>Pretty Undervalued</v>
      </c>
      <c r="J46" t="str">
        <f t="shared" si="4"/>
        <v>M</v>
      </c>
      <c r="K46">
        <f t="shared" si="8"/>
        <v>3</v>
      </c>
      <c r="L46" t="str">
        <f>IF(J46="M",COUNTIFS($J$4:J46,"M",$E$4:E46,E46)&amp;" - "&amp;K46,"N/A")</f>
        <v>1 - 3</v>
      </c>
      <c r="M46" t="str">
        <f>IFERROR(INDEX(PlayerSummaryTable[Rushing Yds],MATCH('Rankings Master'!D46,PlayerSummaryTable[Player],0)),"")</f>
        <v>N/A</v>
      </c>
      <c r="N46">
        <f>IFERROR(INDEX(PlayerSummaryTable[Receiving Yds],MATCH('Rankings Master'!D46,PlayerSummaryTable[Player],0)),"")</f>
        <v>1099.5</v>
      </c>
      <c r="O46" t="str">
        <f>IFERROR(INDEX(PlayerSummaryTable[Passing Yds],MATCH('Rankings Master'!D46,PlayerSummaryTable[Player],0)),"")</f>
        <v>N/A</v>
      </c>
      <c r="U46" t="str">
        <f>IF(COUNTIF('Draft Log'!$B$2:$B$301,D46)&gt;0,"DRAFTED","")</f>
        <v>DRAFTED</v>
      </c>
      <c r="V46">
        <f>IFERROR(INDEX('Draft Log'!$A$2:$A$301,MATCH(D46,'Draft Log'!$B$2:$B$301,0)),"")</f>
        <v>33</v>
      </c>
      <c r="W46" t="str">
        <f>IFERROR(INDEX('Draft Log'!$C$2:$C$301,MATCH(D46,'Draft Log'!$B$2:$B$301,0)),"")</f>
        <v>Mustafa is Not Like Us</v>
      </c>
    </row>
    <row r="47" spans="1:23">
      <c r="A47" s="1">
        <v>44</v>
      </c>
      <c r="B47" t="s">
        <v>618</v>
      </c>
      <c r="C47" t="s">
        <v>619</v>
      </c>
      <c r="D47" t="str">
        <f>IF($D$1="ESPN",INDEX(Table2[Mapped Name],MATCH('Rankings Master'!$A47,Table2[Overall Rank],0)),IF('Rankings Master'!$D$1="NFL.com",INDEX(Table3[Name Clean],MATCH('Rankings Master'!$A47,Table3[Rank],0)),IF('Rankings Master'!$D$1="Sleeper",INDEX(Sleeper!$B$2:$B$201,MATCH('Rankings Master'!$A47,Sleeper!$A$2:$A$201,0)),"Need platform")))</f>
        <v>Rome Odunze</v>
      </c>
      <c r="E47" t="str">
        <f>IF($D$1="ESPN",INDEX(Table2[Position],MATCH('Rankings Master'!$A47,Table2[Overall Rank],0)),IF('Rankings Master'!$D$1="NFL.com",INDEX(Table3[Position],MATCH('Rankings Master'!$A47,Table3[Rank],0)),INDEX(Sleeper!$C$2:$C$201,MATCH('Rankings Master'!A47,Sleeper!$A$2:$A$201,0))))</f>
        <v>WR</v>
      </c>
      <c r="F47">
        <f>INDEX(Table4[RK],MATCH('Rankings Master'!D47,Table4[PLAYER NAME],0))</f>
        <v>59</v>
      </c>
      <c r="G47">
        <f t="shared" si="6"/>
        <v>-15</v>
      </c>
      <c r="H47">
        <f t="shared" si="7"/>
        <v>-0.25423728813559321</v>
      </c>
      <c r="I47" t="str">
        <f t="shared" si="9"/>
        <v>Pretty Overvalued</v>
      </c>
      <c r="J47" t="str">
        <f t="shared" si="4"/>
        <v>Y</v>
      </c>
      <c r="K47">
        <f t="shared" si="8"/>
        <v>3</v>
      </c>
      <c r="L47" t="str">
        <f>IF(J47="M",COUNTIFS($J$4:J47,"M",$E$4:E47,E47)&amp;" - "&amp;K47,"N/A")</f>
        <v>N/A</v>
      </c>
      <c r="M47" t="str">
        <f>IFERROR(INDEX(PlayerSummaryTable[Rushing Yds],MATCH('Rankings Master'!D47,PlayerSummaryTable[Player],0)),"")</f>
        <v>N/A</v>
      </c>
      <c r="N47">
        <f>IFERROR(INDEX(PlayerSummaryTable[Receiving Yds],MATCH('Rankings Master'!D47,PlayerSummaryTable[Player],0)),"")</f>
        <v>824.5</v>
      </c>
      <c r="O47" t="str">
        <f>IFERROR(INDEX(PlayerSummaryTable[Passing Yds],MATCH('Rankings Master'!D47,PlayerSummaryTable[Player],0)),"")</f>
        <v>N/A</v>
      </c>
      <c r="U47" t="str">
        <f>IF(COUNTIF('Draft Log'!$B$2:$B$301,D47)&gt;0,"DRAFTED","")</f>
        <v>DRAFTED</v>
      </c>
      <c r="V47">
        <f>IFERROR(INDEX('Draft Log'!$A$2:$A$301,MATCH(D47,'Draft Log'!$B$2:$B$301,0)),"")</f>
        <v>65</v>
      </c>
      <c r="W47" t="str">
        <f>IFERROR(INDEX('Draft Log'!$C$2:$C$301,MATCH(D47,'Draft Log'!$B$2:$B$301,0)),"")</f>
        <v>JJetts Skatt Hurts</v>
      </c>
    </row>
    <row r="48" spans="1:23">
      <c r="A48" s="1">
        <v>45</v>
      </c>
      <c r="B48" t="s">
        <v>620</v>
      </c>
      <c r="C48" t="s">
        <v>621</v>
      </c>
      <c r="D48" t="str">
        <f>IF($D$1="ESPN",INDEX(Table2[Mapped Name],MATCH('Rankings Master'!$A48,Table2[Overall Rank],0)),IF('Rankings Master'!$D$1="NFL.com",INDEX(Table3[Name Clean],MATCH('Rankings Master'!$A48,Table3[Rank],0)),IF('Rankings Master'!$D$1="Sleeper",INDEX(Sleeper!$B$2:$B$201,MATCH('Rankings Master'!$A48,Sleeper!$A$2:$A$201,0)),"Need platform")))</f>
        <v>Tee Higgins</v>
      </c>
      <c r="E48" t="str">
        <f>IF($D$1="ESPN",INDEX(Table2[Position],MATCH('Rankings Master'!$A48,Table2[Overall Rank],0)),IF('Rankings Master'!$D$1="NFL.com",INDEX(Table3[Position],MATCH('Rankings Master'!$A48,Table3[Rank],0)),INDEX(Sleeper!$C$2:$C$201,MATCH('Rankings Master'!A48,Sleeper!$A$2:$A$201,0))))</f>
        <v>WR</v>
      </c>
      <c r="F48">
        <f>INDEX(Table4[RK],MATCH('Rankings Master'!D48,Table4[PLAYER NAME],0))</f>
        <v>33</v>
      </c>
      <c r="G48">
        <f t="shared" si="6"/>
        <v>12</v>
      </c>
      <c r="H48">
        <f t="shared" si="7"/>
        <v>0.36363636363636365</v>
      </c>
      <c r="I48" t="str">
        <f t="shared" si="9"/>
        <v>Pretty Undervalued</v>
      </c>
      <c r="J48" t="str">
        <f t="shared" si="4"/>
        <v>Y</v>
      </c>
      <c r="K48">
        <f t="shared" si="8"/>
        <v>3</v>
      </c>
      <c r="L48" t="str">
        <f>IF(J48="M",COUNTIFS($J$4:J48,"M",$E$4:E48,E48)&amp;" - "&amp;K48,"N/A")</f>
        <v>N/A</v>
      </c>
      <c r="M48" t="str">
        <f>IFERROR(INDEX(PlayerSummaryTable[Rushing Yds],MATCH('Rankings Master'!D48,PlayerSummaryTable[Player],0)),"")</f>
        <v>N/A</v>
      </c>
      <c r="N48">
        <f>IFERROR(INDEX(PlayerSummaryTable[Receiving Yds],MATCH('Rankings Master'!D48,PlayerSummaryTable[Player],0)),"")</f>
        <v>874.5</v>
      </c>
      <c r="O48" t="str">
        <f>IFERROR(INDEX(PlayerSummaryTable[Passing Yds],MATCH('Rankings Master'!D48,PlayerSummaryTable[Player],0)),"")</f>
        <v>N/A</v>
      </c>
      <c r="U48" t="str">
        <f>IF(COUNTIF('Draft Log'!$B$2:$B$301,D48)&gt;0,"DRAFTED","")</f>
        <v>DRAFTED</v>
      </c>
      <c r="V48">
        <f>IFERROR(INDEX('Draft Log'!$A$2:$A$301,MATCH(D48,'Draft Log'!$B$2:$B$301,0)),"")</f>
        <v>51</v>
      </c>
      <c r="W48" t="str">
        <f>IFERROR(INDEX('Draft Log'!$C$2:$C$301,MATCH(D48,'Draft Log'!$B$2:$B$301,0)),"")</f>
        <v>Double Chubb Chocolate Cookie</v>
      </c>
    </row>
    <row r="49" spans="1:23">
      <c r="A49" s="1">
        <v>46</v>
      </c>
      <c r="B49" t="s">
        <v>622</v>
      </c>
      <c r="C49" t="s">
        <v>623</v>
      </c>
      <c r="D49" t="str">
        <f>IF($D$1="ESPN",INDEX(Table2[Mapped Name],MATCH('Rankings Master'!$A49,Table2[Overall Rank],0)),IF('Rankings Master'!$D$1="NFL.com",INDEX(Table3[Name Clean],MATCH('Rankings Master'!$A49,Table3[Rank],0)),IF('Rankings Master'!$D$1="Sleeper",INDEX(Sleeper!$B$2:$B$201,MATCH('Rankings Master'!$A49,Sleeper!$A$2:$A$201,0)),"Need platform")))</f>
        <v>Terry McLaurin</v>
      </c>
      <c r="E49" t="str">
        <f>IF($D$1="ESPN",INDEX(Table2[Position],MATCH('Rankings Master'!$A49,Table2[Overall Rank],0)),IF('Rankings Master'!$D$1="NFL.com",INDEX(Table3[Position],MATCH('Rankings Master'!$A49,Table3[Rank],0)),INDEX(Sleeper!$C$2:$C$201,MATCH('Rankings Master'!A49,Sleeper!$A$2:$A$201,0))))</f>
        <v>WR</v>
      </c>
      <c r="F49">
        <f>INDEX(Table4[RK],MATCH('Rankings Master'!D49,Table4[PLAYER NAME],0))</f>
        <v>49</v>
      </c>
      <c r="G49">
        <f t="shared" si="6"/>
        <v>-3</v>
      </c>
      <c r="H49">
        <f t="shared" si="7"/>
        <v>-6.1224489795918366E-2</v>
      </c>
      <c r="I49" t="str">
        <f t="shared" si="9"/>
        <v>Slightly Overvalued</v>
      </c>
      <c r="J49" t="str">
        <f t="shared" si="4"/>
        <v>Y</v>
      </c>
      <c r="K49">
        <f t="shared" si="8"/>
        <v>3</v>
      </c>
      <c r="L49" t="str">
        <f>IF(J49="M",COUNTIFS($J$4:J49,"M",$E$4:E49,E49)&amp;" - "&amp;K49,"N/A")</f>
        <v>N/A</v>
      </c>
      <c r="M49" t="str">
        <f>IFERROR(INDEX(PlayerSummaryTable[Rushing Yds],MATCH('Rankings Master'!D49,PlayerSummaryTable[Player],0)),"")</f>
        <v>N/A</v>
      </c>
      <c r="N49">
        <f>IFERROR(INDEX(PlayerSummaryTable[Receiving Yds],MATCH('Rankings Master'!D49,PlayerSummaryTable[Player],0)),"")</f>
        <v>924.5</v>
      </c>
      <c r="O49" t="str">
        <f>IFERROR(INDEX(PlayerSummaryTable[Passing Yds],MATCH('Rankings Master'!D49,PlayerSummaryTable[Player],0)),"")</f>
        <v>N/A</v>
      </c>
      <c r="U49" t="str">
        <f>IF(COUNTIF('Draft Log'!$B$2:$B$301,D49)&gt;0,"DRAFTED","")</f>
        <v>DRAFTED</v>
      </c>
      <c r="V49">
        <f>IFERROR(INDEX('Draft Log'!$A$2:$A$301,MATCH(D49,'Draft Log'!$B$2:$B$301,0)),"")</f>
        <v>54</v>
      </c>
      <c r="W49" t="str">
        <f>IFERROR(INDEX('Draft Log'!$C$2:$C$301,MATCH(D49,'Draft Log'!$B$2:$B$301,0)),"")</f>
        <v>Eight Bell Tolls</v>
      </c>
    </row>
    <row r="50" spans="1:23">
      <c r="A50" s="1">
        <v>47</v>
      </c>
      <c r="B50" t="s">
        <v>613</v>
      </c>
      <c r="C50" t="s">
        <v>624</v>
      </c>
      <c r="D50" t="str">
        <f>IF($D$1="ESPN",INDEX(Table2[Mapped Name],MATCH('Rankings Master'!$A50,Table2[Overall Rank],0)),IF('Rankings Master'!$D$1="NFL.com",INDEX(Table3[Name Clean],MATCH('Rankings Master'!$A50,Table3[Rank],0)),IF('Rankings Master'!$D$1="Sleeper",INDEX(Sleeper!$B$2:$B$201,MATCH('Rankings Master'!$A50,Sleeper!$A$2:$A$201,0)),"Need platform")))</f>
        <v>Ladd McConkey</v>
      </c>
      <c r="E50" t="str">
        <f>IF($D$1="ESPN",INDEX(Table2[Position],MATCH('Rankings Master'!$A50,Table2[Overall Rank],0)),IF('Rankings Master'!$D$1="NFL.com",INDEX(Table3[Position],MATCH('Rankings Master'!$A50,Table3[Rank],0)),INDEX(Sleeper!$C$2:$C$201,MATCH('Rankings Master'!A50,Sleeper!$A$2:$A$201,0))))</f>
        <v>WR</v>
      </c>
      <c r="F50">
        <f>INDEX(Table4[RK],MATCH('Rankings Master'!D50,Table4[PLAYER NAME],0))</f>
        <v>41</v>
      </c>
      <c r="G50">
        <f t="shared" si="6"/>
        <v>6</v>
      </c>
      <c r="H50">
        <f t="shared" si="7"/>
        <v>0.14634146341463414</v>
      </c>
      <c r="I50" t="str">
        <f t="shared" si="9"/>
        <v>Slightly Undervalued</v>
      </c>
      <c r="J50" t="str">
        <f t="shared" si="4"/>
        <v>Y</v>
      </c>
      <c r="K50">
        <f t="shared" si="8"/>
        <v>3</v>
      </c>
      <c r="L50" t="str">
        <f>IF(J50="M",COUNTIFS($J$4:J50,"M",$E$4:E50,E50)&amp;" - "&amp;K50,"N/A")</f>
        <v>N/A</v>
      </c>
      <c r="M50" t="str">
        <f>IFERROR(INDEX(PlayerSummaryTable[Rushing Yds],MATCH('Rankings Master'!D50,PlayerSummaryTable[Player],0)),"")</f>
        <v>N/A</v>
      </c>
      <c r="N50">
        <f>IFERROR(INDEX(PlayerSummaryTable[Receiving Yds],MATCH('Rankings Master'!D50,PlayerSummaryTable[Player],0)),"")</f>
        <v>899.5</v>
      </c>
      <c r="O50" t="str">
        <f>IFERROR(INDEX(PlayerSummaryTable[Passing Yds],MATCH('Rankings Master'!D50,PlayerSummaryTable[Player],0)),"")</f>
        <v>N/A</v>
      </c>
      <c r="U50" t="str">
        <f>IF(COUNTIF('Draft Log'!$B$2:$B$301,D50)&gt;0,"DRAFTED","")</f>
        <v>DRAFTED</v>
      </c>
      <c r="V50">
        <f>IFERROR(INDEX('Draft Log'!$A$2:$A$301,MATCH(D50,'Draft Log'!$B$2:$B$301,0)),"")</f>
        <v>37</v>
      </c>
      <c r="W50" t="str">
        <f>IFERROR(INDEX('Draft Log'!$C$2:$C$301,MATCH(D50,'Draft Log'!$B$2:$B$301,0)),"")</f>
        <v>Cut to the Chase</v>
      </c>
    </row>
    <row r="51" spans="1:23">
      <c r="A51" s="1">
        <v>48</v>
      </c>
      <c r="B51" t="s">
        <v>516</v>
      </c>
      <c r="C51" t="s">
        <v>625</v>
      </c>
      <c r="D51" t="str">
        <f>IF($D$1="ESPN",INDEX(Table2[Mapped Name],MATCH('Rankings Master'!$A51,Table2[Overall Rank],0)),IF('Rankings Master'!$D$1="NFL.com",INDEX(Table3[Name Clean],MATCH('Rankings Master'!$A51,Table3[Rank],0)),IF('Rankings Master'!$D$1="Sleeper",INDEX(Sleeper!$B$2:$B$201,MATCH('Rankings Master'!$A51,Sleeper!$A$2:$A$201,0)),"Need platform")))</f>
        <v>Jameson Williams</v>
      </c>
      <c r="E51" t="str">
        <f>IF($D$1="ESPN",INDEX(Table2[Position],MATCH('Rankings Master'!$A51,Table2[Overall Rank],0)),IF('Rankings Master'!$D$1="NFL.com",INDEX(Table3[Position],MATCH('Rankings Master'!$A51,Table3[Rank],0)),INDEX(Sleeper!$C$2:$C$201,MATCH('Rankings Master'!A51,Sleeper!$A$2:$A$201,0))))</f>
        <v>WR</v>
      </c>
      <c r="F51">
        <f>INDEX(Table4[RK],MATCH('Rankings Master'!D51,Table4[PLAYER NAME],0))</f>
        <v>46</v>
      </c>
      <c r="G51">
        <f t="shared" si="6"/>
        <v>2</v>
      </c>
      <c r="H51">
        <f t="shared" si="7"/>
        <v>4.3478260869565216E-2</v>
      </c>
      <c r="I51" t="str">
        <f t="shared" si="9"/>
        <v>Slightly Undervalued</v>
      </c>
      <c r="J51" t="str">
        <f t="shared" si="4"/>
        <v>M</v>
      </c>
      <c r="K51">
        <f t="shared" si="8"/>
        <v>3</v>
      </c>
      <c r="L51" t="str">
        <f>IF(J51="M",COUNTIFS($J$4:J51,"M",$E$4:E51,E51)&amp;" - "&amp;K51,"N/A")</f>
        <v>2 - 3</v>
      </c>
      <c r="M51" t="str">
        <f>IFERROR(INDEX(PlayerSummaryTable[Rushing Yds],MATCH('Rankings Master'!D51,PlayerSummaryTable[Player],0)),"")</f>
        <v>N/A</v>
      </c>
      <c r="N51">
        <f>IFERROR(INDEX(PlayerSummaryTable[Receiving Yds],MATCH('Rankings Master'!D51,PlayerSummaryTable[Player],0)),"")</f>
        <v>924.5</v>
      </c>
      <c r="O51" t="str">
        <f>IFERROR(INDEX(PlayerSummaryTable[Passing Yds],MATCH('Rankings Master'!D51,PlayerSummaryTable[Player],0)),"")</f>
        <v>N/A</v>
      </c>
      <c r="U51" t="str">
        <f>IF(COUNTIF('Draft Log'!$B$2:$B$301,D51)&gt;0,"DRAFTED","")</f>
        <v>DRAFTED</v>
      </c>
      <c r="V51">
        <f>IFERROR(INDEX('Draft Log'!$A$2:$A$301,MATCH(D51,'Draft Log'!$B$2:$B$301,0)),"")</f>
        <v>53</v>
      </c>
      <c r="W51" t="str">
        <f>IFERROR(INDEX('Draft Log'!$C$2:$C$301,MATCH(D51,'Draft Log'!$B$2:$B$301,0)),"")</f>
        <v>Mustafa is Not Like Us</v>
      </c>
    </row>
    <row r="52" spans="1:23">
      <c r="A52" s="1">
        <v>49</v>
      </c>
      <c r="B52" t="s">
        <v>626</v>
      </c>
      <c r="C52" t="s">
        <v>627</v>
      </c>
      <c r="D52" t="str">
        <f>IF($D$1="ESPN",INDEX(Table2[Mapped Name],MATCH('Rankings Master'!$A52,Table2[Overall Rank],0)),IF('Rankings Master'!$D$1="NFL.com",INDEX(Table3[Name Clean],MATCH('Rankings Master'!$A52,Table3[Rank],0)),IF('Rankings Master'!$D$1="Sleeper",INDEX(Sleeper!$B$2:$B$201,MATCH('Rankings Master'!$A52,Sleeper!$A$2:$A$201,0)),"Need platform")))</f>
        <v>Colston Loveland</v>
      </c>
      <c r="E52" t="str">
        <f>IF($D$1="ESPN",INDEX(Table2[Position],MATCH('Rankings Master'!$A52,Table2[Overall Rank],0)),IF('Rankings Master'!$D$1="NFL.com",INDEX(Table3[Position],MATCH('Rankings Master'!$A52,Table3[Rank],0)),INDEX(Sleeper!$C$2:$C$201,MATCH('Rankings Master'!A52,Sleeper!$A$2:$A$201,0))))</f>
        <v>TE</v>
      </c>
      <c r="F52">
        <f>INDEX(Table4[RK],MATCH('Rankings Master'!D52,Table4[PLAYER NAME],0))</f>
        <v>36</v>
      </c>
      <c r="G52">
        <f t="shared" si="6"/>
        <v>13</v>
      </c>
      <c r="H52">
        <f t="shared" si="7"/>
        <v>0.3611111111111111</v>
      </c>
      <c r="I52" t="str">
        <f t="shared" si="9"/>
        <v>Pretty Undervalued</v>
      </c>
      <c r="J52" t="str">
        <f t="shared" si="4"/>
        <v>Y</v>
      </c>
      <c r="K52">
        <f t="shared" si="8"/>
        <v>4</v>
      </c>
      <c r="L52" t="str">
        <f>IF(J52="M",COUNTIFS($J$4:J52,"M",$E$4:E52,E52)&amp;" - "&amp;K52,"N/A")</f>
        <v>N/A</v>
      </c>
      <c r="M52" t="str">
        <f>IFERROR(INDEX(PlayerSummaryTable[Rushing Yds],MATCH('Rankings Master'!D52,PlayerSummaryTable[Player],0)),"")</f>
        <v>N/A</v>
      </c>
      <c r="N52">
        <f>IFERROR(INDEX(PlayerSummaryTable[Receiving Yds],MATCH('Rankings Master'!D52,PlayerSummaryTable[Player],0)),"")</f>
        <v>824.5</v>
      </c>
      <c r="O52" t="str">
        <f>IFERROR(INDEX(PlayerSummaryTable[Passing Yds],MATCH('Rankings Master'!D52,PlayerSummaryTable[Player],0)),"")</f>
        <v>N/A</v>
      </c>
      <c r="U52" t="str">
        <f>IF(COUNTIF('Draft Log'!$B$2:$B$301,D52)&gt;0,"DRAFTED","")</f>
        <v>DRAFTED</v>
      </c>
      <c r="V52">
        <f>IFERROR(INDEX('Draft Log'!$A$2:$A$301,MATCH(D52,'Draft Log'!$B$2:$B$301,0)),"")</f>
        <v>41</v>
      </c>
      <c r="W52" t="str">
        <f>IFERROR(INDEX('Draft Log'!$C$2:$C$301,MATCH(D52,'Draft Log'!$B$2:$B$301,0)),"")</f>
        <v>Team Afeef</v>
      </c>
    </row>
    <row r="53" spans="1:23">
      <c r="A53" s="1">
        <v>50</v>
      </c>
      <c r="B53" t="s">
        <v>628</v>
      </c>
      <c r="C53" t="s">
        <v>629</v>
      </c>
      <c r="D53" t="str">
        <f>IF($D$1="ESPN",INDEX(Table2[Mapped Name],MATCH('Rankings Master'!$A53,Table2[Overall Rank],0)),IF('Rankings Master'!$D$1="NFL.com",INDEX(Table3[Name Clean],MATCH('Rankings Master'!$A53,Table3[Rank],0)),IF('Rankings Master'!$D$1="Sleeper",INDEX(Sleeper!$B$2:$B$201,MATCH('Rankings Master'!$A53,Sleeper!$A$2:$A$201,0)),"Need platform")))</f>
        <v>Tyler Warren</v>
      </c>
      <c r="E53" t="str">
        <f>IF($D$1="ESPN",INDEX(Table2[Position],MATCH('Rankings Master'!$A53,Table2[Overall Rank],0)),IF('Rankings Master'!$D$1="NFL.com",INDEX(Table3[Position],MATCH('Rankings Master'!$A53,Table3[Rank],0)),INDEX(Sleeper!$C$2:$C$201,MATCH('Rankings Master'!A53,Sleeper!$A$2:$A$201,0))))</f>
        <v>TE</v>
      </c>
      <c r="F53">
        <f>INDEX(Table4[RK],MATCH('Rankings Master'!D53,Table4[PLAYER NAME],0))</f>
        <v>63</v>
      </c>
      <c r="G53">
        <f t="shared" si="6"/>
        <v>-13</v>
      </c>
      <c r="H53">
        <f t="shared" si="7"/>
        <v>-0.20634920634920634</v>
      </c>
      <c r="I53" t="str">
        <f t="shared" si="9"/>
        <v>Pretty Overvalued</v>
      </c>
      <c r="J53" t="str">
        <f t="shared" si="4"/>
        <v>Y</v>
      </c>
      <c r="K53">
        <f t="shared" si="8"/>
        <v>4</v>
      </c>
      <c r="L53" t="str">
        <f>IF(J53="M",COUNTIFS($J$4:J53,"M",$E$4:E53,E53)&amp;" - "&amp;K53,"N/A")</f>
        <v>N/A</v>
      </c>
      <c r="M53" t="str">
        <f>IFERROR(INDEX(PlayerSummaryTable[Rushing Yds],MATCH('Rankings Master'!D53,PlayerSummaryTable[Player],0)),"")</f>
        <v>N/A</v>
      </c>
      <c r="N53">
        <f>IFERROR(INDEX(PlayerSummaryTable[Receiving Yds],MATCH('Rankings Master'!D53,PlayerSummaryTable[Player],0)),"")</f>
        <v>774.5</v>
      </c>
      <c r="O53" t="str">
        <f>IFERROR(INDEX(PlayerSummaryTable[Passing Yds],MATCH('Rankings Master'!D53,PlayerSummaryTable[Player],0)),"")</f>
        <v>N/A</v>
      </c>
      <c r="U53" t="str">
        <f>IF(COUNTIF('Draft Log'!$B$2:$B$301,D53)&gt;0,"DRAFTED","")</f>
        <v>DRAFTED</v>
      </c>
      <c r="V53">
        <f>IFERROR(INDEX('Draft Log'!$A$2:$A$301,MATCH(D53,'Draft Log'!$B$2:$B$301,0)),"")</f>
        <v>44</v>
      </c>
      <c r="W53" t="str">
        <f>IFERROR(INDEX('Draft Log'!$C$2:$C$301,MATCH(D53,'Draft Log'!$B$2:$B$301,0)),"")</f>
        <v>Cut to the Chase</v>
      </c>
    </row>
    <row r="54" spans="1:23">
      <c r="A54" s="1">
        <v>51</v>
      </c>
      <c r="B54" t="s">
        <v>605</v>
      </c>
      <c r="C54" t="s">
        <v>630</v>
      </c>
      <c r="D54" t="str">
        <f>IF($D$1="ESPN",INDEX(Table2[Mapped Name],MATCH('Rankings Master'!$A54,Table2[Overall Rank],0)),IF('Rankings Master'!$D$1="NFL.com",INDEX(Table3[Name Clean],MATCH('Rankings Master'!$A54,Table3[Rank],0)),IF('Rankings Master'!$D$1="Sleeper",INDEX(Sleeper!$B$2:$B$201,MATCH('Rankings Master'!$A54,Sleeper!$A$2:$A$201,0)),"Need platform")))</f>
        <v>Jaylen Waddle</v>
      </c>
      <c r="E54" t="str">
        <f>IF($D$1="ESPN",INDEX(Table2[Position],MATCH('Rankings Master'!$A54,Table2[Overall Rank],0)),IF('Rankings Master'!$D$1="NFL.com",INDEX(Table3[Position],MATCH('Rankings Master'!$A54,Table3[Rank],0)),INDEX(Sleeper!$C$2:$C$201,MATCH('Rankings Master'!A54,Sleeper!$A$2:$A$201,0))))</f>
        <v>WR</v>
      </c>
      <c r="F54">
        <f>INDEX(Table4[RK],MATCH('Rankings Master'!D54,Table4[PLAYER NAME],0))</f>
        <v>40</v>
      </c>
      <c r="G54">
        <f t="shared" si="6"/>
        <v>11</v>
      </c>
      <c r="H54">
        <f t="shared" si="7"/>
        <v>0.27500000000000002</v>
      </c>
      <c r="I54" t="str">
        <f t="shared" si="9"/>
        <v>Pretty Undervalued</v>
      </c>
      <c r="J54" t="str">
        <f t="shared" si="4"/>
        <v>Y</v>
      </c>
      <c r="K54">
        <f t="shared" si="8"/>
        <v>3</v>
      </c>
      <c r="L54" t="str">
        <f>IF(J54="M",COUNTIFS($J$4:J54,"M",$E$4:E54,E54)&amp;" - "&amp;K54,"N/A")</f>
        <v>N/A</v>
      </c>
      <c r="M54" t="str">
        <f>IFERROR(INDEX(PlayerSummaryTable[Rushing Yds],MATCH('Rankings Master'!D54,PlayerSummaryTable[Player],0)),"")</f>
        <v>N/A</v>
      </c>
      <c r="N54">
        <f>IFERROR(INDEX(PlayerSummaryTable[Receiving Yds],MATCH('Rankings Master'!D54,PlayerSummaryTable[Player],0)),"")</f>
        <v>924.5</v>
      </c>
      <c r="O54" t="str">
        <f>IFERROR(INDEX(PlayerSummaryTable[Passing Yds],MATCH('Rankings Master'!D54,PlayerSummaryTable[Player],0)),"")</f>
        <v>N/A</v>
      </c>
      <c r="U54" t="str">
        <f>IF(COUNTIF('Draft Log'!$B$2:$B$301,D54)&gt;0,"DRAFTED","")</f>
        <v>DRAFTED</v>
      </c>
      <c r="V54">
        <f>IFERROR(INDEX('Draft Log'!$A$2:$A$301,MATCH(D54,'Draft Log'!$B$2:$B$301,0)),"")</f>
        <v>40</v>
      </c>
      <c r="W54" t="str">
        <f>IFERROR(INDEX('Draft Log'!$C$2:$C$301,MATCH(D54,'Draft Log'!$B$2:$B$301,0)),"")</f>
        <v>Team Afeef</v>
      </c>
    </row>
    <row r="55" spans="1:23">
      <c r="A55" s="1">
        <v>52</v>
      </c>
      <c r="B55" t="s">
        <v>631</v>
      </c>
      <c r="C55" t="s">
        <v>632</v>
      </c>
      <c r="D55" t="str">
        <f>IF($D$1="ESPN",INDEX(Table2[Mapped Name],MATCH('Rankings Master'!$A55,Table2[Overall Rank],0)),IF('Rankings Master'!$D$1="NFL.com",INDEX(Table3[Name Clean],MATCH('Rankings Master'!$A55,Table3[Rank],0)),IF('Rankings Master'!$D$1="Sleeper",INDEX(Sleeper!$B$2:$B$201,MATCH('Rankings Master'!$A55,Sleeper!$A$2:$A$201,0)),"Need platform")))</f>
        <v>DJ Moore</v>
      </c>
      <c r="E55" t="str">
        <f>IF($D$1="ESPN",INDEX(Table2[Position],MATCH('Rankings Master'!$A55,Table2[Overall Rank],0)),IF('Rankings Master'!$D$1="NFL.com",INDEX(Table3[Position],MATCH('Rankings Master'!$A55,Table3[Rank],0)),INDEX(Sleeper!$C$2:$C$201,MATCH('Rankings Master'!A55,Sleeper!$A$2:$A$201,0))))</f>
        <v>WR</v>
      </c>
      <c r="F55">
        <f>INDEX(Table4[RK],MATCH('Rankings Master'!D55,Table4[PLAYER NAME],0))</f>
        <v>58</v>
      </c>
      <c r="G55">
        <f t="shared" si="6"/>
        <v>-6</v>
      </c>
      <c r="H55">
        <f t="shared" si="7"/>
        <v>-0.10344827586206896</v>
      </c>
      <c r="I55" t="str">
        <f t="shared" si="9"/>
        <v>Slightly Overvalued</v>
      </c>
      <c r="J55" t="str">
        <f t="shared" si="4"/>
        <v>Y</v>
      </c>
      <c r="K55">
        <f t="shared" si="8"/>
        <v>3</v>
      </c>
      <c r="L55" t="str">
        <f>IF(J55="M",COUNTIFS($J$4:J55,"M",$E$4:E55,E55)&amp;" - "&amp;K55,"N/A")</f>
        <v>N/A</v>
      </c>
      <c r="M55" t="str">
        <f>IFERROR(INDEX(PlayerSummaryTable[Rushing Yds],MATCH('Rankings Master'!D55,PlayerSummaryTable[Player],0)),"")</f>
        <v>N/A</v>
      </c>
      <c r="N55">
        <f>IFERROR(INDEX(PlayerSummaryTable[Receiving Yds],MATCH('Rankings Master'!D55,PlayerSummaryTable[Player],0)),"")</f>
        <v>849.5</v>
      </c>
      <c r="O55" t="str">
        <f>IFERROR(INDEX(PlayerSummaryTable[Passing Yds],MATCH('Rankings Master'!D55,PlayerSummaryTable[Player],0)),"")</f>
        <v>N/A</v>
      </c>
      <c r="U55" t="str">
        <f>IF(COUNTIF('Draft Log'!$B$2:$B$301,D55)&gt;0,"DRAFTED","")</f>
        <v>DRAFTED</v>
      </c>
      <c r="V55">
        <f>IFERROR(INDEX('Draft Log'!$A$2:$A$301,MATCH(D55,'Draft Log'!$B$2:$B$301,0)),"")</f>
        <v>46</v>
      </c>
      <c r="W55" t="str">
        <f>IFERROR(INDEX('Draft Log'!$C$2:$C$301,MATCH(D55,'Draft Log'!$B$2:$B$301,0)),"")</f>
        <v>BEST COUNTRY IN THE WORLD</v>
      </c>
    </row>
    <row r="56" spans="1:23">
      <c r="A56" s="1">
        <v>53</v>
      </c>
      <c r="B56" t="s">
        <v>633</v>
      </c>
      <c r="C56" t="s">
        <v>634</v>
      </c>
      <c r="D56" t="str">
        <f>IF($D$1="ESPN",INDEX(Table2[Mapped Name],MATCH('Rankings Master'!$A56,Table2[Overall Rank],0)),IF('Rankings Master'!$D$1="NFL.com",INDEX(Table3[Name Clean],MATCH('Rankings Master'!$A56,Table3[Rank],0)),IF('Rankings Master'!$D$1="Sleeper",INDEX(Sleeper!$B$2:$B$201,MATCH('Rankings Master'!$A56,Sleeper!$A$2:$A$201,0)),"Need platform")))</f>
        <v>Luther Burden III</v>
      </c>
      <c r="E56" t="str">
        <f>IF($D$1="ESPN",INDEX(Table2[Position],MATCH('Rankings Master'!$A56,Table2[Overall Rank],0)),IF('Rankings Master'!$D$1="NFL.com",INDEX(Table3[Position],MATCH('Rankings Master'!$A56,Table3[Rank],0)),INDEX(Sleeper!$C$2:$C$201,MATCH('Rankings Master'!A56,Sleeper!$A$2:$A$201,0))))</f>
        <v>WR</v>
      </c>
      <c r="F56">
        <f>INDEX(Table4[RK],MATCH('Rankings Master'!D56,Table4[PLAYER NAME],0))</f>
        <v>54</v>
      </c>
      <c r="G56">
        <f t="shared" si="6"/>
        <v>-1</v>
      </c>
      <c r="H56">
        <f t="shared" si="7"/>
        <v>-1.8518518518518517E-2</v>
      </c>
      <c r="I56" t="str">
        <f t="shared" si="9"/>
        <v>Slightly Overvalued</v>
      </c>
      <c r="J56" t="str">
        <f t="shared" si="4"/>
        <v>M</v>
      </c>
      <c r="K56">
        <f t="shared" si="8"/>
        <v>3</v>
      </c>
      <c r="L56" t="str">
        <f>IF(J56="M",COUNTIFS($J$4:J56,"M",$E$4:E56,E56)&amp;" - "&amp;K56,"N/A")</f>
        <v>3 - 3</v>
      </c>
      <c r="M56" t="str">
        <f>IFERROR(INDEX(PlayerSummaryTable[Rushing Yds],MATCH('Rankings Master'!D56,PlayerSummaryTable[Player],0)),"")</f>
        <v/>
      </c>
      <c r="N56" t="str">
        <f>IFERROR(INDEX(PlayerSummaryTable[Receiving Yds],MATCH('Rankings Master'!D56,PlayerSummaryTable[Player],0)),"")</f>
        <v/>
      </c>
      <c r="O56" t="str">
        <f>IFERROR(INDEX(PlayerSummaryTable[Passing Yds],MATCH('Rankings Master'!D56,PlayerSummaryTable[Player],0)),"")</f>
        <v/>
      </c>
      <c r="U56" t="str">
        <f>IF(COUNTIF('Draft Log'!$B$2:$B$301,D56)&gt;0,"DRAFTED","")</f>
        <v>DRAFTED</v>
      </c>
      <c r="V56">
        <f>IFERROR(INDEX('Draft Log'!$A$2:$A$301,MATCH(D56,'Draft Log'!$B$2:$B$301,0)),"")</f>
        <v>48</v>
      </c>
      <c r="W56" t="str">
        <f>IFERROR(INDEX('Draft Log'!$C$2:$C$301,MATCH(D56,'Draft Log'!$B$2:$B$301,0)),"")</f>
        <v>Mustafa is Not Like Us</v>
      </c>
    </row>
    <row r="57" spans="1:23">
      <c r="A57" s="1">
        <v>54</v>
      </c>
      <c r="B57" t="s">
        <v>635</v>
      </c>
      <c r="C57" t="s">
        <v>636</v>
      </c>
      <c r="D57" t="str">
        <f>IF($D$1="ESPN",INDEX(Table2[Mapped Name],MATCH('Rankings Master'!$A57,Table2[Overall Rank],0)),IF('Rankings Master'!$D$1="NFL.com",INDEX(Table3[Name Clean],MATCH('Rankings Master'!$A57,Table3[Rank],0)),IF('Rankings Master'!$D$1="Sleeper",INDEX(Sleeper!$B$2:$B$201,MATCH('Rankings Master'!$A57,Sleeper!$A$2:$A$201,0)),"Need platform")))</f>
        <v>Courtland Sutton</v>
      </c>
      <c r="E57" t="str">
        <f>IF($D$1="ESPN",INDEX(Table2[Position],MATCH('Rankings Master'!$A57,Table2[Overall Rank],0)),IF('Rankings Master'!$D$1="NFL.com",INDEX(Table3[Position],MATCH('Rankings Master'!$A57,Table3[Rank],0)),INDEX(Sleeper!$C$2:$C$201,MATCH('Rankings Master'!A57,Sleeper!$A$2:$A$201,0))))</f>
        <v>WR</v>
      </c>
      <c r="F57">
        <f>INDEX(Table4[RK],MATCH('Rankings Master'!D57,Table4[PLAYER NAME],0))</f>
        <v>84</v>
      </c>
      <c r="G57">
        <f t="shared" si="6"/>
        <v>-30</v>
      </c>
      <c r="H57">
        <f t="shared" si="7"/>
        <v>-0.35714285714285715</v>
      </c>
      <c r="I57" t="str">
        <f t="shared" si="9"/>
        <v>Pretty Overvalued</v>
      </c>
      <c r="J57" t="str">
        <f t="shared" si="4"/>
        <v>Y</v>
      </c>
      <c r="K57">
        <f t="shared" si="8"/>
        <v>3</v>
      </c>
      <c r="L57" t="str">
        <f>IF(J57="M",COUNTIFS($J$4:J57,"M",$E$4:E57,E57)&amp;" - "&amp;K57,"N/A")</f>
        <v>N/A</v>
      </c>
      <c r="M57" t="str">
        <f>IFERROR(INDEX(PlayerSummaryTable[Rushing Yds],MATCH('Rankings Master'!D57,PlayerSummaryTable[Player],0)),"")</f>
        <v>N/A</v>
      </c>
      <c r="N57">
        <f>IFERROR(INDEX(PlayerSummaryTable[Receiving Yds],MATCH('Rankings Master'!D57,PlayerSummaryTable[Player],0)),"")</f>
        <v>699.5</v>
      </c>
      <c r="O57" t="str">
        <f>IFERROR(INDEX(PlayerSummaryTable[Passing Yds],MATCH('Rankings Master'!D57,PlayerSummaryTable[Player],0)),"")</f>
        <v>N/A</v>
      </c>
      <c r="U57" t="str">
        <f>IF(COUNTIF('Draft Log'!$B$2:$B$301,D57)&gt;0,"DRAFTED","")</f>
        <v>DRAFTED</v>
      </c>
      <c r="V57">
        <f>IFERROR(INDEX('Draft Log'!$A$2:$A$301,MATCH(D57,'Draft Log'!$B$2:$B$301,0)),"")</f>
        <v>69</v>
      </c>
      <c r="W57" t="str">
        <f>IFERROR(INDEX('Draft Log'!$C$2:$C$301,MATCH(D57,'Draft Log'!$B$2:$B$301,0)),"")</f>
        <v>The Good, Bad and Ugly</v>
      </c>
    </row>
    <row r="58" spans="1:23">
      <c r="A58" s="1">
        <v>55</v>
      </c>
      <c r="B58" t="s">
        <v>637</v>
      </c>
      <c r="C58" t="s">
        <v>638</v>
      </c>
      <c r="D58" t="str">
        <f>IF($D$1="ESPN",INDEX(Table2[Mapped Name],MATCH('Rankings Master'!$A58,Table2[Overall Rank],0)),IF('Rankings Master'!$D$1="NFL.com",INDEX(Table3[Name Clean],MATCH('Rankings Master'!$A58,Table3[Rank],0)),IF('Rankings Master'!$D$1="Sleeper",INDEX(Sleeper!$B$2:$B$201,MATCH('Rankings Master'!$A58,Sleeper!$A$2:$A$201,0)),"Need platform")))</f>
        <v>Jayden Daniels</v>
      </c>
      <c r="E58" t="str">
        <f>IF($D$1="ESPN",INDEX(Table2[Position],MATCH('Rankings Master'!$A58,Table2[Overall Rank],0)),IF('Rankings Master'!$D$1="NFL.com",INDEX(Table3[Position],MATCH('Rankings Master'!$A58,Table3[Rank],0)),INDEX(Sleeper!$C$2:$C$201,MATCH('Rankings Master'!A58,Sleeper!$A$2:$A$201,0))))</f>
        <v>QB</v>
      </c>
      <c r="F58">
        <f>INDEX(Table4[RK],MATCH('Rankings Master'!D58,Table4[PLAYER NAME],0))</f>
        <v>57</v>
      </c>
      <c r="G58">
        <f t="shared" si="6"/>
        <v>-2</v>
      </c>
      <c r="H58">
        <f t="shared" si="7"/>
        <v>-3.5087719298245612E-2</v>
      </c>
      <c r="I58" t="str">
        <f t="shared" si="9"/>
        <v>Slightly Overvalued</v>
      </c>
      <c r="J58" t="str">
        <f t="shared" si="4"/>
        <v>Y</v>
      </c>
      <c r="K58">
        <f t="shared" si="8"/>
        <v>1</v>
      </c>
      <c r="L58" t="str">
        <f>IF(J58="M",COUNTIFS($J$4:J58,"M",$E$4:E58,E58)&amp;" - "&amp;K58,"N/A")</f>
        <v>N/A</v>
      </c>
      <c r="M58">
        <f>IFERROR(INDEX(PlayerSummaryTable[Rushing Yds],MATCH('Rankings Master'!D58,PlayerSummaryTable[Player],0)),"")</f>
        <v>549.5</v>
      </c>
      <c r="N58" t="str">
        <f>IFERROR(INDEX(PlayerSummaryTable[Receiving Yds],MATCH('Rankings Master'!D58,PlayerSummaryTable[Player],0)),"")</f>
        <v>N/A</v>
      </c>
      <c r="O58">
        <f>IFERROR(INDEX(PlayerSummaryTable[Passing Yds],MATCH('Rankings Master'!D58,PlayerSummaryTable[Player],0)),"")</f>
        <v>3199.5</v>
      </c>
      <c r="U58" t="str">
        <f>IF(COUNTIF('Draft Log'!$B$2:$B$301,D58)&gt;0,"DRAFTED","")</f>
        <v>DRAFTED</v>
      </c>
      <c r="V58">
        <f>IFERROR(INDEX('Draft Log'!$A$2:$A$301,MATCH(D58,'Draft Log'!$B$2:$B$301,0)),"")</f>
        <v>72</v>
      </c>
      <c r="W58" t="str">
        <f>IFERROR(INDEX('Draft Log'!$C$2:$C$301,MATCH(D58,'Draft Log'!$B$2:$B$301,0)),"")</f>
        <v>The Good, Bad and Ugly</v>
      </c>
    </row>
    <row r="59" spans="1:23">
      <c r="A59" s="1">
        <v>56</v>
      </c>
      <c r="B59" t="s">
        <v>639</v>
      </c>
      <c r="C59" t="s">
        <v>640</v>
      </c>
      <c r="D59" t="str">
        <f>IF($D$1="ESPN",INDEX(Table2[Mapped Name],MATCH('Rankings Master'!$A59,Table2[Overall Rank],0)),IF('Rankings Master'!$D$1="NFL.com",INDEX(Table3[Name Clean],MATCH('Rankings Master'!$A59,Table3[Rank],0)),IF('Rankings Master'!$D$1="Sleeper",INDEX(Sleeper!$B$2:$B$201,MATCH('Rankings Master'!$A59,Sleeper!$A$2:$A$201,0)),"Need platform")))</f>
        <v>Lamar Jackson</v>
      </c>
      <c r="E59" t="str">
        <f>IF($D$1="ESPN",INDEX(Table2[Position],MATCH('Rankings Master'!$A59,Table2[Overall Rank],0)),IF('Rankings Master'!$D$1="NFL.com",INDEX(Table3[Position],MATCH('Rankings Master'!$A59,Table3[Rank],0)),INDEX(Sleeper!$C$2:$C$201,MATCH('Rankings Master'!A59,Sleeper!$A$2:$A$201,0))))</f>
        <v>QB</v>
      </c>
      <c r="F59">
        <f>INDEX(Table4[RK],MATCH('Rankings Master'!D59,Table4[PLAYER NAME],0))</f>
        <v>27</v>
      </c>
      <c r="G59">
        <f t="shared" si="6"/>
        <v>29</v>
      </c>
      <c r="H59">
        <f t="shared" si="7"/>
        <v>1.0740740740740742</v>
      </c>
      <c r="I59" t="str">
        <f t="shared" si="9"/>
        <v/>
      </c>
      <c r="J59" t="str">
        <f t="shared" si="4"/>
        <v>Y</v>
      </c>
      <c r="K59">
        <f t="shared" si="8"/>
        <v>1</v>
      </c>
      <c r="L59" t="str">
        <f>IF(J59="M",COUNTIFS($J$4:J59,"M",$E$4:E59,E59)&amp;" - "&amp;K59,"N/A")</f>
        <v>N/A</v>
      </c>
      <c r="M59">
        <f>IFERROR(INDEX(PlayerSummaryTable[Rushing Yds],MATCH('Rankings Master'!D59,PlayerSummaryTable[Player],0)),"")</f>
        <v>599.5</v>
      </c>
      <c r="N59" t="str">
        <f>IFERROR(INDEX(PlayerSummaryTable[Receiving Yds],MATCH('Rankings Master'!D59,PlayerSummaryTable[Player],0)),"")</f>
        <v>N/A</v>
      </c>
      <c r="O59">
        <f>IFERROR(INDEX(PlayerSummaryTable[Passing Yds],MATCH('Rankings Master'!D59,PlayerSummaryTable[Player],0)),"")</f>
        <v>3249.5</v>
      </c>
      <c r="U59" t="str">
        <f>IF(COUNTIF('Draft Log'!$B$2:$B$301,D59)&gt;0,"DRAFTED","")</f>
        <v>DRAFTED</v>
      </c>
      <c r="V59">
        <f>IFERROR(INDEX('Draft Log'!$A$2:$A$301,MATCH(D59,'Draft Log'!$B$2:$B$301,0)),"")</f>
        <v>47</v>
      </c>
      <c r="W59" t="str">
        <f>IFERROR(INDEX('Draft Log'!$C$2:$C$301,MATCH(D59,'Draft Log'!$B$2:$B$301,0)),"")</f>
        <v>Eight Bell Tolls</v>
      </c>
    </row>
    <row r="60" spans="1:23">
      <c r="A60" s="1">
        <v>57</v>
      </c>
      <c r="B60" t="s">
        <v>641</v>
      </c>
      <c r="C60" t="s">
        <v>642</v>
      </c>
      <c r="D60" t="str">
        <f>IF($D$1="ESPN",INDEX(Table2[Mapped Name],MATCH('Rankings Master'!$A60,Table2[Overall Rank],0)),IF('Rankings Master'!$D$1="NFL.com",INDEX(Table3[Name Clean],MATCH('Rankings Master'!$A60,Table3[Rank],0)),IF('Rankings Master'!$D$1="Sleeper",INDEX(Sleeper!$B$2:$B$201,MATCH('Rankings Master'!$A60,Sleeper!$A$2:$A$201,0)),"Need platform")))</f>
        <v>Drake Maye</v>
      </c>
      <c r="E60" t="str">
        <f>IF($D$1="ESPN",INDEX(Table2[Position],MATCH('Rankings Master'!$A60,Table2[Overall Rank],0)),IF('Rankings Master'!$D$1="NFL.com",INDEX(Table3[Position],MATCH('Rankings Master'!$A60,Table3[Rank],0)),INDEX(Sleeper!$C$2:$C$201,MATCH('Rankings Master'!A60,Sleeper!$A$2:$A$201,0))))</f>
        <v>QB</v>
      </c>
      <c r="F60">
        <f>INDEX(Table4[RK],MATCH('Rankings Master'!D60,Table4[PLAYER NAME],0))</f>
        <v>34</v>
      </c>
      <c r="G60">
        <f t="shared" si="6"/>
        <v>23</v>
      </c>
      <c r="H60">
        <f t="shared" si="7"/>
        <v>0.67647058823529416</v>
      </c>
      <c r="I60" t="str">
        <f t="shared" si="9"/>
        <v>Extremely Undervalued</v>
      </c>
      <c r="J60" t="str">
        <f t="shared" si="4"/>
        <v>Y</v>
      </c>
      <c r="K60">
        <f t="shared" si="8"/>
        <v>1</v>
      </c>
      <c r="L60" t="str">
        <f>IF(J60="M",COUNTIFS($J$4:J60,"M",$E$4:E60,E60)&amp;" - "&amp;K60,"N/A")</f>
        <v>N/A</v>
      </c>
      <c r="M60">
        <f>IFERROR(INDEX(PlayerSummaryTable[Rushing Yds],MATCH('Rankings Master'!D60,PlayerSummaryTable[Player],0)),"")</f>
        <v>424.5</v>
      </c>
      <c r="N60" t="str">
        <f>IFERROR(INDEX(PlayerSummaryTable[Receiving Yds],MATCH('Rankings Master'!D60,PlayerSummaryTable[Player],0)),"")</f>
        <v>N/A</v>
      </c>
      <c r="O60">
        <f>IFERROR(INDEX(PlayerSummaryTable[Passing Yds],MATCH('Rankings Master'!D60,PlayerSummaryTable[Player],0)),"")</f>
        <v>3799.5</v>
      </c>
      <c r="U60" t="str">
        <f>IF(COUNTIF('Draft Log'!$B$2:$B$301,D60)&gt;0,"DRAFTED","")</f>
        <v>DRAFTED</v>
      </c>
      <c r="V60">
        <f>IFERROR(INDEX('Draft Log'!$A$2:$A$301,MATCH(D60,'Draft Log'!$B$2:$B$301,0)),"")</f>
        <v>45</v>
      </c>
      <c r="W60" t="str">
        <f>IFERROR(INDEX('Draft Log'!$C$2:$C$301,MATCH(D60,'Draft Log'!$B$2:$B$301,0)),"")</f>
        <v>JJetts Skatt Hurts</v>
      </c>
    </row>
    <row r="61" spans="1:23">
      <c r="A61" s="1">
        <v>58</v>
      </c>
      <c r="B61" t="s">
        <v>643</v>
      </c>
      <c r="C61" t="s">
        <v>644</v>
      </c>
      <c r="D61" t="str">
        <f>IF($D$1="ESPN",INDEX(Table2[Mapped Name],MATCH('Rankings Master'!$A61,Table2[Overall Rank],0)),IF('Rankings Master'!$D$1="NFL.com",INDEX(Table3[Name Clean],MATCH('Rankings Master'!$A61,Table3[Rank],0)),IF('Rankings Master'!$D$1="Sleeper",INDEX(Sleeper!$B$2:$B$201,MATCH('Rankings Master'!$A61,Sleeper!$A$2:$A$201,0)),"Need platform")))</f>
        <v>Jalen Hurts</v>
      </c>
      <c r="E61" t="str">
        <f>IF($D$1="ESPN",INDEX(Table2[Position],MATCH('Rankings Master'!$A61,Table2[Overall Rank],0)),IF('Rankings Master'!$D$1="NFL.com",INDEX(Table3[Position],MATCH('Rankings Master'!$A61,Table3[Rank],0)),INDEX(Sleeper!$C$2:$C$201,MATCH('Rankings Master'!A61,Sleeper!$A$2:$A$201,0))))</f>
        <v>QB</v>
      </c>
      <c r="F61">
        <f>INDEX(Table4[RK],MATCH('Rankings Master'!D61,Table4[PLAYER NAME],0))</f>
        <v>53</v>
      </c>
      <c r="G61">
        <f t="shared" si="6"/>
        <v>5</v>
      </c>
      <c r="H61">
        <f t="shared" si="7"/>
        <v>9.4339622641509441E-2</v>
      </c>
      <c r="I61" t="str">
        <f t="shared" si="9"/>
        <v>Slightly Undervalued</v>
      </c>
      <c r="J61" t="str">
        <f t="shared" si="4"/>
        <v>Y</v>
      </c>
      <c r="K61">
        <f t="shared" si="8"/>
        <v>1</v>
      </c>
      <c r="L61" t="str">
        <f>IF(J61="M",COUNTIFS($J$4:J61,"M",$E$4:E61,E61)&amp;" - "&amp;K61,"N/A")</f>
        <v>N/A</v>
      </c>
      <c r="M61">
        <f>IFERROR(INDEX(PlayerSummaryTable[Rushing Yds],MATCH('Rankings Master'!D61,PlayerSummaryTable[Player],0)),"")</f>
        <v>424.5</v>
      </c>
      <c r="N61" t="str">
        <f>IFERROR(INDEX(PlayerSummaryTable[Receiving Yds],MATCH('Rankings Master'!D61,PlayerSummaryTable[Player],0)),"")</f>
        <v>N/A</v>
      </c>
      <c r="O61">
        <f>IFERROR(INDEX(PlayerSummaryTable[Passing Yds],MATCH('Rankings Master'!D61,PlayerSummaryTable[Player],0)),"")</f>
        <v>3249.5</v>
      </c>
      <c r="U61" t="str">
        <f>IF(COUNTIF('Draft Log'!$B$2:$B$301,D61)&gt;0,"DRAFTED","")</f>
        <v>DRAFTED</v>
      </c>
      <c r="V61">
        <f>IFERROR(INDEX('Draft Log'!$A$2:$A$301,MATCH(D61,'Draft Log'!$B$2:$B$301,0)),"")</f>
        <v>55</v>
      </c>
      <c r="W61" t="str">
        <f>IFERROR(INDEX('Draft Log'!$C$2:$C$301,MATCH(D61,'Draft Log'!$B$2:$B$301,0)),"")</f>
        <v>BEST COUNTRY IN THE WORLD</v>
      </c>
    </row>
    <row r="62" spans="1:23">
      <c r="A62" s="1">
        <v>59</v>
      </c>
      <c r="B62" t="s">
        <v>645</v>
      </c>
      <c r="C62" t="s">
        <v>646</v>
      </c>
      <c r="D62" t="str">
        <f>IF($D$1="ESPN",INDEX(Table2[Mapped Name],MATCH('Rankings Master'!$A62,Table2[Overall Rank],0)),IF('Rankings Master'!$D$1="NFL.com",INDEX(Table3[Name Clean],MATCH('Rankings Master'!$A62,Table3[Rank],0)),IF('Rankings Master'!$D$1="Sleeper",INDEX(Sleeper!$B$2:$B$201,MATCH('Rankings Master'!$A62,Sleeper!$A$2:$A$201,0)),"Need platform")))</f>
        <v>Bhayshul Tuten</v>
      </c>
      <c r="E62" t="str">
        <f>IF($D$1="ESPN",INDEX(Table2[Position],MATCH('Rankings Master'!$A62,Table2[Overall Rank],0)),IF('Rankings Master'!$D$1="NFL.com",INDEX(Table3[Position],MATCH('Rankings Master'!$A62,Table3[Rank],0)),INDEX(Sleeper!$C$2:$C$201,MATCH('Rankings Master'!A62,Sleeper!$A$2:$A$201,0))))</f>
        <v>RB</v>
      </c>
      <c r="F62">
        <f>INDEX(Table4[RK],MATCH('Rankings Master'!D62,Table4[PLAYER NAME],0))</f>
        <v>61</v>
      </c>
      <c r="G62">
        <f t="shared" si="6"/>
        <v>-2</v>
      </c>
      <c r="H62">
        <f t="shared" si="7"/>
        <v>-3.2786885245901641E-2</v>
      </c>
      <c r="I62" t="str">
        <f t="shared" si="9"/>
        <v>Slightly Overvalued</v>
      </c>
      <c r="J62" t="str">
        <f t="shared" si="4"/>
        <v>Y</v>
      </c>
      <c r="K62">
        <f t="shared" si="8"/>
        <v>2</v>
      </c>
      <c r="L62" t="str">
        <f>IF(J62="M",COUNTIFS($J$4:J62,"M",$E$4:E62,E62)&amp;" - "&amp;K62,"N/A")</f>
        <v>N/A</v>
      </c>
      <c r="M62">
        <f>IFERROR(INDEX(PlayerSummaryTable[Rushing Yds],MATCH('Rankings Master'!D62,PlayerSummaryTable[Player],0)),"")</f>
        <v>724.5</v>
      </c>
      <c r="N62" t="str">
        <f>IFERROR(INDEX(PlayerSummaryTable[Receiving Yds],MATCH('Rankings Master'!D62,PlayerSummaryTable[Player],0)),"")</f>
        <v>N/A</v>
      </c>
      <c r="O62" t="str">
        <f>IFERROR(INDEX(PlayerSummaryTable[Passing Yds],MATCH('Rankings Master'!D62,PlayerSummaryTable[Player],0)),"")</f>
        <v>N/A</v>
      </c>
      <c r="U62" t="str">
        <f>IF(COUNTIF('Draft Log'!$B$2:$B$301,D62)&gt;0,"DRAFTED","")</f>
        <v>DRAFTED</v>
      </c>
      <c r="V62">
        <f>IFERROR(INDEX('Draft Log'!$A$2:$A$301,MATCH(D62,'Draft Log'!$B$2:$B$301,0)),"")</f>
        <v>56</v>
      </c>
      <c r="W62" t="str">
        <f>IFERROR(INDEX('Draft Log'!$C$2:$C$301,MATCH(D62,'Draft Log'!$B$2:$B$301,0)),"")</f>
        <v>JJetts Skatt Hurts</v>
      </c>
    </row>
    <row r="63" spans="1:23">
      <c r="A63" s="1">
        <v>60</v>
      </c>
      <c r="B63" t="s">
        <v>583</v>
      </c>
      <c r="C63" t="s">
        <v>647</v>
      </c>
      <c r="D63" t="str">
        <f>IF($D$1="ESPN",INDEX(Table2[Mapped Name],MATCH('Rankings Master'!$A63,Table2[Overall Rank],0)),IF('Rankings Master'!$D$1="NFL.com",INDEX(Table3[Name Clean],MATCH('Rankings Master'!$A63,Table3[Rank],0)),IF('Rankings Master'!$D$1="Sleeper",INDEX(Sleeper!$B$2:$B$201,MATCH('Rankings Master'!$A63,Sleeper!$A$2:$A$201,0)),"Need platform")))</f>
        <v>David Montgomery</v>
      </c>
      <c r="E63" t="str">
        <f>IF($D$1="ESPN",INDEX(Table2[Position],MATCH('Rankings Master'!$A63,Table2[Overall Rank],0)),IF('Rankings Master'!$D$1="NFL.com",INDEX(Table3[Position],MATCH('Rankings Master'!$A63,Table3[Rank],0)),INDEX(Sleeper!$C$2:$C$201,MATCH('Rankings Master'!A63,Sleeper!$A$2:$A$201,0))))</f>
        <v>RB</v>
      </c>
      <c r="F63">
        <f>INDEX(Table4[RK],MATCH('Rankings Master'!D63,Table4[PLAYER NAME],0))</f>
        <v>55</v>
      </c>
      <c r="G63">
        <f t="shared" si="6"/>
        <v>5</v>
      </c>
      <c r="H63">
        <f t="shared" si="7"/>
        <v>9.0909090909090912E-2</v>
      </c>
      <c r="I63" t="str">
        <f t="shared" si="9"/>
        <v>Slightly Undervalued</v>
      </c>
      <c r="J63" t="str">
        <f t="shared" si="4"/>
        <v>Y</v>
      </c>
      <c r="K63">
        <f t="shared" si="8"/>
        <v>2</v>
      </c>
      <c r="L63" t="str">
        <f>IF(J63="M",COUNTIFS($J$4:J63,"M",$E$4:E63,E63)&amp;" - "&amp;K63,"N/A")</f>
        <v>N/A</v>
      </c>
      <c r="M63">
        <f>IFERROR(INDEX(PlayerSummaryTable[Rushing Yds],MATCH('Rankings Master'!D63,PlayerSummaryTable[Player],0)),"")</f>
        <v>824.5</v>
      </c>
      <c r="N63" t="str">
        <f>IFERROR(INDEX(PlayerSummaryTable[Receiving Yds],MATCH('Rankings Master'!D63,PlayerSummaryTable[Player],0)),"")</f>
        <v>N/A</v>
      </c>
      <c r="O63" t="str">
        <f>IFERROR(INDEX(PlayerSummaryTable[Passing Yds],MATCH('Rankings Master'!D63,PlayerSummaryTable[Player],0)),"")</f>
        <v>N/A</v>
      </c>
      <c r="U63" t="str">
        <f>IF(COUNTIF('Draft Log'!$B$2:$B$301,D63)&gt;0,"DRAFTED","")</f>
        <v>DRAFTED</v>
      </c>
      <c r="V63">
        <f>IFERROR(INDEX('Draft Log'!$A$2:$A$301,MATCH(D63,'Draft Log'!$B$2:$B$301,0)),"")</f>
        <v>58</v>
      </c>
      <c r="W63" t="str">
        <f>IFERROR(INDEX('Draft Log'!$C$2:$C$301,MATCH(D63,'Draft Log'!$B$2:$B$301,0)),"")</f>
        <v>dontsaynosayYA</v>
      </c>
    </row>
    <row r="64" spans="1:23">
      <c r="A64" s="1">
        <v>61</v>
      </c>
      <c r="B64" t="s">
        <v>648</v>
      </c>
      <c r="C64" t="s">
        <v>649</v>
      </c>
      <c r="D64" t="str">
        <f>IF($D$1="ESPN",INDEX(Table2[Mapped Name],MATCH('Rankings Master'!$A64,Table2[Overall Rank],0)),IF('Rankings Master'!$D$1="NFL.com",INDEX(Table3[Name Clean],MATCH('Rankings Master'!$A64,Table3[Rank],0)),IF('Rankings Master'!$D$1="Sleeper",INDEX(Sleeper!$B$2:$B$201,MATCH('Rankings Master'!$A64,Sleeper!$A$2:$A$201,0)),"Need platform")))</f>
        <v>Jadarian Price</v>
      </c>
      <c r="E64" t="str">
        <f>IF($D$1="ESPN",INDEX(Table2[Position],MATCH('Rankings Master'!$A64,Table2[Overall Rank],0)),IF('Rankings Master'!$D$1="NFL.com",INDEX(Table3[Position],MATCH('Rankings Master'!$A64,Table3[Rank],0)),INDEX(Sleeper!$C$2:$C$201,MATCH('Rankings Master'!A64,Sleeper!$A$2:$A$201,0))))</f>
        <v>RB</v>
      </c>
      <c r="F64">
        <f>INDEX(Table4[RK],MATCH('Rankings Master'!D64,Table4[PLAYER NAME],0))</f>
        <v>60</v>
      </c>
      <c r="G64">
        <f t="shared" si="6"/>
        <v>1</v>
      </c>
      <c r="H64">
        <f t="shared" si="7"/>
        <v>1.6666666666666666E-2</v>
      </c>
      <c r="I64" t="str">
        <f t="shared" si="9"/>
        <v>Slightly Undervalued</v>
      </c>
      <c r="J64" t="str">
        <f t="shared" si="4"/>
        <v>Y</v>
      </c>
      <c r="K64">
        <f t="shared" si="8"/>
        <v>2</v>
      </c>
      <c r="L64" t="str">
        <f>IF(J64="M",COUNTIFS($J$4:J64,"M",$E$4:E64,E64)&amp;" - "&amp;K64,"N/A")</f>
        <v>N/A</v>
      </c>
      <c r="M64">
        <f>IFERROR(INDEX(PlayerSummaryTable[Rushing Yds],MATCH('Rankings Master'!D64,PlayerSummaryTable[Player],0)),"")</f>
        <v>724.5</v>
      </c>
      <c r="N64" t="str">
        <f>IFERROR(INDEX(PlayerSummaryTable[Receiving Yds],MATCH('Rankings Master'!D64,PlayerSummaryTable[Player],0)),"")</f>
        <v>N/A</v>
      </c>
      <c r="O64" t="str">
        <f>IFERROR(INDEX(PlayerSummaryTable[Passing Yds],MATCH('Rankings Master'!D64,PlayerSummaryTable[Player],0)),"")</f>
        <v>N/A</v>
      </c>
      <c r="U64" t="str">
        <f>IF(COUNTIF('Draft Log'!$B$2:$B$301,D64)&gt;0,"DRAFTED","")</f>
        <v>DRAFTED</v>
      </c>
      <c r="V64">
        <f>IFERROR(INDEX('Draft Log'!$A$2:$A$301,MATCH(D64,'Draft Log'!$B$2:$B$301,0)),"")</f>
        <v>50</v>
      </c>
      <c r="W64" t="str">
        <f>IFERROR(INDEX('Draft Log'!$C$2:$C$301,MATCH(D64,'Draft Log'!$B$2:$B$301,0)),"")</f>
        <v>Double Chubb Chocolate Cookie</v>
      </c>
    </row>
    <row r="65" spans="1:23">
      <c r="A65" s="1">
        <v>62</v>
      </c>
      <c r="B65" t="s">
        <v>650</v>
      </c>
      <c r="C65" t="s">
        <v>651</v>
      </c>
      <c r="D65" t="str">
        <f>IF($D$1="ESPN",INDEX(Table2[Mapped Name],MATCH('Rankings Master'!$A65,Table2[Overall Rank],0)),IF('Rankings Master'!$D$1="NFL.com",INDEX(Table3[Name Clean],MATCH('Rankings Master'!$A65,Table3[Rank],0)),IF('Rankings Master'!$D$1="Sleeper",INDEX(Sleeper!$B$2:$B$201,MATCH('Rankings Master'!$A65,Sleeper!$A$2:$A$201,0)),"Need platform")))</f>
        <v>Rhamondre Stevenson</v>
      </c>
      <c r="E65" t="str">
        <f>IF($D$1="ESPN",INDEX(Table2[Position],MATCH('Rankings Master'!$A65,Table2[Overall Rank],0)),IF('Rankings Master'!$D$1="NFL.com",INDEX(Table3[Position],MATCH('Rankings Master'!$A65,Table3[Rank],0)),INDEX(Sleeper!$C$2:$C$201,MATCH('Rankings Master'!A65,Sleeper!$A$2:$A$201,0))))</f>
        <v>RB</v>
      </c>
      <c r="F65">
        <f>INDEX(Table4[RK],MATCH('Rankings Master'!D65,Table4[PLAYER NAME],0))</f>
        <v>69</v>
      </c>
      <c r="G65">
        <f t="shared" si="6"/>
        <v>-7</v>
      </c>
      <c r="H65">
        <f t="shared" si="7"/>
        <v>-0.10144927536231885</v>
      </c>
      <c r="I65" t="str">
        <f t="shared" si="9"/>
        <v>Slightly Overvalued</v>
      </c>
      <c r="J65" t="str">
        <f t="shared" si="4"/>
        <v>Y</v>
      </c>
      <c r="K65">
        <f t="shared" si="8"/>
        <v>2</v>
      </c>
      <c r="L65" t="str">
        <f>IF(J65="M",COUNTIFS($J$4:J65,"M",$E$4:E65,E65)&amp;" - "&amp;K65,"N/A")</f>
        <v>N/A</v>
      </c>
      <c r="M65">
        <f>IFERROR(INDEX(PlayerSummaryTable[Rushing Yds],MATCH('Rankings Master'!D65,PlayerSummaryTable[Player],0)),"")</f>
        <v>624.5</v>
      </c>
      <c r="N65" t="str">
        <f>IFERROR(INDEX(PlayerSummaryTable[Receiving Yds],MATCH('Rankings Master'!D65,PlayerSummaryTable[Player],0)),"")</f>
        <v>N/A</v>
      </c>
      <c r="O65" t="str">
        <f>IFERROR(INDEX(PlayerSummaryTable[Passing Yds],MATCH('Rankings Master'!D65,PlayerSummaryTable[Player],0)),"")</f>
        <v>N/A</v>
      </c>
      <c r="U65" t="str">
        <f>IF(COUNTIF('Draft Log'!$B$2:$B$301,D65)&gt;0,"DRAFTED","")</f>
        <v>DRAFTED</v>
      </c>
      <c r="V65">
        <f>IFERROR(INDEX('Draft Log'!$A$2:$A$301,MATCH(D65,'Draft Log'!$B$2:$B$301,0)),"")</f>
        <v>60</v>
      </c>
      <c r="W65" t="str">
        <f>IFERROR(INDEX('Draft Log'!$C$2:$C$301,MATCH(D65,'Draft Log'!$B$2:$B$301,0)),"")</f>
        <v>Team Afeef</v>
      </c>
    </row>
    <row r="66" spans="1:23">
      <c r="A66" s="1">
        <v>63</v>
      </c>
      <c r="B66" t="s">
        <v>652</v>
      </c>
      <c r="C66" t="s">
        <v>541</v>
      </c>
      <c r="D66" t="str">
        <f>IF($D$1="ESPN",INDEX(Table2[Mapped Name],MATCH('Rankings Master'!$A66,Table2[Overall Rank],0)),IF('Rankings Master'!$D$1="NFL.com",INDEX(Table3[Name Clean],MATCH('Rankings Master'!$A66,Table3[Rank],0)),IF('Rankings Master'!$D$1="Sleeper",INDEX(Sleeper!$B$2:$B$201,MATCH('Rankings Master'!$A66,Sleeper!$A$2:$A$201,0)),"Need platform")))</f>
        <v>Rico Dowdle</v>
      </c>
      <c r="E66" t="str">
        <f>IF($D$1="ESPN",INDEX(Table2[Position],MATCH('Rankings Master'!$A66,Table2[Overall Rank],0)),IF('Rankings Master'!$D$1="NFL.com",INDEX(Table3[Position],MATCH('Rankings Master'!$A66,Table3[Rank],0)),INDEX(Sleeper!$C$2:$C$201,MATCH('Rankings Master'!A66,Sleeper!$A$2:$A$201,0))))</f>
        <v>RB</v>
      </c>
      <c r="F66">
        <f>INDEX(Table4[RK],MATCH('Rankings Master'!D66,Table4[PLAYER NAME],0))</f>
        <v>78</v>
      </c>
      <c r="G66">
        <f t="shared" si="6"/>
        <v>-15</v>
      </c>
      <c r="H66">
        <f t="shared" si="7"/>
        <v>-0.19230769230769232</v>
      </c>
      <c r="I66" t="str">
        <f t="shared" si="9"/>
        <v>Pretty Overvalued</v>
      </c>
      <c r="J66" t="str">
        <f t="shared" si="4"/>
        <v>Y</v>
      </c>
      <c r="K66">
        <f t="shared" si="8"/>
        <v>2</v>
      </c>
      <c r="L66" t="str">
        <f>IF(J66="M",COUNTIFS($J$4:J66,"M",$E$4:E66,E66)&amp;" - "&amp;K66,"N/A")</f>
        <v>N/A</v>
      </c>
      <c r="M66">
        <f>IFERROR(INDEX(PlayerSummaryTable[Rushing Yds],MATCH('Rankings Master'!D66,PlayerSummaryTable[Player],0)),"")</f>
        <v>699.5</v>
      </c>
      <c r="N66" t="str">
        <f>IFERROR(INDEX(PlayerSummaryTable[Receiving Yds],MATCH('Rankings Master'!D66,PlayerSummaryTable[Player],0)),"")</f>
        <v>N/A</v>
      </c>
      <c r="O66" t="str">
        <f>IFERROR(INDEX(PlayerSummaryTable[Passing Yds],MATCH('Rankings Master'!D66,PlayerSummaryTable[Player],0)),"")</f>
        <v>N/A</v>
      </c>
      <c r="U66" t="str">
        <f>IF(COUNTIF('Draft Log'!$B$2:$B$301,D66)&gt;0,"DRAFTED","")</f>
        <v>DRAFTED</v>
      </c>
      <c r="V66">
        <f>IFERROR(INDEX('Draft Log'!$A$2:$A$301,MATCH(D66,'Draft Log'!$B$2:$B$301,0)),"")</f>
        <v>70</v>
      </c>
      <c r="W66" t="str">
        <f>IFERROR(INDEX('Draft Log'!$C$2:$C$301,MATCH(D66,'Draft Log'!$B$2:$B$301,0)),"")</f>
        <v>Double Chubb Chocolate Cookie</v>
      </c>
    </row>
    <row r="67" spans="1:23">
      <c r="A67" s="1">
        <v>64</v>
      </c>
      <c r="B67" t="s">
        <v>653</v>
      </c>
      <c r="C67" t="s">
        <v>654</v>
      </c>
      <c r="D67" t="str">
        <f>IF($D$1="ESPN",INDEX(Table2[Mapped Name],MATCH('Rankings Master'!$A67,Table2[Overall Rank],0)),IF('Rankings Master'!$D$1="NFL.com",INDEX(Table3[Name Clean],MATCH('Rankings Master'!$A67,Table3[Rank],0)),IF('Rankings Master'!$D$1="Sleeper",INDEX(Sleeper!$B$2:$B$201,MATCH('Rankings Master'!$A67,Sleeper!$A$2:$A$201,0)),"Need platform")))</f>
        <v>Jaylen Warren</v>
      </c>
      <c r="E67" t="str">
        <f>IF($D$1="ESPN",INDEX(Table2[Position],MATCH('Rankings Master'!$A67,Table2[Overall Rank],0)),IF('Rankings Master'!$D$1="NFL.com",INDEX(Table3[Position],MATCH('Rankings Master'!$A67,Table3[Rank],0)),INDEX(Sleeper!$C$2:$C$201,MATCH('Rankings Master'!A67,Sleeper!$A$2:$A$201,0))))</f>
        <v>RB</v>
      </c>
      <c r="F67">
        <f>INDEX(Table4[RK],MATCH('Rankings Master'!D67,Table4[PLAYER NAME],0))</f>
        <v>74</v>
      </c>
      <c r="G67">
        <f t="shared" si="6"/>
        <v>-10</v>
      </c>
      <c r="H67">
        <f t="shared" si="7"/>
        <v>-0.13513513513513514</v>
      </c>
      <c r="I67" t="str">
        <f t="shared" si="9"/>
        <v>Slightly Overvalued</v>
      </c>
      <c r="J67" t="str">
        <f t="shared" si="4"/>
        <v>Y</v>
      </c>
      <c r="K67">
        <f t="shared" si="8"/>
        <v>2</v>
      </c>
      <c r="L67" t="str">
        <f>IF(J67="M",COUNTIFS($J$4:J67,"M",$E$4:E67,E67)&amp;" - "&amp;K67,"N/A")</f>
        <v>N/A</v>
      </c>
      <c r="M67">
        <f>IFERROR(INDEX(PlayerSummaryTable[Rushing Yds],MATCH('Rankings Master'!D67,PlayerSummaryTable[Player],0)),"")</f>
        <v>624.5</v>
      </c>
      <c r="N67" t="str">
        <f>IFERROR(INDEX(PlayerSummaryTable[Receiving Yds],MATCH('Rankings Master'!D67,PlayerSummaryTable[Player],0)),"")</f>
        <v>N/A</v>
      </c>
      <c r="O67" t="str">
        <f>IFERROR(INDEX(PlayerSummaryTable[Passing Yds],MATCH('Rankings Master'!D67,PlayerSummaryTable[Player],0)),"")</f>
        <v>N/A</v>
      </c>
      <c r="U67" t="str">
        <f>IF(COUNTIF('Draft Log'!$B$2:$B$301,D67)&gt;0,"DRAFTED","")</f>
        <v>DRAFTED</v>
      </c>
      <c r="V67">
        <f>IFERROR(INDEX('Draft Log'!$A$2:$A$301,MATCH(D67,'Draft Log'!$B$2:$B$301,0)),"")</f>
        <v>79</v>
      </c>
      <c r="W67" t="str">
        <f>IFERROR(INDEX('Draft Log'!$C$2:$C$301,MATCH(D67,'Draft Log'!$B$2:$B$301,0)),"")</f>
        <v>Benjamins Bandits</v>
      </c>
    </row>
    <row r="68" spans="1:23">
      <c r="A68" s="1">
        <v>65</v>
      </c>
      <c r="B68" t="s">
        <v>655</v>
      </c>
      <c r="C68" t="s">
        <v>614</v>
      </c>
      <c r="D68" t="str">
        <f>IF($D$1="ESPN",INDEX(Table2[Mapped Name],MATCH('Rankings Master'!$A68,Table2[Overall Rank],0)),IF('Rankings Master'!$D$1="NFL.com",INDEX(Table3[Name Clean],MATCH('Rankings Master'!$A68,Table3[Rank],0)),IF('Rankings Master'!$D$1="Sleeper",INDEX(Sleeper!$B$2:$B$201,MATCH('Rankings Master'!$A68,Sleeper!$A$2:$A$201,0)),"Need platform")))</f>
        <v>Carnell Tate</v>
      </c>
      <c r="E68" t="str">
        <f>IF($D$1="ESPN",INDEX(Table2[Position],MATCH('Rankings Master'!$A68,Table2[Overall Rank],0)),IF('Rankings Master'!$D$1="NFL.com",INDEX(Table3[Position],MATCH('Rankings Master'!$A68,Table3[Rank],0)),INDEX(Sleeper!$C$2:$C$201,MATCH('Rankings Master'!A68,Sleeper!$A$2:$A$201,0))))</f>
        <v>WR</v>
      </c>
      <c r="F68">
        <f>INDEX(Table4[RK],MATCH('Rankings Master'!D68,Table4[PLAYER NAME],0))</f>
        <v>77</v>
      </c>
      <c r="G68">
        <f t="shared" ref="G68:G99" si="10">A68-F68</f>
        <v>-12</v>
      </c>
      <c r="H68">
        <f t="shared" ref="H68:H99" si="11">G68/F68</f>
        <v>-0.15584415584415584</v>
      </c>
      <c r="I68" t="str">
        <f t="shared" si="9"/>
        <v>Pretty Overvalued</v>
      </c>
      <c r="J68" t="str">
        <f t="shared" si="4"/>
        <v>M</v>
      </c>
      <c r="K68">
        <f t="shared" ref="K68:K99" si="12">IF(E68="QB",1,IF(E68="RB",2,IF(E68="WR",3,IF(E68="TE",4,IF(E68="K",5,"Check")))))</f>
        <v>3</v>
      </c>
      <c r="L68" t="str">
        <f>IF(J68="M",COUNTIFS($J$4:J68,"M",$E$4:E68,E68)&amp;" - "&amp;K68,"N/A")</f>
        <v>4 - 3</v>
      </c>
      <c r="M68" t="str">
        <f>IFERROR(INDEX(PlayerSummaryTable[Rushing Yds],MATCH('Rankings Master'!D68,PlayerSummaryTable[Player],0)),"")</f>
        <v>N/A</v>
      </c>
      <c r="N68">
        <f>IFERROR(INDEX(PlayerSummaryTable[Receiving Yds],MATCH('Rankings Master'!D68,PlayerSummaryTable[Player],0)),"")</f>
        <v>774.5</v>
      </c>
      <c r="O68" t="str">
        <f>IFERROR(INDEX(PlayerSummaryTable[Passing Yds],MATCH('Rankings Master'!D68,PlayerSummaryTable[Player],0)),"")</f>
        <v>N/A</v>
      </c>
      <c r="U68" t="str">
        <f>IF(COUNTIF('Draft Log'!$B$2:$B$301,D68)&gt;0,"DRAFTED","")</f>
        <v>DRAFTED</v>
      </c>
      <c r="V68">
        <f>IFERROR(INDEX('Draft Log'!$A$2:$A$301,MATCH(D68,'Draft Log'!$B$2:$B$301,0)),"")</f>
        <v>68</v>
      </c>
      <c r="W68" t="str">
        <f>IFERROR(INDEX('Draft Log'!$C$2:$C$301,MATCH(D68,'Draft Log'!$B$2:$B$301,0)),"")</f>
        <v>Mustafa is Not Like Us</v>
      </c>
    </row>
    <row r="69" spans="1:23">
      <c r="A69" s="1">
        <v>66</v>
      </c>
      <c r="B69" t="s">
        <v>656</v>
      </c>
      <c r="C69" t="s">
        <v>657</v>
      </c>
      <c r="D69" t="str">
        <f>IF($D$1="ESPN",INDEX(Table2[Mapped Name],MATCH('Rankings Master'!$A69,Table2[Overall Rank],0)),IF('Rankings Master'!$D$1="NFL.com",INDEX(Table3[Name Clean],MATCH('Rankings Master'!$A69,Table3[Rank],0)),IF('Rankings Master'!$D$1="Sleeper",INDEX(Sleeper!$B$2:$B$201,MATCH('Rankings Master'!$A69,Sleeper!$A$2:$A$201,0)),"Need platform")))</f>
        <v>DK Metcalf</v>
      </c>
      <c r="E69" t="str">
        <f>IF($D$1="ESPN",INDEX(Table2[Position],MATCH('Rankings Master'!$A69,Table2[Overall Rank],0)),IF('Rankings Master'!$D$1="NFL.com",INDEX(Table3[Position],MATCH('Rankings Master'!$A69,Table3[Rank],0)),INDEX(Sleeper!$C$2:$C$201,MATCH('Rankings Master'!A69,Sleeper!$A$2:$A$201,0))))</f>
        <v>WR</v>
      </c>
      <c r="F69">
        <f>INDEX(Table4[RK],MATCH('Rankings Master'!D69,Table4[PLAYER NAME],0))</f>
        <v>76</v>
      </c>
      <c r="G69">
        <f t="shared" si="10"/>
        <v>-10</v>
      </c>
      <c r="H69">
        <f t="shared" si="11"/>
        <v>-0.13157894736842105</v>
      </c>
      <c r="I69" t="str">
        <f t="shared" si="9"/>
        <v>Slightly Overvalued</v>
      </c>
      <c r="J69" t="str">
        <f t="shared" ref="J69:J132" si="13">IF(W69=$G$1,"M",IF(AND(U69="Drafted",W69&lt;&gt;$G$1),"Y",""))</f>
        <v>Y</v>
      </c>
      <c r="K69">
        <f t="shared" si="12"/>
        <v>3</v>
      </c>
      <c r="L69" t="str">
        <f>IF(J69="M",COUNTIFS($J$4:J69,"M",$E$4:E69,E69)&amp;" - "&amp;K69,"N/A")</f>
        <v>N/A</v>
      </c>
      <c r="M69" t="str">
        <f>IFERROR(INDEX(PlayerSummaryTable[Rushing Yds],MATCH('Rankings Master'!D69,PlayerSummaryTable[Player],0)),"")</f>
        <v>N/A</v>
      </c>
      <c r="N69">
        <f>IFERROR(INDEX(PlayerSummaryTable[Receiving Yds],MATCH('Rankings Master'!D69,PlayerSummaryTable[Player],0)),"")</f>
        <v>824.5</v>
      </c>
      <c r="O69" t="str">
        <f>IFERROR(INDEX(PlayerSummaryTable[Passing Yds],MATCH('Rankings Master'!D69,PlayerSummaryTable[Player],0)),"")</f>
        <v>N/A</v>
      </c>
      <c r="U69" t="str">
        <f>IF(COUNTIF('Draft Log'!$B$2:$B$301,D69)&gt;0,"DRAFTED","")</f>
        <v>DRAFTED</v>
      </c>
      <c r="V69">
        <f>IFERROR(INDEX('Draft Log'!$A$2:$A$301,MATCH(D69,'Draft Log'!$B$2:$B$301,0)),"")</f>
        <v>82</v>
      </c>
      <c r="W69" t="str">
        <f>IFERROR(INDEX('Draft Log'!$C$2:$C$301,MATCH(D69,'Draft Log'!$B$2:$B$301,0)),"")</f>
        <v>Benjamins Bandits</v>
      </c>
    </row>
    <row r="70" spans="1:23">
      <c r="A70" s="1">
        <v>67</v>
      </c>
      <c r="B70" t="s">
        <v>658</v>
      </c>
      <c r="C70" t="s">
        <v>659</v>
      </c>
      <c r="D70" t="str">
        <f>IF($D$1="ESPN",INDEX(Table2[Mapped Name],MATCH('Rankings Master'!$A70,Table2[Overall Rank],0)),IF('Rankings Master'!$D$1="NFL.com",INDEX(Table3[Name Clean],MATCH('Rankings Master'!$A70,Table3[Rank],0)),IF('Rankings Master'!$D$1="Sleeper",INDEX(Sleeper!$B$2:$B$201,MATCH('Rankings Master'!$A70,Sleeper!$A$2:$A$201,0)),"Need platform")))</f>
        <v>Marvin Harrison Jr.</v>
      </c>
      <c r="E70" t="str">
        <f>IF($D$1="ESPN",INDEX(Table2[Position],MATCH('Rankings Master'!$A70,Table2[Overall Rank],0)),IF('Rankings Master'!$D$1="NFL.com",INDEX(Table3[Position],MATCH('Rankings Master'!$A70,Table3[Rank],0)),INDEX(Sleeper!$C$2:$C$201,MATCH('Rankings Master'!A70,Sleeper!$A$2:$A$201,0))))</f>
        <v>WR</v>
      </c>
      <c r="F70">
        <f>INDEX(Table4[RK],MATCH('Rankings Master'!D70,Table4[PLAYER NAME],0))</f>
        <v>71</v>
      </c>
      <c r="G70">
        <f t="shared" si="10"/>
        <v>-4</v>
      </c>
      <c r="H70">
        <f t="shared" si="11"/>
        <v>-5.6338028169014086E-2</v>
      </c>
      <c r="I70" t="str">
        <f t="shared" si="9"/>
        <v>Slightly Overvalued</v>
      </c>
      <c r="J70" t="str">
        <f t="shared" si="13"/>
        <v>Y</v>
      </c>
      <c r="K70">
        <f t="shared" si="12"/>
        <v>3</v>
      </c>
      <c r="L70" t="str">
        <f>IF(J70="M",COUNTIFS($J$4:J70,"M",$E$4:E70,E70)&amp;" - "&amp;K70,"N/A")</f>
        <v>N/A</v>
      </c>
      <c r="M70" t="str">
        <f>IFERROR(INDEX(PlayerSummaryTable[Rushing Yds],MATCH('Rankings Master'!D70,PlayerSummaryTable[Player],0)),"")</f>
        <v/>
      </c>
      <c r="N70" t="str">
        <f>IFERROR(INDEX(PlayerSummaryTable[Receiving Yds],MATCH('Rankings Master'!D70,PlayerSummaryTable[Player],0)),"")</f>
        <v/>
      </c>
      <c r="O70" t="str">
        <f>IFERROR(INDEX(PlayerSummaryTable[Passing Yds],MATCH('Rankings Master'!D70,PlayerSummaryTable[Player],0)),"")</f>
        <v/>
      </c>
      <c r="U70" t="str">
        <f>IF(COUNTIF('Draft Log'!$B$2:$B$301,D70)&gt;0,"DRAFTED","")</f>
        <v>DRAFTED</v>
      </c>
      <c r="V70">
        <f>IFERROR(INDEX('Draft Log'!$A$2:$A$301,MATCH(D70,'Draft Log'!$B$2:$B$301,0)),"")</f>
        <v>75</v>
      </c>
      <c r="W70" t="str">
        <f>IFERROR(INDEX('Draft Log'!$C$2:$C$301,MATCH(D70,'Draft Log'!$B$2:$B$301,0)),"")</f>
        <v>BEST COUNTRY IN THE WORLD</v>
      </c>
    </row>
    <row r="71" spans="1:23">
      <c r="A71" s="1">
        <v>68</v>
      </c>
      <c r="B71" t="s">
        <v>660</v>
      </c>
      <c r="C71" t="s">
        <v>661</v>
      </c>
      <c r="D71" t="str">
        <f>IF($D$1="ESPN",INDEX(Table2[Mapped Name],MATCH('Rankings Master'!$A71,Table2[Overall Rank],0)),IF('Rankings Master'!$D$1="NFL.com",INDEX(Table3[Name Clean],MATCH('Rankings Master'!$A71,Table3[Rank],0)),IF('Rankings Master'!$D$1="Sleeper",INDEX(Sleeper!$B$2:$B$201,MATCH('Rankings Master'!$A71,Sleeper!$A$2:$A$201,0)),"Need platform")))</f>
        <v>Alec Pierce</v>
      </c>
      <c r="E71" t="str">
        <f>IF($D$1="ESPN",INDEX(Table2[Position],MATCH('Rankings Master'!$A71,Table2[Overall Rank],0)),IF('Rankings Master'!$D$1="NFL.com",INDEX(Table3[Position],MATCH('Rankings Master'!$A71,Table3[Rank],0)),INDEX(Sleeper!$C$2:$C$201,MATCH('Rankings Master'!A71,Sleeper!$A$2:$A$201,0))))</f>
        <v>WR</v>
      </c>
      <c r="F71">
        <f>INDEX(Table4[RK],MATCH('Rankings Master'!D71,Table4[PLAYER NAME],0))</f>
        <v>85</v>
      </c>
      <c r="G71">
        <f t="shared" si="10"/>
        <v>-17</v>
      </c>
      <c r="H71">
        <f t="shared" si="11"/>
        <v>-0.2</v>
      </c>
      <c r="I71" t="str">
        <f t="shared" si="9"/>
        <v>Pretty Overvalued</v>
      </c>
      <c r="J71" t="str">
        <f t="shared" si="13"/>
        <v>Y</v>
      </c>
      <c r="K71">
        <f t="shared" si="12"/>
        <v>3</v>
      </c>
      <c r="L71" t="str">
        <f>IF(J71="M",COUNTIFS($J$4:J71,"M",$E$4:E71,E71)&amp;" - "&amp;K71,"N/A")</f>
        <v>N/A</v>
      </c>
      <c r="M71" t="str">
        <f>IFERROR(INDEX(PlayerSummaryTable[Rushing Yds],MATCH('Rankings Master'!D71,PlayerSummaryTable[Player],0)),"")</f>
        <v>N/A</v>
      </c>
      <c r="N71">
        <f>IFERROR(INDEX(PlayerSummaryTable[Receiving Yds],MATCH('Rankings Master'!D71,PlayerSummaryTable[Player],0)),"")</f>
        <v>899.5</v>
      </c>
      <c r="O71" t="str">
        <f>IFERROR(INDEX(PlayerSummaryTable[Passing Yds],MATCH('Rankings Master'!D71,PlayerSummaryTable[Player],0)),"")</f>
        <v>N/A</v>
      </c>
      <c r="U71" t="str">
        <f>IF(COUNTIF('Draft Log'!$B$2:$B$301,D71)&gt;0,"DRAFTED","")</f>
        <v>DRAFTED</v>
      </c>
      <c r="V71">
        <f>IFERROR(INDEX('Draft Log'!$A$2:$A$301,MATCH(D71,'Draft Log'!$B$2:$B$301,0)),"")</f>
        <v>80</v>
      </c>
      <c r="W71" t="str">
        <f>IFERROR(INDEX('Draft Log'!$C$2:$C$301,MATCH(D71,'Draft Log'!$B$2:$B$301,0)),"")</f>
        <v>Team Afeef</v>
      </c>
    </row>
    <row r="72" spans="1:23">
      <c r="A72" s="1">
        <v>69</v>
      </c>
      <c r="B72" t="s">
        <v>662</v>
      </c>
      <c r="C72" t="s">
        <v>663</v>
      </c>
      <c r="D72" t="str">
        <f>IF($D$1="ESPN",INDEX(Table2[Mapped Name],MATCH('Rankings Master'!$A72,Table2[Overall Rank],0)),IF('Rankings Master'!$D$1="NFL.com",INDEX(Table3[Name Clean],MATCH('Rankings Master'!$A72,Table3[Rank],0)),IF('Rankings Master'!$D$1="Sleeper",INDEX(Sleeper!$B$2:$B$201,MATCH('Rankings Master'!$A72,Sleeper!$A$2:$A$201,0)),"Need platform")))</f>
        <v>Christian Watson</v>
      </c>
      <c r="E72" t="str">
        <f>IF($D$1="ESPN",INDEX(Table2[Position],MATCH('Rankings Master'!$A72,Table2[Overall Rank],0)),IF('Rankings Master'!$D$1="NFL.com",INDEX(Table3[Position],MATCH('Rankings Master'!$A72,Table3[Rank],0)),INDEX(Sleeper!$C$2:$C$201,MATCH('Rankings Master'!A72,Sleeper!$A$2:$A$201,0))))</f>
        <v>WR</v>
      </c>
      <c r="F72">
        <f>INDEX(Table4[RK],MATCH('Rankings Master'!D72,Table4[PLAYER NAME],0))</f>
        <v>50</v>
      </c>
      <c r="G72">
        <f t="shared" si="10"/>
        <v>19</v>
      </c>
      <c r="H72">
        <f t="shared" si="11"/>
        <v>0.38</v>
      </c>
      <c r="I72" t="str">
        <f t="shared" si="9"/>
        <v>Pretty Undervalued</v>
      </c>
      <c r="J72" t="str">
        <f t="shared" si="13"/>
        <v>Y</v>
      </c>
      <c r="K72">
        <f t="shared" si="12"/>
        <v>3</v>
      </c>
      <c r="L72" t="str">
        <f>IF(J72="M",COUNTIFS($J$4:J72,"M",$E$4:E72,E72)&amp;" - "&amp;K72,"N/A")</f>
        <v>N/A</v>
      </c>
      <c r="M72" t="str">
        <f>IFERROR(INDEX(PlayerSummaryTable[Rushing Yds],MATCH('Rankings Master'!D72,PlayerSummaryTable[Player],0)),"")</f>
        <v>N/A</v>
      </c>
      <c r="N72">
        <f>IFERROR(INDEX(PlayerSummaryTable[Receiving Yds],MATCH('Rankings Master'!D72,PlayerSummaryTable[Player],0)),"")</f>
        <v>799.5</v>
      </c>
      <c r="O72" t="str">
        <f>IFERROR(INDEX(PlayerSummaryTable[Passing Yds],MATCH('Rankings Master'!D72,PlayerSummaryTable[Player],0)),"")</f>
        <v>N/A</v>
      </c>
      <c r="U72" t="str">
        <f>IF(COUNTIF('Draft Log'!$B$2:$B$301,D72)&gt;0,"DRAFTED","")</f>
        <v>DRAFTED</v>
      </c>
      <c r="V72">
        <f>IFERROR(INDEX('Draft Log'!$A$2:$A$301,MATCH(D72,'Draft Log'!$B$2:$B$301,0)),"")</f>
        <v>61</v>
      </c>
      <c r="W72" t="str">
        <f>IFERROR(INDEX('Draft Log'!$C$2:$C$301,MATCH(D72,'Draft Log'!$B$2:$B$301,0)),"")</f>
        <v>Team Afeef</v>
      </c>
    </row>
    <row r="73" spans="1:23">
      <c r="A73" s="1">
        <v>70</v>
      </c>
      <c r="B73" t="s">
        <v>664</v>
      </c>
      <c r="C73" t="s">
        <v>665</v>
      </c>
      <c r="D73" t="str">
        <f>IF($D$1="ESPN",INDEX(Table2[Mapped Name],MATCH('Rankings Master'!$A73,Table2[Overall Rank],0)),IF('Rankings Master'!$D$1="NFL.com",INDEX(Table3[Name Clean],MATCH('Rankings Master'!$A73,Table3[Rank],0)),IF('Rankings Master'!$D$1="Sleeper",INDEX(Sleeper!$B$2:$B$201,MATCH('Rankings Master'!$A73,Sleeper!$A$2:$A$201,0)),"Need platform")))</f>
        <v>Parker Washington</v>
      </c>
      <c r="E73" t="str">
        <f>IF($D$1="ESPN",INDEX(Table2[Position],MATCH('Rankings Master'!$A73,Table2[Overall Rank],0)),IF('Rankings Master'!$D$1="NFL.com",INDEX(Table3[Position],MATCH('Rankings Master'!$A73,Table3[Rank],0)),INDEX(Sleeper!$C$2:$C$201,MATCH('Rankings Master'!A73,Sleeper!$A$2:$A$201,0))))</f>
        <v>WR</v>
      </c>
      <c r="F73">
        <f>INDEX(Table4[RK],MATCH('Rankings Master'!D73,Table4[PLAYER NAME],0))</f>
        <v>66</v>
      </c>
      <c r="G73">
        <f t="shared" si="10"/>
        <v>4</v>
      </c>
      <c r="H73">
        <f t="shared" si="11"/>
        <v>6.0606060606060608E-2</v>
      </c>
      <c r="I73" t="str">
        <f t="shared" si="9"/>
        <v>Slightly Undervalued</v>
      </c>
      <c r="J73" t="str">
        <f t="shared" si="13"/>
        <v>Y</v>
      </c>
      <c r="K73">
        <f t="shared" si="12"/>
        <v>3</v>
      </c>
      <c r="L73" t="str">
        <f>IF(J73="M",COUNTIFS($J$4:J73,"M",$E$4:E73,E73)&amp;" - "&amp;K73,"N/A")</f>
        <v>N/A</v>
      </c>
      <c r="M73" t="str">
        <f>IFERROR(INDEX(PlayerSummaryTable[Rushing Yds],MATCH('Rankings Master'!D73,PlayerSummaryTable[Player],0)),"")</f>
        <v>N/A</v>
      </c>
      <c r="N73">
        <f>IFERROR(INDEX(PlayerSummaryTable[Receiving Yds],MATCH('Rankings Master'!D73,PlayerSummaryTable[Player],0)),"")</f>
        <v>824.5</v>
      </c>
      <c r="O73" t="str">
        <f>IFERROR(INDEX(PlayerSummaryTable[Passing Yds],MATCH('Rankings Master'!D73,PlayerSummaryTable[Player],0)),"")</f>
        <v>N/A</v>
      </c>
      <c r="U73" t="str">
        <f>IF(COUNTIF('Draft Log'!$B$2:$B$301,D73)&gt;0,"DRAFTED","")</f>
        <v>DRAFTED</v>
      </c>
      <c r="V73">
        <f>IFERROR(INDEX('Draft Log'!$A$2:$A$301,MATCH(D73,'Draft Log'!$B$2:$B$301,0)),"")</f>
        <v>66</v>
      </c>
      <c r="W73" t="str">
        <f>IFERROR(INDEX('Draft Log'!$C$2:$C$301,MATCH(D73,'Draft Log'!$B$2:$B$301,0)),"")</f>
        <v>BEST COUNTRY IN THE WORLD</v>
      </c>
    </row>
    <row r="74" spans="1:23">
      <c r="A74" s="1">
        <v>71</v>
      </c>
      <c r="B74" t="s">
        <v>666</v>
      </c>
      <c r="C74" t="s">
        <v>667</v>
      </c>
      <c r="D74" t="str">
        <f>IF($D$1="ESPN",INDEX(Table2[Mapped Name],MATCH('Rankings Master'!$A74,Table2[Overall Rank],0)),IF('Rankings Master'!$D$1="NFL.com",INDEX(Table3[Name Clean],MATCH('Rankings Master'!$A74,Table3[Rank],0)),IF('Rankings Master'!$D$1="Sleeper",INDEX(Sleeper!$B$2:$B$201,MATCH('Rankings Master'!$A74,Sleeper!$A$2:$A$201,0)),"Need platform")))</f>
        <v>Kyle Pitts Sr.</v>
      </c>
      <c r="E74" t="str">
        <f>IF($D$1="ESPN",INDEX(Table2[Position],MATCH('Rankings Master'!$A74,Table2[Overall Rank],0)),IF('Rankings Master'!$D$1="NFL.com",INDEX(Table3[Position],MATCH('Rankings Master'!$A74,Table3[Rank],0)),INDEX(Sleeper!$C$2:$C$201,MATCH('Rankings Master'!A74,Sleeper!$A$2:$A$201,0))))</f>
        <v>TE</v>
      </c>
      <c r="F74">
        <f>INDEX(Table4[RK],MATCH('Rankings Master'!D74,Table4[PLAYER NAME],0))</f>
        <v>86</v>
      </c>
      <c r="G74">
        <f t="shared" si="10"/>
        <v>-15</v>
      </c>
      <c r="H74">
        <f t="shared" si="11"/>
        <v>-0.1744186046511628</v>
      </c>
      <c r="I74" t="str">
        <f t="shared" si="9"/>
        <v>Pretty Overvalued</v>
      </c>
      <c r="J74" t="str">
        <f t="shared" si="13"/>
        <v>Y</v>
      </c>
      <c r="K74">
        <f t="shared" si="12"/>
        <v>4</v>
      </c>
      <c r="L74" t="str">
        <f>IF(J74="M",COUNTIFS($J$4:J74,"M",$E$4:E74,E74)&amp;" - "&amp;K74,"N/A")</f>
        <v>N/A</v>
      </c>
      <c r="M74" t="str">
        <f>IFERROR(INDEX(PlayerSummaryTable[Rushing Yds],MATCH('Rankings Master'!D74,PlayerSummaryTable[Player],0)),"")</f>
        <v/>
      </c>
      <c r="N74" t="str">
        <f>IFERROR(INDEX(PlayerSummaryTable[Receiving Yds],MATCH('Rankings Master'!D74,PlayerSummaryTable[Player],0)),"")</f>
        <v/>
      </c>
      <c r="O74" t="str">
        <f>IFERROR(INDEX(PlayerSummaryTable[Passing Yds],MATCH('Rankings Master'!D74,PlayerSummaryTable[Player],0)),"")</f>
        <v/>
      </c>
      <c r="U74" t="str">
        <f>IF(COUNTIF('Draft Log'!$B$2:$B$301,D74)&gt;0,"DRAFTED","")</f>
        <v>DRAFTED</v>
      </c>
      <c r="V74">
        <f>IFERROR(INDEX('Draft Log'!$A$2:$A$301,MATCH(D74,'Draft Log'!$B$2:$B$301,0)),"")</f>
        <v>89</v>
      </c>
      <c r="W74" t="str">
        <f>IFERROR(INDEX('Draft Log'!$C$2:$C$301,MATCH(D74,'Draft Log'!$B$2:$B$301,0)),"")</f>
        <v>The Good, Bad and Ugly</v>
      </c>
    </row>
    <row r="75" spans="1:23">
      <c r="A75" s="1">
        <v>72</v>
      </c>
      <c r="B75" t="s">
        <v>668</v>
      </c>
      <c r="C75" t="s">
        <v>588</v>
      </c>
      <c r="D75" t="str">
        <f>IF($D$1="ESPN",INDEX(Table2[Mapped Name],MATCH('Rankings Master'!$A75,Table2[Overall Rank],0)),IF('Rankings Master'!$D$1="NFL.com",INDEX(Table3[Name Clean],MATCH('Rankings Master'!$A75,Table3[Rank],0)),IF('Rankings Master'!$D$1="Sleeper",INDEX(Sleeper!$B$2:$B$201,MATCH('Rankings Master'!$A75,Sleeper!$A$2:$A$201,0)),"Need platform")))</f>
        <v>Harold Fannin Jr.</v>
      </c>
      <c r="E75" t="str">
        <f>IF($D$1="ESPN",INDEX(Table2[Position],MATCH('Rankings Master'!$A75,Table2[Overall Rank],0)),IF('Rankings Master'!$D$1="NFL.com",INDEX(Table3[Position],MATCH('Rankings Master'!$A75,Table3[Rank],0)),INDEX(Sleeper!$C$2:$C$201,MATCH('Rankings Master'!A75,Sleeper!$A$2:$A$201,0))))</f>
        <v>TE</v>
      </c>
      <c r="F75">
        <f>INDEX(Table4[RK],MATCH('Rankings Master'!D75,Table4[PLAYER NAME],0))</f>
        <v>90</v>
      </c>
      <c r="G75">
        <f t="shared" si="10"/>
        <v>-18</v>
      </c>
      <c r="H75">
        <f t="shared" si="11"/>
        <v>-0.2</v>
      </c>
      <c r="I75" t="str">
        <f t="shared" si="9"/>
        <v>Pretty Overvalued</v>
      </c>
      <c r="J75" t="str">
        <f t="shared" si="13"/>
        <v>Y</v>
      </c>
      <c r="K75">
        <f t="shared" si="12"/>
        <v>4</v>
      </c>
      <c r="L75" t="str">
        <f>IF(J75="M",COUNTIFS($J$4:J75,"M",$E$4:E75,E75)&amp;" - "&amp;K75,"N/A")</f>
        <v>N/A</v>
      </c>
      <c r="M75" t="str">
        <f>IFERROR(INDEX(PlayerSummaryTable[Rushing Yds],MATCH('Rankings Master'!D75,PlayerSummaryTable[Player],0)),"")</f>
        <v/>
      </c>
      <c r="N75" t="str">
        <f>IFERROR(INDEX(PlayerSummaryTable[Receiving Yds],MATCH('Rankings Master'!D75,PlayerSummaryTable[Player],0)),"")</f>
        <v/>
      </c>
      <c r="O75" t="str">
        <f>IFERROR(INDEX(PlayerSummaryTable[Passing Yds],MATCH('Rankings Master'!D75,PlayerSummaryTable[Player],0)),"")</f>
        <v/>
      </c>
      <c r="U75" t="str">
        <f>IF(COUNTIF('Draft Log'!$B$2:$B$301,D75)&gt;0,"DRAFTED","")</f>
        <v>DRAFTED</v>
      </c>
      <c r="V75">
        <f>IFERROR(INDEX('Draft Log'!$A$2:$A$301,MATCH(D75,'Draft Log'!$B$2:$B$301,0)),"")</f>
        <v>74</v>
      </c>
      <c r="W75" t="str">
        <f>IFERROR(INDEX('Draft Log'!$C$2:$C$301,MATCH(D75,'Draft Log'!$B$2:$B$301,0)),"")</f>
        <v>Eight Bell Tolls</v>
      </c>
    </row>
    <row r="76" spans="1:23">
      <c r="A76" s="1">
        <v>73</v>
      </c>
      <c r="B76" t="s">
        <v>669</v>
      </c>
      <c r="C76" t="s">
        <v>670</v>
      </c>
      <c r="D76" t="str">
        <f>IF($D$1="ESPN",INDEX(Table2[Mapped Name],MATCH('Rankings Master'!$A76,Table2[Overall Rank],0)),IF('Rankings Master'!$D$1="NFL.com",INDEX(Table3[Name Clean],MATCH('Rankings Master'!$A76,Table3[Rank],0)),IF('Rankings Master'!$D$1="Sleeper",INDEX(Sleeper!$B$2:$B$201,MATCH('Rankings Master'!$A76,Sleeper!$A$2:$A$201,0)),"Need platform")))</f>
        <v>Sam LaPorta</v>
      </c>
      <c r="E76" t="str">
        <f>IF($D$1="ESPN",INDEX(Table2[Position],MATCH('Rankings Master'!$A76,Table2[Overall Rank],0)),IF('Rankings Master'!$D$1="NFL.com",INDEX(Table3[Position],MATCH('Rankings Master'!$A76,Table3[Rank],0)),INDEX(Sleeper!$C$2:$C$201,MATCH('Rankings Master'!A76,Sleeper!$A$2:$A$201,0))))</f>
        <v>TE</v>
      </c>
      <c r="F76">
        <f>INDEX(Table4[RK],MATCH('Rankings Master'!D76,Table4[PLAYER NAME],0))</f>
        <v>79</v>
      </c>
      <c r="G76">
        <f t="shared" si="10"/>
        <v>-6</v>
      </c>
      <c r="H76">
        <f t="shared" si="11"/>
        <v>-7.5949367088607597E-2</v>
      </c>
      <c r="I76" t="str">
        <f t="shared" si="9"/>
        <v>Slightly Overvalued</v>
      </c>
      <c r="J76" t="str">
        <f t="shared" si="13"/>
        <v>Y</v>
      </c>
      <c r="K76">
        <f t="shared" si="12"/>
        <v>4</v>
      </c>
      <c r="L76" t="str">
        <f>IF(J76="M",COUNTIFS($J$4:J76,"M",$E$4:E76,E76)&amp;" - "&amp;K76,"N/A")</f>
        <v>N/A</v>
      </c>
      <c r="M76" t="str">
        <f>IFERROR(INDEX(PlayerSummaryTable[Rushing Yds],MATCH('Rankings Master'!D76,PlayerSummaryTable[Player],0)),"")</f>
        <v/>
      </c>
      <c r="N76" t="str">
        <f>IFERROR(INDEX(PlayerSummaryTable[Receiving Yds],MATCH('Rankings Master'!D76,PlayerSummaryTable[Player],0)),"")</f>
        <v/>
      </c>
      <c r="O76" t="str">
        <f>IFERROR(INDEX(PlayerSummaryTable[Passing Yds],MATCH('Rankings Master'!D76,PlayerSummaryTable[Player],0)),"")</f>
        <v/>
      </c>
      <c r="U76" t="str">
        <f>IF(COUNTIF('Draft Log'!$B$2:$B$301,D76)&gt;0,"DRAFTED","")</f>
        <v>DRAFTED</v>
      </c>
      <c r="V76">
        <f>IFERROR(INDEX('Draft Log'!$A$2:$A$301,MATCH(D76,'Draft Log'!$B$2:$B$301,0)),"")</f>
        <v>83</v>
      </c>
      <c r="W76" t="str">
        <f>IFERROR(INDEX('Draft Log'!$C$2:$C$301,MATCH(D76,'Draft Log'!$B$2:$B$301,0)),"")</f>
        <v>dontsaynosayYA</v>
      </c>
    </row>
    <row r="77" spans="1:23">
      <c r="A77" s="1">
        <v>74</v>
      </c>
      <c r="B77" t="s">
        <v>671</v>
      </c>
      <c r="C77" t="s">
        <v>672</v>
      </c>
      <c r="D77" t="str">
        <f>IF($D$1="ESPN",INDEX(Table2[Mapped Name],MATCH('Rankings Master'!$A77,Table2[Overall Rank],0)),IF('Rankings Master'!$D$1="NFL.com",INDEX(Table3[Name Clean],MATCH('Rankings Master'!$A77,Table3[Rank],0)),IF('Rankings Master'!$D$1="Sleeper",INDEX(Sleeper!$B$2:$B$201,MATCH('Rankings Master'!$A77,Sleeper!$A$2:$A$201,0)),"Need platform")))</f>
        <v>Joe Burrow</v>
      </c>
      <c r="E77" t="str">
        <f>IF($D$1="ESPN",INDEX(Table2[Position],MATCH('Rankings Master'!$A77,Table2[Overall Rank],0)),IF('Rankings Master'!$D$1="NFL.com",INDEX(Table3[Position],MATCH('Rankings Master'!$A77,Table3[Rank],0)),INDEX(Sleeper!$C$2:$C$201,MATCH('Rankings Master'!A77,Sleeper!$A$2:$A$201,0))))</f>
        <v>QB</v>
      </c>
      <c r="F77">
        <f>INDEX(Table4[RK],MATCH('Rankings Master'!D77,Table4[PLAYER NAME],0))</f>
        <v>42</v>
      </c>
      <c r="G77">
        <f t="shared" si="10"/>
        <v>32</v>
      </c>
      <c r="H77">
        <f t="shared" si="11"/>
        <v>0.76190476190476186</v>
      </c>
      <c r="I77" t="str">
        <f t="shared" si="9"/>
        <v>Extremely Undervalued</v>
      </c>
      <c r="J77" t="str">
        <f t="shared" si="13"/>
        <v>Y</v>
      </c>
      <c r="K77">
        <f t="shared" si="12"/>
        <v>1</v>
      </c>
      <c r="L77" t="str">
        <f>IF(J77="M",COUNTIFS($J$4:J77,"M",$E$4:E77,E77)&amp;" - "&amp;K77,"N/A")</f>
        <v>N/A</v>
      </c>
      <c r="M77" t="str">
        <f>IFERROR(INDEX(PlayerSummaryTable[Rushing Yds],MATCH('Rankings Master'!D77,PlayerSummaryTable[Player],0)),"")</f>
        <v>N/A</v>
      </c>
      <c r="N77" t="str">
        <f>IFERROR(INDEX(PlayerSummaryTable[Receiving Yds],MATCH('Rankings Master'!D77,PlayerSummaryTable[Player],0)),"")</f>
        <v>N/A</v>
      </c>
      <c r="O77">
        <f>IFERROR(INDEX(PlayerSummaryTable[Passing Yds],MATCH('Rankings Master'!D77,PlayerSummaryTable[Player],0)),"")</f>
        <v>3999.5</v>
      </c>
      <c r="U77" t="str">
        <f>IF(COUNTIF('Draft Log'!$B$2:$B$301,D77)&gt;0,"DRAFTED","")</f>
        <v>DRAFTED</v>
      </c>
      <c r="V77">
        <f>IFERROR(INDEX('Draft Log'!$A$2:$A$301,MATCH(D77,'Draft Log'!$B$2:$B$301,0)),"")</f>
        <v>63</v>
      </c>
      <c r="W77" t="str">
        <f>IFERROR(INDEX('Draft Log'!$C$2:$C$301,MATCH(D77,'Draft Log'!$B$2:$B$301,0)),"")</f>
        <v>dontsaynosayYA</v>
      </c>
    </row>
    <row r="78" spans="1:23">
      <c r="A78" s="1">
        <v>75</v>
      </c>
      <c r="B78" t="s">
        <v>673</v>
      </c>
      <c r="C78" t="s">
        <v>674</v>
      </c>
      <c r="D78" t="str">
        <f>IF($D$1="ESPN",INDEX(Table2[Mapped Name],MATCH('Rankings Master'!$A78,Table2[Overall Rank],0)),IF('Rankings Master'!$D$1="NFL.com",INDEX(Table3[Name Clean],MATCH('Rankings Master'!$A78,Table3[Rank],0)),IF('Rankings Master'!$D$1="Sleeper",INDEX(Sleeper!$B$2:$B$201,MATCH('Rankings Master'!$A78,Sleeper!$A$2:$A$201,0)),"Need platform")))</f>
        <v>Jaxson Dart</v>
      </c>
      <c r="E78" t="str">
        <f>IF($D$1="ESPN",INDEX(Table2[Position],MATCH('Rankings Master'!$A78,Table2[Overall Rank],0)),IF('Rankings Master'!$D$1="NFL.com",INDEX(Table3[Position],MATCH('Rankings Master'!$A78,Table3[Rank],0)),INDEX(Sleeper!$C$2:$C$201,MATCH('Rankings Master'!A78,Sleeper!$A$2:$A$201,0))))</f>
        <v>QB</v>
      </c>
      <c r="F78">
        <f>INDEX(Table4[RK],MATCH('Rankings Master'!D78,Table4[PLAYER NAME],0))</f>
        <v>95</v>
      </c>
      <c r="G78">
        <f t="shared" si="10"/>
        <v>-20</v>
      </c>
      <c r="H78">
        <f t="shared" si="11"/>
        <v>-0.21052631578947367</v>
      </c>
      <c r="I78" t="str">
        <f t="shared" ref="I78:I109" si="14">IF(AND(H78 &gt; -1, H78 &lt;= -0.5), "Extremely Overvalued",
IF(AND(H78 &gt; -0.5, H78 &lt;= -0.15), "Pretty Overvalued",
IF(AND(H78 &gt; -0.15, H78 &lt; 0), "Slightly Overvalued",
IF(H78 = 0, "At ADP",
IF(AND(H78 &gt; 0, H78 &lt;= 0.15), "Slightly Undervalued",
IF(AND(H78 &gt; 0.15, H78 &lt;= 0.5), "Pretty Undervalued",
IF(AND(H78 &gt; 0.5, H78 &lt;= 1), "Extremely Undervalued", "")))))))</f>
        <v>Pretty Overvalued</v>
      </c>
      <c r="J78" t="str">
        <f t="shared" si="13"/>
        <v>Y</v>
      </c>
      <c r="K78">
        <f t="shared" si="12"/>
        <v>1</v>
      </c>
      <c r="L78" t="str">
        <f>IF(J78="M",COUNTIFS($J$4:J78,"M",$E$4:E78,E78)&amp;" - "&amp;K78,"N/A")</f>
        <v>N/A</v>
      </c>
      <c r="M78">
        <f>IFERROR(INDEX(PlayerSummaryTable[Rushing Yds],MATCH('Rankings Master'!D78,PlayerSummaryTable[Player],0)),"")</f>
        <v>449.5</v>
      </c>
      <c r="N78" t="str">
        <f>IFERROR(INDEX(PlayerSummaryTable[Receiving Yds],MATCH('Rankings Master'!D78,PlayerSummaryTable[Player],0)),"")</f>
        <v>N/A</v>
      </c>
      <c r="O78">
        <f>IFERROR(INDEX(PlayerSummaryTable[Passing Yds],MATCH('Rankings Master'!D78,PlayerSummaryTable[Player],0)),"")</f>
        <v>3150.5</v>
      </c>
      <c r="U78" t="str">
        <f>IF(COUNTIF('Draft Log'!$B$2:$B$301,D78)&gt;0,"DRAFTED","")</f>
        <v>DRAFTED</v>
      </c>
      <c r="V78">
        <f>IFERROR(INDEX('Draft Log'!$A$2:$A$301,MATCH(D78,'Draft Log'!$B$2:$B$301,0)),"")</f>
        <v>106</v>
      </c>
      <c r="W78" t="str">
        <f>IFERROR(INDEX('Draft Log'!$C$2:$C$301,MATCH(D78,'Draft Log'!$B$2:$B$301,0)),"")</f>
        <v>BEST COUNTRY IN THE WORLD</v>
      </c>
    </row>
    <row r="79" spans="1:23">
      <c r="A79" s="1">
        <v>76</v>
      </c>
      <c r="B79" t="s">
        <v>622</v>
      </c>
      <c r="C79" t="s">
        <v>675</v>
      </c>
      <c r="D79" t="str">
        <f>IF($D$1="ESPN",INDEX(Table2[Mapped Name],MATCH('Rankings Master'!$A79,Table2[Overall Rank],0)),IF('Rankings Master'!$D$1="NFL.com",INDEX(Table3[Name Clean],MATCH('Rankings Master'!$A79,Table3[Rank],0)),IF('Rankings Master'!$D$1="Sleeper",INDEX(Sleeper!$B$2:$B$201,MATCH('Rankings Master'!$A79,Sleeper!$A$2:$A$201,0)),"Need platform")))</f>
        <v>Mike Evans</v>
      </c>
      <c r="E79" t="str">
        <f>IF($D$1="ESPN",INDEX(Table2[Position],MATCH('Rankings Master'!$A79,Table2[Overall Rank],0)),IF('Rankings Master'!$D$1="NFL.com",INDEX(Table3[Position],MATCH('Rankings Master'!$A79,Table3[Rank],0)),INDEX(Sleeper!$C$2:$C$201,MATCH('Rankings Master'!A79,Sleeper!$A$2:$A$201,0))))</f>
        <v>WR</v>
      </c>
      <c r="F79">
        <f>INDEX(Table4[RK],MATCH('Rankings Master'!D79,Table4[PLAYER NAME],0))</f>
        <v>64</v>
      </c>
      <c r="G79">
        <f t="shared" si="10"/>
        <v>12</v>
      </c>
      <c r="H79">
        <f t="shared" si="11"/>
        <v>0.1875</v>
      </c>
      <c r="I79" t="str">
        <f t="shared" si="14"/>
        <v>Pretty Undervalued</v>
      </c>
      <c r="J79" t="str">
        <f t="shared" si="13"/>
        <v>M</v>
      </c>
      <c r="K79">
        <f t="shared" si="12"/>
        <v>3</v>
      </c>
      <c r="L79" t="str">
        <f>IF(J79="M",COUNTIFS($J$4:J79,"M",$E$4:E79,E79)&amp;" - "&amp;K79,"N/A")</f>
        <v>5 - 3</v>
      </c>
      <c r="M79" t="str">
        <f>IFERROR(INDEX(PlayerSummaryTable[Rushing Yds],MATCH('Rankings Master'!D79,PlayerSummaryTable[Player],0)),"")</f>
        <v>N/A</v>
      </c>
      <c r="N79">
        <f>IFERROR(INDEX(PlayerSummaryTable[Receiving Yds],MATCH('Rankings Master'!D79,PlayerSummaryTable[Player],0)),"")</f>
        <v>799.5</v>
      </c>
      <c r="O79" t="str">
        <f>IFERROR(INDEX(PlayerSummaryTable[Passing Yds],MATCH('Rankings Master'!D79,PlayerSummaryTable[Player],0)),"")</f>
        <v>N/A</v>
      </c>
      <c r="U79" t="str">
        <f>IF(COUNTIF('Draft Log'!$B$2:$B$301,D79)&gt;0,"DRAFTED","")</f>
        <v>DRAFTED</v>
      </c>
      <c r="V79">
        <f>IFERROR(INDEX('Draft Log'!$A$2:$A$301,MATCH(D79,'Draft Log'!$B$2:$B$301,0)),"")</f>
        <v>73</v>
      </c>
      <c r="W79" t="str">
        <f>IFERROR(INDEX('Draft Log'!$C$2:$C$301,MATCH(D79,'Draft Log'!$B$2:$B$301,0)),"")</f>
        <v>Mustafa is Not Like Us</v>
      </c>
    </row>
    <row r="80" spans="1:23">
      <c r="A80" s="1">
        <v>77</v>
      </c>
      <c r="B80" t="s">
        <v>676</v>
      </c>
      <c r="C80" t="s">
        <v>677</v>
      </c>
      <c r="D80" t="str">
        <f>IF($D$1="ESPN",INDEX(Table2[Mapped Name],MATCH('Rankings Master'!$A80,Table2[Overall Rank],0)),IF('Rankings Master'!$D$1="NFL.com",INDEX(Table3[Name Clean],MATCH('Rankings Master'!$A80,Table3[Rank],0)),IF('Rankings Master'!$D$1="Sleeper",INDEX(Sleeper!$B$2:$B$201,MATCH('Rankings Master'!$A80,Sleeper!$A$2:$A$201,0)),"Need platform")))</f>
        <v>Michael Pittman Jr.</v>
      </c>
      <c r="E80" t="str">
        <f>IF($D$1="ESPN",INDEX(Table2[Position],MATCH('Rankings Master'!$A80,Table2[Overall Rank],0)),IF('Rankings Master'!$D$1="NFL.com",INDEX(Table3[Position],MATCH('Rankings Master'!$A80,Table3[Rank],0)),INDEX(Sleeper!$C$2:$C$201,MATCH('Rankings Master'!A80,Sleeper!$A$2:$A$201,0))))</f>
        <v>WR</v>
      </c>
      <c r="F80">
        <f>INDEX(Table4[RK],MATCH('Rankings Master'!D80,Table4[PLAYER NAME],0))</f>
        <v>105</v>
      </c>
      <c r="G80">
        <f t="shared" si="10"/>
        <v>-28</v>
      </c>
      <c r="H80">
        <f t="shared" si="11"/>
        <v>-0.26666666666666666</v>
      </c>
      <c r="I80" t="str">
        <f t="shared" si="14"/>
        <v>Pretty Overvalued</v>
      </c>
      <c r="J80" t="str">
        <f t="shared" si="13"/>
        <v>Y</v>
      </c>
      <c r="K80">
        <f t="shared" si="12"/>
        <v>3</v>
      </c>
      <c r="L80" t="str">
        <f>IF(J80="M",COUNTIFS($J$4:J80,"M",$E$4:E80,E80)&amp;" - "&amp;K80,"N/A")</f>
        <v>N/A</v>
      </c>
      <c r="M80" t="str">
        <f>IFERROR(INDEX(PlayerSummaryTable[Rushing Yds],MATCH('Rankings Master'!D80,PlayerSummaryTable[Player],0)),"")</f>
        <v/>
      </c>
      <c r="N80" t="str">
        <f>IFERROR(INDEX(PlayerSummaryTable[Receiving Yds],MATCH('Rankings Master'!D80,PlayerSummaryTable[Player],0)),"")</f>
        <v/>
      </c>
      <c r="O80" t="str">
        <f>IFERROR(INDEX(PlayerSummaryTable[Passing Yds],MATCH('Rankings Master'!D80,PlayerSummaryTable[Player],0)),"")</f>
        <v/>
      </c>
      <c r="U80" t="str">
        <f>IF(COUNTIF('Draft Log'!$B$2:$B$301,D80)&gt;0,"DRAFTED","")</f>
        <v>DRAFTED</v>
      </c>
      <c r="V80">
        <f>IFERROR(INDEX('Draft Log'!$A$2:$A$301,MATCH(D80,'Draft Log'!$B$2:$B$301,0)),"")</f>
        <v>98</v>
      </c>
      <c r="W80" t="str">
        <f>IFERROR(INDEX('Draft Log'!$C$2:$C$301,MATCH(D80,'Draft Log'!$B$2:$B$301,0)),"")</f>
        <v>dontsaynosayYA</v>
      </c>
    </row>
    <row r="81" spans="1:23">
      <c r="A81" s="1">
        <v>78</v>
      </c>
      <c r="B81" t="s">
        <v>607</v>
      </c>
      <c r="C81" t="s">
        <v>678</v>
      </c>
      <c r="D81" t="str">
        <f>IF($D$1="ESPN",INDEX(Table2[Mapped Name],MATCH('Rankings Master'!$A81,Table2[Overall Rank],0)),IF('Rankings Master'!$D$1="NFL.com",INDEX(Table3[Name Clean],MATCH('Rankings Master'!$A81,Table3[Rank],0)),IF('Rankings Master'!$D$1="Sleeper",INDEX(Sleeper!$B$2:$B$201,MATCH('Rankings Master'!$A81,Sleeper!$A$2:$A$201,0)),"Need platform")))</f>
        <v>Brian Thomas Jr.</v>
      </c>
      <c r="E81" t="str">
        <f>IF($D$1="ESPN",INDEX(Table2[Position],MATCH('Rankings Master'!$A81,Table2[Overall Rank],0)),IF('Rankings Master'!$D$1="NFL.com",INDEX(Table3[Position],MATCH('Rankings Master'!$A81,Table3[Rank],0)),INDEX(Sleeper!$C$2:$C$201,MATCH('Rankings Master'!A81,Sleeper!$A$2:$A$201,0))))</f>
        <v>WR</v>
      </c>
      <c r="F81">
        <f>INDEX(Table4[RK],MATCH('Rankings Master'!D81,Table4[PLAYER NAME],0))</f>
        <v>75</v>
      </c>
      <c r="G81">
        <f t="shared" si="10"/>
        <v>3</v>
      </c>
      <c r="H81">
        <f t="shared" si="11"/>
        <v>0.04</v>
      </c>
      <c r="I81" t="str">
        <f t="shared" si="14"/>
        <v>Slightly Undervalued</v>
      </c>
      <c r="J81" t="str">
        <f t="shared" si="13"/>
        <v>Y</v>
      </c>
      <c r="K81">
        <f t="shared" si="12"/>
        <v>3</v>
      </c>
      <c r="L81" t="str">
        <f>IF(J81="M",COUNTIFS($J$4:J81,"M",$E$4:E81,E81)&amp;" - "&amp;K81,"N/A")</f>
        <v>N/A</v>
      </c>
      <c r="M81" t="str">
        <f>IFERROR(INDEX(PlayerSummaryTable[Rushing Yds],MATCH('Rankings Master'!D81,PlayerSummaryTable[Player],0)),"")</f>
        <v/>
      </c>
      <c r="N81" t="str">
        <f>IFERROR(INDEX(PlayerSummaryTable[Receiving Yds],MATCH('Rankings Master'!D81,PlayerSummaryTable[Player],0)),"")</f>
        <v/>
      </c>
      <c r="O81" t="str">
        <f>IFERROR(INDEX(PlayerSummaryTable[Passing Yds],MATCH('Rankings Master'!D81,PlayerSummaryTable[Player],0)),"")</f>
        <v/>
      </c>
      <c r="U81" t="str">
        <f>IF(COUNTIF('Draft Log'!$B$2:$B$301,D81)&gt;0,"DRAFTED","")</f>
        <v>DRAFTED</v>
      </c>
      <c r="V81">
        <f>IFERROR(INDEX('Draft Log'!$A$2:$A$301,MATCH(D81,'Draft Log'!$B$2:$B$301,0)),"")</f>
        <v>91</v>
      </c>
      <c r="W81" t="str">
        <f>IFERROR(INDEX('Draft Log'!$C$2:$C$301,MATCH(D81,'Draft Log'!$B$2:$B$301,0)),"")</f>
        <v>Double Chubb Chocolate Cookie</v>
      </c>
    </row>
    <row r="82" spans="1:23">
      <c r="A82" s="1">
        <v>79</v>
      </c>
      <c r="B82" t="s">
        <v>600</v>
      </c>
      <c r="C82" t="s">
        <v>679</v>
      </c>
      <c r="D82" t="str">
        <f>IF($D$1="ESPN",INDEX(Table2[Mapped Name],MATCH('Rankings Master'!$A82,Table2[Overall Rank],0)),IF('Rankings Master'!$D$1="NFL.com",INDEX(Table3[Name Clean],MATCH('Rankings Master'!$A82,Table3[Rank],0)),IF('Rankings Master'!$D$1="Sleeper",INDEX(Sleeper!$B$2:$B$201,MATCH('Rankings Master'!$A82,Sleeper!$A$2:$A$201,0)),"Need platform")))</f>
        <v>Matthew Golden</v>
      </c>
      <c r="E82" t="str">
        <f>IF($D$1="ESPN",INDEX(Table2[Position],MATCH('Rankings Master'!$A82,Table2[Overall Rank],0)),IF('Rankings Master'!$D$1="NFL.com",INDEX(Table3[Position],MATCH('Rankings Master'!$A82,Table3[Rank],0)),INDEX(Sleeper!$C$2:$C$201,MATCH('Rankings Master'!A82,Sleeper!$A$2:$A$201,0))))</f>
        <v>WR</v>
      </c>
      <c r="F82">
        <f>INDEX(Table4[RK],MATCH('Rankings Master'!D82,Table4[PLAYER NAME],0))</f>
        <v>125</v>
      </c>
      <c r="G82">
        <f t="shared" si="10"/>
        <v>-46</v>
      </c>
      <c r="H82">
        <f t="shared" si="11"/>
        <v>-0.36799999999999999</v>
      </c>
      <c r="I82" t="str">
        <f t="shared" si="14"/>
        <v>Pretty Overvalued</v>
      </c>
      <c r="J82" t="str">
        <f t="shared" si="13"/>
        <v>Y</v>
      </c>
      <c r="K82">
        <f t="shared" si="12"/>
        <v>3</v>
      </c>
      <c r="L82" t="str">
        <f>IF(J82="M",COUNTIFS($J$4:J82,"M",$E$4:E82,E82)&amp;" - "&amp;K82,"N/A")</f>
        <v>N/A</v>
      </c>
      <c r="M82" t="str">
        <f>IFERROR(INDEX(PlayerSummaryTable[Rushing Yds],MATCH('Rankings Master'!D82,PlayerSummaryTable[Player],0)),"")</f>
        <v>N/A</v>
      </c>
      <c r="N82">
        <f>IFERROR(INDEX(PlayerSummaryTable[Receiving Yds],MATCH('Rankings Master'!D82,PlayerSummaryTable[Player],0)),"")</f>
        <v>649.5</v>
      </c>
      <c r="O82" t="str">
        <f>IFERROR(INDEX(PlayerSummaryTable[Passing Yds],MATCH('Rankings Master'!D82,PlayerSummaryTable[Player],0)),"")</f>
        <v>N/A</v>
      </c>
      <c r="U82" t="str">
        <f>IF(COUNTIF('Draft Log'!$B$2:$B$301,D82)&gt;0,"DRAFTED","")</f>
        <v>DRAFTED</v>
      </c>
      <c r="V82">
        <f>IFERROR(INDEX('Draft Log'!$A$2:$A$301,MATCH(D82,'Draft Log'!$B$2:$B$301,0)),"")</f>
        <v>94</v>
      </c>
      <c r="W82" t="str">
        <f>IFERROR(INDEX('Draft Log'!$C$2:$C$301,MATCH(D82,'Draft Log'!$B$2:$B$301,0)),"")</f>
        <v>Eight Bell Tolls</v>
      </c>
    </row>
    <row r="83" spans="1:23">
      <c r="A83" s="1">
        <v>80</v>
      </c>
      <c r="B83" t="s">
        <v>680</v>
      </c>
      <c r="C83" t="s">
        <v>681</v>
      </c>
      <c r="D83" t="str">
        <f>IF($D$1="ESPN",INDEX(Table2[Mapped Name],MATCH('Rankings Master'!$A83,Table2[Overall Rank],0)),IF('Rankings Master'!$D$1="NFL.com",INDEX(Table3[Name Clean],MATCH('Rankings Master'!$A83,Table3[Rank],0)),IF('Rankings Master'!$D$1="Sleeper",INDEX(Sleeper!$B$2:$B$201,MATCH('Rankings Master'!$A83,Sleeper!$A$2:$A$201,0)),"Need platform")))</f>
        <v>Jordan Addison</v>
      </c>
      <c r="E83" t="str">
        <f>IF($D$1="ESPN",INDEX(Table2[Position],MATCH('Rankings Master'!$A83,Table2[Overall Rank],0)),IF('Rankings Master'!$D$1="NFL.com",INDEX(Table3[Position],MATCH('Rankings Master'!$A83,Table3[Rank],0)),INDEX(Sleeper!$C$2:$C$201,MATCH('Rankings Master'!A83,Sleeper!$A$2:$A$201,0))))</f>
        <v>WR</v>
      </c>
      <c r="F83">
        <f>INDEX(Table4[RK],MATCH('Rankings Master'!D83,Table4[PLAYER NAME],0))</f>
        <v>97</v>
      </c>
      <c r="G83">
        <f t="shared" si="10"/>
        <v>-17</v>
      </c>
      <c r="H83">
        <f t="shared" si="11"/>
        <v>-0.17525773195876287</v>
      </c>
      <c r="I83" t="str">
        <f t="shared" si="14"/>
        <v>Pretty Overvalued</v>
      </c>
      <c r="J83" t="str">
        <f t="shared" si="13"/>
        <v>Y</v>
      </c>
      <c r="K83">
        <f t="shared" si="12"/>
        <v>3</v>
      </c>
      <c r="L83" t="str">
        <f>IF(J83="M",COUNTIFS($J$4:J83,"M",$E$4:E83,E83)&amp;" - "&amp;K83,"N/A")</f>
        <v>N/A</v>
      </c>
      <c r="M83" t="str">
        <f>IFERROR(INDEX(PlayerSummaryTable[Rushing Yds],MATCH('Rankings Master'!D83,PlayerSummaryTable[Player],0)),"")</f>
        <v>N/A</v>
      </c>
      <c r="N83">
        <f>IFERROR(INDEX(PlayerSummaryTable[Receiving Yds],MATCH('Rankings Master'!D83,PlayerSummaryTable[Player],0)),"")</f>
        <v>674.5</v>
      </c>
      <c r="O83" t="str">
        <f>IFERROR(INDEX(PlayerSummaryTable[Passing Yds],MATCH('Rankings Master'!D83,PlayerSummaryTable[Player],0)),"")</f>
        <v>N/A</v>
      </c>
      <c r="U83" t="str">
        <f>IF(COUNTIF('Draft Log'!$B$2:$B$301,D83)&gt;0,"DRAFTED","")</f>
        <v>DRAFTED</v>
      </c>
      <c r="V83">
        <f>IFERROR(INDEX('Draft Log'!$A$2:$A$301,MATCH(D83,'Draft Log'!$B$2:$B$301,0)),"")</f>
        <v>99</v>
      </c>
      <c r="W83" t="str">
        <f>IFERROR(INDEX('Draft Log'!$C$2:$C$301,MATCH(D83,'Draft Log'!$B$2:$B$301,0)),"")</f>
        <v>Benjamins Bandits</v>
      </c>
    </row>
    <row r="84" spans="1:23">
      <c r="A84" s="1">
        <v>81</v>
      </c>
      <c r="B84" t="s">
        <v>682</v>
      </c>
      <c r="C84" t="s">
        <v>683</v>
      </c>
      <c r="D84" t="str">
        <f>IF($D$1="ESPN",INDEX(Table2[Mapped Name],MATCH('Rankings Master'!$A84,Table2[Overall Rank],0)),IF('Rankings Master'!$D$1="NFL.com",INDEX(Table3[Name Clean],MATCH('Rankings Master'!$A84,Table3[Rank],0)),IF('Rankings Master'!$D$1="Sleeper",INDEX(Sleeper!$B$2:$B$201,MATCH('Rankings Master'!$A84,Sleeper!$A$2:$A$201,0)),"Need platform")))</f>
        <v>De'Zhaun Stribling</v>
      </c>
      <c r="E84" t="str">
        <f>IF($D$1="ESPN",INDEX(Table2[Position],MATCH('Rankings Master'!$A84,Table2[Overall Rank],0)),IF('Rankings Master'!$D$1="NFL.com",INDEX(Table3[Position],MATCH('Rankings Master'!$A84,Table3[Rank],0)),INDEX(Sleeper!$C$2:$C$201,MATCH('Rankings Master'!A84,Sleeper!$A$2:$A$201,0))))</f>
        <v>WR</v>
      </c>
      <c r="F84">
        <f>INDEX(Table4[RK],MATCH('Rankings Master'!D84,Table4[PLAYER NAME],0))</f>
        <v>117</v>
      </c>
      <c r="G84">
        <f t="shared" si="10"/>
        <v>-36</v>
      </c>
      <c r="H84">
        <f t="shared" si="11"/>
        <v>-0.30769230769230771</v>
      </c>
      <c r="I84" t="str">
        <f t="shared" si="14"/>
        <v>Pretty Overvalued</v>
      </c>
      <c r="J84" t="str">
        <f t="shared" si="13"/>
        <v>Y</v>
      </c>
      <c r="K84">
        <f t="shared" si="12"/>
        <v>3</v>
      </c>
      <c r="L84" t="str">
        <f>IF(J84="M",COUNTIFS($J$4:J84,"M",$E$4:E84,E84)&amp;" - "&amp;K84,"N/A")</f>
        <v>N/A</v>
      </c>
      <c r="M84" t="str">
        <f>IFERROR(INDEX(PlayerSummaryTable[Rushing Yds],MATCH('Rankings Master'!D84,PlayerSummaryTable[Player],0)),"")</f>
        <v>N/A</v>
      </c>
      <c r="N84">
        <f>IFERROR(INDEX(PlayerSummaryTable[Receiving Yds],MATCH('Rankings Master'!D84,PlayerSummaryTable[Player],0)),"")</f>
        <v>649.5</v>
      </c>
      <c r="O84" t="str">
        <f>IFERROR(INDEX(PlayerSummaryTable[Passing Yds],MATCH('Rankings Master'!D84,PlayerSummaryTable[Player],0)),"")</f>
        <v>N/A</v>
      </c>
      <c r="U84" t="str">
        <f>IF(COUNTIF('Draft Log'!$B$2:$B$301,D84)&gt;0,"DRAFTED","")</f>
        <v>DRAFTED</v>
      </c>
      <c r="V84">
        <f>IFERROR(INDEX('Draft Log'!$A$2:$A$301,MATCH(D84,'Draft Log'!$B$2:$B$301,0)),"")</f>
        <v>87</v>
      </c>
      <c r="W84" t="str">
        <f>IFERROR(INDEX('Draft Log'!$C$2:$C$301,MATCH(D84,'Draft Log'!$B$2:$B$301,0)),"")</f>
        <v>Eight Bell Tolls</v>
      </c>
    </row>
    <row r="85" spans="1:23">
      <c r="A85" s="1">
        <v>82</v>
      </c>
      <c r="B85" t="s">
        <v>684</v>
      </c>
      <c r="C85" t="s">
        <v>685</v>
      </c>
      <c r="D85" t="str">
        <f>IF($D$1="ESPN",INDEX(Table2[Mapped Name],MATCH('Rankings Master'!$A85,Table2[Overall Rank],0)),IF('Rankings Master'!$D$1="NFL.com",INDEX(Table3[Name Clean],MATCH('Rankings Master'!$A85,Table3[Rank],0)),IF('Rankings Master'!$D$1="Sleeper",INDEX(Sleeper!$B$2:$B$201,MATCH('Rankings Master'!$A85,Sleeper!$A$2:$A$201,0)),"Need platform")))</f>
        <v>Trevor Lawrence</v>
      </c>
      <c r="E85" t="str">
        <f>IF($D$1="ESPN",INDEX(Table2[Position],MATCH('Rankings Master'!$A85,Table2[Overall Rank],0)),IF('Rankings Master'!$D$1="NFL.com",INDEX(Table3[Position],MATCH('Rankings Master'!$A85,Table3[Rank],0)),INDEX(Sleeper!$C$2:$C$201,MATCH('Rankings Master'!A85,Sleeper!$A$2:$A$201,0))))</f>
        <v>QB</v>
      </c>
      <c r="F85">
        <f>INDEX(Table4[RK],MATCH('Rankings Master'!D85,Table4[PLAYER NAME],0))</f>
        <v>70</v>
      </c>
      <c r="G85">
        <f t="shared" si="10"/>
        <v>12</v>
      </c>
      <c r="H85">
        <f t="shared" si="11"/>
        <v>0.17142857142857143</v>
      </c>
      <c r="I85" t="str">
        <f t="shared" si="14"/>
        <v>Pretty Undervalued</v>
      </c>
      <c r="J85" t="str">
        <f t="shared" si="13"/>
        <v>M</v>
      </c>
      <c r="K85">
        <f t="shared" si="12"/>
        <v>1</v>
      </c>
      <c r="L85" t="str">
        <f>IF(J85="M",COUNTIFS($J$4:J85,"M",$E$4:E85,E85)&amp;" - "&amp;K85,"N/A")</f>
        <v>1 - 1</v>
      </c>
      <c r="M85" t="str">
        <f>IFERROR(INDEX(PlayerSummaryTable[Rushing Yds],MATCH('Rankings Master'!D85,PlayerSummaryTable[Player],0)),"")</f>
        <v>N/A</v>
      </c>
      <c r="N85" t="str">
        <f>IFERROR(INDEX(PlayerSummaryTable[Receiving Yds],MATCH('Rankings Master'!D85,PlayerSummaryTable[Player],0)),"")</f>
        <v>N/A</v>
      </c>
      <c r="O85">
        <f>IFERROR(INDEX(PlayerSummaryTable[Passing Yds],MATCH('Rankings Master'!D85,PlayerSummaryTable[Player],0)),"")</f>
        <v>3774.5</v>
      </c>
      <c r="U85" t="str">
        <f>IF(COUNTIF('Draft Log'!$B$2:$B$301,D85)&gt;0,"DRAFTED","")</f>
        <v>DRAFTED</v>
      </c>
      <c r="V85">
        <f>IFERROR(INDEX('Draft Log'!$A$2:$A$301,MATCH(D85,'Draft Log'!$B$2:$B$301,0)),"")</f>
        <v>93</v>
      </c>
      <c r="W85" t="str">
        <f>IFERROR(INDEX('Draft Log'!$C$2:$C$301,MATCH(D85,'Draft Log'!$B$2:$B$301,0)),"")</f>
        <v>Mustafa is Not Like Us</v>
      </c>
    </row>
    <row r="86" spans="1:23">
      <c r="A86" s="1">
        <v>83</v>
      </c>
      <c r="B86" t="s">
        <v>686</v>
      </c>
      <c r="C86" t="s">
        <v>687</v>
      </c>
      <c r="D86" t="str">
        <f>IF($D$1="ESPN",INDEX(Table2[Mapped Name],MATCH('Rankings Master'!$A86,Table2[Overall Rank],0)),IF('Rankings Master'!$D$1="NFL.com",INDEX(Table3[Name Clean],MATCH('Rankings Master'!$A86,Table3[Rank],0)),IF('Rankings Master'!$D$1="Sleeper",INDEX(Sleeper!$B$2:$B$201,MATCH('Rankings Master'!$A86,Sleeper!$A$2:$A$201,0)),"Need platform")))</f>
        <v>Dak Prescott</v>
      </c>
      <c r="E86" t="str">
        <f>IF($D$1="ESPN",INDEX(Table2[Position],MATCH('Rankings Master'!$A86,Table2[Overall Rank],0)),IF('Rankings Master'!$D$1="NFL.com",INDEX(Table3[Position],MATCH('Rankings Master'!$A86,Table3[Rank],0)),INDEX(Sleeper!$C$2:$C$201,MATCH('Rankings Master'!A86,Sleeper!$A$2:$A$201,0))))</f>
        <v>QB</v>
      </c>
      <c r="F86">
        <f>INDEX(Table4[RK],MATCH('Rankings Master'!D86,Table4[PLAYER NAME],0))</f>
        <v>72</v>
      </c>
      <c r="G86">
        <f t="shared" si="10"/>
        <v>11</v>
      </c>
      <c r="H86">
        <f t="shared" si="11"/>
        <v>0.15277777777777779</v>
      </c>
      <c r="I86" t="str">
        <f t="shared" si="14"/>
        <v>Pretty Undervalued</v>
      </c>
      <c r="J86" t="str">
        <f t="shared" si="13"/>
        <v>Y</v>
      </c>
      <c r="K86">
        <f t="shared" si="12"/>
        <v>1</v>
      </c>
      <c r="L86" t="str">
        <f>IF(J86="M",COUNTIFS($J$4:J86,"M",$E$4:E86,E86)&amp;" - "&amp;K86,"N/A")</f>
        <v>N/A</v>
      </c>
      <c r="M86" t="str">
        <f>IFERROR(INDEX(PlayerSummaryTable[Rushing Yds],MATCH('Rankings Master'!D86,PlayerSummaryTable[Player],0)),"")</f>
        <v>N/A</v>
      </c>
      <c r="N86" t="str">
        <f>IFERROR(INDEX(PlayerSummaryTable[Receiving Yds],MATCH('Rankings Master'!D86,PlayerSummaryTable[Player],0)),"")</f>
        <v>N/A</v>
      </c>
      <c r="O86">
        <f>IFERROR(INDEX(PlayerSummaryTable[Passing Yds],MATCH('Rankings Master'!D86,PlayerSummaryTable[Player],0)),"")</f>
        <v>3999.5</v>
      </c>
      <c r="U86" t="str">
        <f>IF(COUNTIF('Draft Log'!$B$2:$B$301,D86)&gt;0,"DRAFTED","")</f>
        <v>DRAFTED</v>
      </c>
      <c r="V86">
        <f>IFERROR(INDEX('Draft Log'!$A$2:$A$301,MATCH(D86,'Draft Log'!$B$2:$B$301,0)),"")</f>
        <v>77</v>
      </c>
      <c r="W86" t="str">
        <f>IFERROR(INDEX('Draft Log'!$C$2:$C$301,MATCH(D86,'Draft Log'!$B$2:$B$301,0)),"")</f>
        <v>Cut to the Chase</v>
      </c>
    </row>
    <row r="87" spans="1:23">
      <c r="A87" s="1">
        <v>84</v>
      </c>
      <c r="B87" t="s">
        <v>688</v>
      </c>
      <c r="C87" t="s">
        <v>689</v>
      </c>
      <c r="D87" t="str">
        <f>IF($D$1="ESPN",INDEX(Table2[Mapped Name],MATCH('Rankings Master'!$A87,Table2[Overall Rank],0)),IF('Rankings Master'!$D$1="NFL.com",INDEX(Table3[Name Clean],MATCH('Rankings Master'!$A87,Table3[Rank],0)),IF('Rankings Master'!$D$1="Sleeper",INDEX(Sleeper!$B$2:$B$201,MATCH('Rankings Master'!$A87,Sleeper!$A$2:$A$201,0)),"Need platform")))</f>
        <v>Bo Nix</v>
      </c>
      <c r="E87" t="str">
        <f>IF($D$1="ESPN",INDEX(Table2[Position],MATCH('Rankings Master'!$A87,Table2[Overall Rank],0)),IF('Rankings Master'!$D$1="NFL.com",INDEX(Table3[Position],MATCH('Rankings Master'!$A87,Table3[Rank],0)),INDEX(Sleeper!$C$2:$C$201,MATCH('Rankings Master'!A87,Sleeper!$A$2:$A$201,0))))</f>
        <v>QB</v>
      </c>
      <c r="F87">
        <f>INDEX(Table4[RK],MATCH('Rankings Master'!D87,Table4[PLAYER NAME],0))</f>
        <v>94</v>
      </c>
      <c r="G87">
        <f t="shared" si="10"/>
        <v>-10</v>
      </c>
      <c r="H87">
        <f t="shared" si="11"/>
        <v>-0.10638297872340426</v>
      </c>
      <c r="I87" t="str">
        <f t="shared" si="14"/>
        <v>Slightly Overvalued</v>
      </c>
      <c r="J87" t="str">
        <f t="shared" si="13"/>
        <v>Y</v>
      </c>
      <c r="K87">
        <f t="shared" si="12"/>
        <v>1</v>
      </c>
      <c r="L87" t="str">
        <f>IF(J87="M",COUNTIFS($J$4:J87,"M",$E$4:E87,E87)&amp;" - "&amp;K87,"N/A")</f>
        <v>N/A</v>
      </c>
      <c r="M87" t="str">
        <f>IFERROR(INDEX(PlayerSummaryTable[Rushing Yds],MATCH('Rankings Master'!D87,PlayerSummaryTable[Player],0)),"")</f>
        <v>N/A</v>
      </c>
      <c r="N87" t="str">
        <f>IFERROR(INDEX(PlayerSummaryTable[Receiving Yds],MATCH('Rankings Master'!D87,PlayerSummaryTable[Player],0)),"")</f>
        <v>N/A</v>
      </c>
      <c r="O87">
        <f>IFERROR(INDEX(PlayerSummaryTable[Passing Yds],MATCH('Rankings Master'!D87,PlayerSummaryTable[Player],0)),"")</f>
        <v>3499.5</v>
      </c>
      <c r="U87" t="str">
        <f>IF(COUNTIF('Draft Log'!$B$2:$B$301,D87)&gt;0,"DRAFTED","")</f>
        <v>DRAFTED</v>
      </c>
      <c r="V87">
        <f>IFERROR(INDEX('Draft Log'!$A$2:$A$301,MATCH(D87,'Draft Log'!$B$2:$B$301,0)),"")</f>
        <v>92</v>
      </c>
      <c r="W87" t="str">
        <f>IFERROR(INDEX('Draft Log'!$C$2:$C$301,MATCH(D87,'Draft Log'!$B$2:$B$301,0)),"")</f>
        <v>The Good, Bad and Ugly</v>
      </c>
    </row>
    <row r="88" spans="1:23">
      <c r="A88" s="1">
        <v>85</v>
      </c>
      <c r="B88" t="s">
        <v>690</v>
      </c>
      <c r="C88" t="s">
        <v>691</v>
      </c>
      <c r="D88" t="str">
        <f>IF($D$1="ESPN",INDEX(Table2[Mapped Name],MATCH('Rankings Master'!$A88,Table2[Overall Rank],0)),IF('Rankings Master'!$D$1="NFL.com",INDEX(Table3[Name Clean],MATCH('Rankings Master'!$A88,Table3[Rank],0)),IF('Rankings Master'!$D$1="Sleeper",INDEX(Sleeper!$B$2:$B$201,MATCH('Rankings Master'!$A88,Sleeper!$A$2:$A$201,0)),"Need platform")))</f>
        <v>Brock Purdy</v>
      </c>
      <c r="E88" t="str">
        <f>IF($D$1="ESPN",INDEX(Table2[Position],MATCH('Rankings Master'!$A88,Table2[Overall Rank],0)),IF('Rankings Master'!$D$1="NFL.com",INDEX(Table3[Position],MATCH('Rankings Master'!$A88,Table3[Rank],0)),INDEX(Sleeper!$C$2:$C$201,MATCH('Rankings Master'!A88,Sleeper!$A$2:$A$201,0))))</f>
        <v>QB</v>
      </c>
      <c r="F88">
        <f>INDEX(Table4[RK],MATCH('Rankings Master'!D88,Table4[PLAYER NAME],0))</f>
        <v>92</v>
      </c>
      <c r="G88">
        <f t="shared" si="10"/>
        <v>-7</v>
      </c>
      <c r="H88">
        <f t="shared" si="11"/>
        <v>-7.6086956521739135E-2</v>
      </c>
      <c r="I88" t="str">
        <f t="shared" si="14"/>
        <v>Slightly Overvalued</v>
      </c>
      <c r="J88" t="str">
        <f t="shared" si="13"/>
        <v>Y</v>
      </c>
      <c r="K88">
        <f t="shared" si="12"/>
        <v>1</v>
      </c>
      <c r="L88" t="str">
        <f>IF(J88="M",COUNTIFS($J$4:J88,"M",$E$4:E88,E88)&amp;" - "&amp;K88,"N/A")</f>
        <v>N/A</v>
      </c>
      <c r="M88" t="str">
        <f>IFERROR(INDEX(PlayerSummaryTable[Rushing Yds],MATCH('Rankings Master'!D88,PlayerSummaryTable[Player],0)),"")</f>
        <v>N/A</v>
      </c>
      <c r="N88" t="str">
        <f>IFERROR(INDEX(PlayerSummaryTable[Receiving Yds],MATCH('Rankings Master'!D88,PlayerSummaryTable[Player],0)),"")</f>
        <v>N/A</v>
      </c>
      <c r="O88">
        <f>IFERROR(INDEX(PlayerSummaryTable[Passing Yds],MATCH('Rankings Master'!D88,PlayerSummaryTable[Player],0)),"")</f>
        <v>3799.5</v>
      </c>
      <c r="U88" t="str">
        <f>IF(COUNTIF('Draft Log'!$B$2:$B$301,D88)&gt;0,"DRAFTED","")</f>
        <v>DRAFTED</v>
      </c>
      <c r="V88">
        <f>IFERROR(INDEX('Draft Log'!$A$2:$A$301,MATCH(D88,'Draft Log'!$B$2:$B$301,0)),"")</f>
        <v>119</v>
      </c>
      <c r="W88" t="str">
        <f>IFERROR(INDEX('Draft Log'!$C$2:$C$301,MATCH(D88,'Draft Log'!$B$2:$B$301,0)),"")</f>
        <v>Benjamins Bandits</v>
      </c>
    </row>
    <row r="89" spans="1:23">
      <c r="A89" s="1">
        <v>86</v>
      </c>
      <c r="B89" t="s">
        <v>692</v>
      </c>
      <c r="C89" t="s">
        <v>568</v>
      </c>
      <c r="D89" t="str">
        <f>IF($D$1="ESPN",INDEX(Table2[Mapped Name],MATCH('Rankings Master'!$A89,Table2[Overall Rank],0)),IF('Rankings Master'!$D$1="NFL.com",INDEX(Table3[Name Clean],MATCH('Rankings Master'!$A89,Table3[Rank],0)),IF('Rankings Master'!$D$1="Sleeper",INDEX(Sleeper!$B$2:$B$201,MATCH('Rankings Master'!$A89,Sleeper!$A$2:$A$201,0)),"Need platform")))</f>
        <v>Matthew Stafford</v>
      </c>
      <c r="E89" t="str">
        <f>IF($D$1="ESPN",INDEX(Table2[Position],MATCH('Rankings Master'!$A89,Table2[Overall Rank],0)),IF('Rankings Master'!$D$1="NFL.com",INDEX(Table3[Position],MATCH('Rankings Master'!$A89,Table3[Rank],0)),INDEX(Sleeper!$C$2:$C$201,MATCH('Rankings Master'!A89,Sleeper!$A$2:$A$201,0))))</f>
        <v>QB</v>
      </c>
      <c r="F89">
        <f>INDEX(Table4[RK],MATCH('Rankings Master'!D89,Table4[PLAYER NAME],0))</f>
        <v>103</v>
      </c>
      <c r="G89">
        <f t="shared" si="10"/>
        <v>-17</v>
      </c>
      <c r="H89">
        <f t="shared" si="11"/>
        <v>-0.1650485436893204</v>
      </c>
      <c r="I89" t="str">
        <f t="shared" si="14"/>
        <v>Pretty Overvalued</v>
      </c>
      <c r="J89" t="str">
        <f t="shared" si="13"/>
        <v>Y</v>
      </c>
      <c r="K89">
        <f t="shared" si="12"/>
        <v>1</v>
      </c>
      <c r="L89" t="str">
        <f>IF(J89="M",COUNTIFS($J$4:J89,"M",$E$4:E89,E89)&amp;" - "&amp;K89,"N/A")</f>
        <v>N/A</v>
      </c>
      <c r="M89" t="str">
        <f>IFERROR(INDEX(PlayerSummaryTable[Rushing Yds],MATCH('Rankings Master'!D89,PlayerSummaryTable[Player],0)),"")</f>
        <v>N/A</v>
      </c>
      <c r="N89" t="str">
        <f>IFERROR(INDEX(PlayerSummaryTable[Receiving Yds],MATCH('Rankings Master'!D89,PlayerSummaryTable[Player],0)),"")</f>
        <v>N/A</v>
      </c>
      <c r="O89">
        <f>IFERROR(INDEX(PlayerSummaryTable[Passing Yds],MATCH('Rankings Master'!D89,PlayerSummaryTable[Player],0)),"")</f>
        <v>3899.5</v>
      </c>
      <c r="U89" t="str">
        <f>IF(COUNTIF('Draft Log'!$B$2:$B$301,D89)&gt;0,"DRAFTED","")</f>
        <v>DRAFTED</v>
      </c>
      <c r="V89">
        <f>IFERROR(INDEX('Draft Log'!$A$2:$A$301,MATCH(D89,'Draft Log'!$B$2:$B$301,0)),"")</f>
        <v>118</v>
      </c>
      <c r="W89" t="str">
        <f>IFERROR(INDEX('Draft Log'!$C$2:$C$301,MATCH(D89,'Draft Log'!$B$2:$B$301,0)),"")</f>
        <v>dontsaynosayYA</v>
      </c>
    </row>
    <row r="90" spans="1:23">
      <c r="A90" s="1">
        <v>87</v>
      </c>
      <c r="B90" t="s">
        <v>693</v>
      </c>
      <c r="C90" t="s">
        <v>694</v>
      </c>
      <c r="D90" t="str">
        <f>IF($D$1="ESPN",INDEX(Table2[Mapped Name],MATCH('Rankings Master'!$A90,Table2[Overall Rank],0)),IF('Rankings Master'!$D$1="NFL.com",INDEX(Table3[Name Clean],MATCH('Rankings Master'!$A90,Table3[Rank],0)),IF('Rankings Master'!$D$1="Sleeper",INDEX(Sleeper!$B$2:$B$201,MATCH('Rankings Master'!$A90,Sleeper!$A$2:$A$201,0)),"Need platform")))</f>
        <v>Caleb Williams</v>
      </c>
      <c r="E90" t="str">
        <f>IF($D$1="ESPN",INDEX(Table2[Position],MATCH('Rankings Master'!$A90,Table2[Overall Rank],0)),IF('Rankings Master'!$D$1="NFL.com",INDEX(Table3[Position],MATCH('Rankings Master'!$A90,Table3[Rank],0)),INDEX(Sleeper!$C$2:$C$201,MATCH('Rankings Master'!A90,Sleeper!$A$2:$A$201,0))))</f>
        <v>QB</v>
      </c>
      <c r="F90">
        <f>INDEX(Table4[RK],MATCH('Rankings Master'!D90,Table4[PLAYER NAME],0))</f>
        <v>65</v>
      </c>
      <c r="G90">
        <f t="shared" si="10"/>
        <v>22</v>
      </c>
      <c r="H90">
        <f t="shared" si="11"/>
        <v>0.33846153846153848</v>
      </c>
      <c r="I90" t="str">
        <f t="shared" si="14"/>
        <v>Pretty Undervalued</v>
      </c>
      <c r="J90" t="str">
        <f t="shared" si="13"/>
        <v>Y</v>
      </c>
      <c r="K90">
        <f t="shared" si="12"/>
        <v>1</v>
      </c>
      <c r="L90" t="str">
        <f>IF(J90="M",COUNTIFS($J$4:J90,"M",$E$4:E90,E90)&amp;" - "&amp;K90,"N/A")</f>
        <v>N/A</v>
      </c>
      <c r="M90" t="str">
        <f>IFERROR(INDEX(PlayerSummaryTable[Rushing Yds],MATCH('Rankings Master'!D90,PlayerSummaryTable[Player],0)),"")</f>
        <v>N/A</v>
      </c>
      <c r="N90" t="str">
        <f>IFERROR(INDEX(PlayerSummaryTable[Receiving Yds],MATCH('Rankings Master'!D90,PlayerSummaryTable[Player],0)),"")</f>
        <v>N/A</v>
      </c>
      <c r="O90">
        <f>IFERROR(INDEX(PlayerSummaryTable[Passing Yds],MATCH('Rankings Master'!D90,PlayerSummaryTable[Player],0)),"")</f>
        <v>3649.5</v>
      </c>
      <c r="U90" t="str">
        <f>IF(COUNTIF('Draft Log'!$B$2:$B$301,D90)&gt;0,"DRAFTED","")</f>
        <v>DRAFTED</v>
      </c>
      <c r="V90">
        <f>IFERROR(INDEX('Draft Log'!$A$2:$A$301,MATCH(D90,'Draft Log'!$B$2:$B$301,0)),"")</f>
        <v>81</v>
      </c>
      <c r="W90" t="str">
        <f>IFERROR(INDEX('Draft Log'!$C$2:$C$301,MATCH(D90,'Draft Log'!$B$2:$B$301,0)),"")</f>
        <v>Team Afeef</v>
      </c>
    </row>
    <row r="91" spans="1:23">
      <c r="A91" s="1">
        <v>88</v>
      </c>
      <c r="B91" t="s">
        <v>695</v>
      </c>
      <c r="C91" t="s">
        <v>696</v>
      </c>
      <c r="D91" t="str">
        <f>IF($D$1="ESPN",INDEX(Table2[Mapped Name],MATCH('Rankings Master'!$A91,Table2[Overall Rank],0)),IF('Rankings Master'!$D$1="NFL.com",INDEX(Table3[Name Clean],MATCH('Rankings Master'!$A91,Table3[Rank],0)),IF('Rankings Master'!$D$1="Sleeper",INDEX(Sleeper!$B$2:$B$201,MATCH('Rankings Master'!$A91,Sleeper!$A$2:$A$201,0)),"Need platform")))</f>
        <v>Michael Wilson</v>
      </c>
      <c r="E91" t="str">
        <f>IF($D$1="ESPN",INDEX(Table2[Position],MATCH('Rankings Master'!$A91,Table2[Overall Rank],0)),IF('Rankings Master'!$D$1="NFL.com",INDEX(Table3[Position],MATCH('Rankings Master'!$A91,Table3[Rank],0)),INDEX(Sleeper!$C$2:$C$201,MATCH('Rankings Master'!A91,Sleeper!$A$2:$A$201,0))))</f>
        <v>WR</v>
      </c>
      <c r="F91">
        <f>INDEX(Table4[RK],MATCH('Rankings Master'!D91,Table4[PLAYER NAME],0))</f>
        <v>98</v>
      </c>
      <c r="G91">
        <f t="shared" si="10"/>
        <v>-10</v>
      </c>
      <c r="H91">
        <f t="shared" si="11"/>
        <v>-0.10204081632653061</v>
      </c>
      <c r="I91" t="str">
        <f t="shared" si="14"/>
        <v>Slightly Overvalued</v>
      </c>
      <c r="J91" t="str">
        <f t="shared" si="13"/>
        <v>Y</v>
      </c>
      <c r="K91">
        <f t="shared" si="12"/>
        <v>3</v>
      </c>
      <c r="L91" t="str">
        <f>IF(J91="M",COUNTIFS($J$4:J91,"M",$E$4:E91,E91)&amp;" - "&amp;K91,"N/A")</f>
        <v>N/A</v>
      </c>
      <c r="M91" t="str">
        <f>IFERROR(INDEX(PlayerSummaryTable[Rushing Yds],MATCH('Rankings Master'!D91,PlayerSummaryTable[Player],0)),"")</f>
        <v>N/A</v>
      </c>
      <c r="N91">
        <f>IFERROR(INDEX(PlayerSummaryTable[Receiving Yds],MATCH('Rankings Master'!D91,PlayerSummaryTable[Player],0)),"")</f>
        <v>724.5</v>
      </c>
      <c r="O91" t="str">
        <f>IFERROR(INDEX(PlayerSummaryTable[Passing Yds],MATCH('Rankings Master'!D91,PlayerSummaryTable[Player],0)),"")</f>
        <v>N/A</v>
      </c>
      <c r="U91" t="str">
        <f>IF(COUNTIF('Draft Log'!$B$2:$B$301,D91)&gt;0,"DRAFTED","")</f>
        <v>DRAFTED</v>
      </c>
      <c r="V91">
        <f>IFERROR(INDEX('Draft Log'!$A$2:$A$301,MATCH(D91,'Draft Log'!$B$2:$B$301,0)),"")</f>
        <v>84</v>
      </c>
      <c r="W91" t="str">
        <f>IFERROR(INDEX('Draft Log'!$C$2:$C$301,MATCH(D91,'Draft Log'!$B$2:$B$301,0)),"")</f>
        <v>Cut to the Chase</v>
      </c>
    </row>
    <row r="92" spans="1:23">
      <c r="A92" s="1">
        <v>89</v>
      </c>
      <c r="B92" t="s">
        <v>697</v>
      </c>
      <c r="C92" t="s">
        <v>698</v>
      </c>
      <c r="D92" t="str">
        <f>IF($D$1="ESPN",INDEX(Table2[Mapped Name],MATCH('Rankings Master'!$A92,Table2[Overall Rank],0)),IF('Rankings Master'!$D$1="NFL.com",INDEX(Table3[Name Clean],MATCH('Rankings Master'!$A92,Table3[Rank],0)),IF('Rankings Master'!$D$1="Sleeper",INDEX(Sleeper!$B$2:$B$201,MATCH('Rankings Master'!$A92,Sleeper!$A$2:$A$201,0)),"Need platform")))</f>
        <v>Jakobi Meyers</v>
      </c>
      <c r="E92" t="str">
        <f>IF($D$1="ESPN",INDEX(Table2[Position],MATCH('Rankings Master'!$A92,Table2[Overall Rank],0)),IF('Rankings Master'!$D$1="NFL.com",INDEX(Table3[Position],MATCH('Rankings Master'!$A92,Table3[Rank],0)),INDEX(Sleeper!$C$2:$C$201,MATCH('Rankings Master'!A92,Sleeper!$A$2:$A$201,0))))</f>
        <v>WR</v>
      </c>
      <c r="F92">
        <f>INDEX(Table4[RK],MATCH('Rankings Master'!D92,Table4[PLAYER NAME],0))</f>
        <v>121</v>
      </c>
      <c r="G92">
        <f t="shared" si="10"/>
        <v>-32</v>
      </c>
      <c r="H92">
        <f t="shared" si="11"/>
        <v>-0.26446280991735538</v>
      </c>
      <c r="I92" t="str">
        <f t="shared" si="14"/>
        <v>Pretty Overvalued</v>
      </c>
      <c r="J92" t="str">
        <f t="shared" si="13"/>
        <v>Y</v>
      </c>
      <c r="K92">
        <f t="shared" si="12"/>
        <v>3</v>
      </c>
      <c r="L92" t="str">
        <f>IF(J92="M",COUNTIFS($J$4:J92,"M",$E$4:E92,E92)&amp;" - "&amp;K92,"N/A")</f>
        <v>N/A</v>
      </c>
      <c r="M92" t="str">
        <f>IFERROR(INDEX(PlayerSummaryTable[Rushing Yds],MATCH('Rankings Master'!D92,PlayerSummaryTable[Player],0)),"")</f>
        <v>N/A</v>
      </c>
      <c r="N92">
        <f>IFERROR(INDEX(PlayerSummaryTable[Receiving Yds],MATCH('Rankings Master'!D92,PlayerSummaryTable[Player],0)),"")</f>
        <v>649.5</v>
      </c>
      <c r="O92" t="str">
        <f>IFERROR(INDEX(PlayerSummaryTable[Passing Yds],MATCH('Rankings Master'!D92,PlayerSummaryTable[Player],0)),"")</f>
        <v>N/A</v>
      </c>
      <c r="U92" t="str">
        <f>IF(COUNTIF('Draft Log'!$B$2:$B$301,D92)&gt;0,"DRAFTED","")</f>
        <v>DRAFTED</v>
      </c>
      <c r="V92">
        <f>IFERROR(INDEX('Draft Log'!$A$2:$A$301,MATCH(D92,'Draft Log'!$B$2:$B$301,0)),"")</f>
        <v>102</v>
      </c>
      <c r="W92" t="str">
        <f>IFERROR(INDEX('Draft Log'!$C$2:$C$301,MATCH(D92,'Draft Log'!$B$2:$B$301,0)),"")</f>
        <v>Benjamins Bandits</v>
      </c>
    </row>
    <row r="93" spans="1:23">
      <c r="A93" s="1">
        <v>90</v>
      </c>
      <c r="B93" t="s">
        <v>699</v>
      </c>
      <c r="C93" t="s">
        <v>700</v>
      </c>
      <c r="D93" t="str">
        <f>IF($D$1="ESPN",INDEX(Table2[Mapped Name],MATCH('Rankings Master'!$A93,Table2[Overall Rank],0)),IF('Rankings Master'!$D$1="NFL.com",INDEX(Table3[Name Clean],MATCH('Rankings Master'!$A93,Table3[Rank],0)),IF('Rankings Master'!$D$1="Sleeper",INDEX(Sleeper!$B$2:$B$201,MATCH('Rankings Master'!$A93,Sleeper!$A$2:$A$201,0)),"Need platform")))</f>
        <v>Xavier Worthy</v>
      </c>
      <c r="E93" t="str">
        <f>IF($D$1="ESPN",INDEX(Table2[Position],MATCH('Rankings Master'!$A93,Table2[Overall Rank],0)),IF('Rankings Master'!$D$1="NFL.com",INDEX(Table3[Position],MATCH('Rankings Master'!$A93,Table3[Rank],0)),INDEX(Sleeper!$C$2:$C$201,MATCH('Rankings Master'!A93,Sleeper!$A$2:$A$201,0))))</f>
        <v>WR</v>
      </c>
      <c r="F93">
        <f>INDEX(Table4[RK],MATCH('Rankings Master'!D93,Table4[PLAYER NAME],0))</f>
        <v>122</v>
      </c>
      <c r="G93">
        <f t="shared" si="10"/>
        <v>-32</v>
      </c>
      <c r="H93">
        <f t="shared" si="11"/>
        <v>-0.26229508196721313</v>
      </c>
      <c r="I93" t="str">
        <f t="shared" si="14"/>
        <v>Pretty Overvalued</v>
      </c>
      <c r="J93" t="str">
        <f t="shared" si="13"/>
        <v>Y</v>
      </c>
      <c r="K93">
        <f t="shared" si="12"/>
        <v>3</v>
      </c>
      <c r="L93" t="str">
        <f>IF(J93="M",COUNTIFS($J$4:J93,"M",$E$4:E93,E93)&amp;" - "&amp;K93,"N/A")</f>
        <v>N/A</v>
      </c>
      <c r="M93" t="str">
        <f>IFERROR(INDEX(PlayerSummaryTable[Rushing Yds],MATCH('Rankings Master'!D93,PlayerSummaryTable[Player],0)),"")</f>
        <v>N/A</v>
      </c>
      <c r="N93">
        <f>IFERROR(INDEX(PlayerSummaryTable[Receiving Yds],MATCH('Rankings Master'!D93,PlayerSummaryTable[Player],0)),"")</f>
        <v>649.5</v>
      </c>
      <c r="O93" t="str">
        <f>IFERROR(INDEX(PlayerSummaryTable[Passing Yds],MATCH('Rankings Master'!D93,PlayerSummaryTable[Player],0)),"")</f>
        <v>N/A</v>
      </c>
      <c r="U93" t="str">
        <f>IF(COUNTIF('Draft Log'!$B$2:$B$301,D93)&gt;0,"DRAFTED","")</f>
        <v>DRAFTED</v>
      </c>
      <c r="V93">
        <f>IFERROR(INDEX('Draft Log'!$A$2:$A$301,MATCH(D93,'Draft Log'!$B$2:$B$301,0)),"")</f>
        <v>123</v>
      </c>
      <c r="W93" t="str">
        <f>IFERROR(INDEX('Draft Log'!$C$2:$C$301,MATCH(D93,'Draft Log'!$B$2:$B$301,0)),"")</f>
        <v>dontsaynosayYA</v>
      </c>
    </row>
    <row r="94" spans="1:23">
      <c r="A94" s="1">
        <v>91</v>
      </c>
      <c r="B94" t="s">
        <v>701</v>
      </c>
      <c r="C94" t="s">
        <v>702</v>
      </c>
      <c r="D94" t="str">
        <f>IF($D$1="ESPN",INDEX(Table2[Mapped Name],MATCH('Rankings Master'!$A94,Table2[Overall Rank],0)),IF('Rankings Master'!$D$1="NFL.com",INDEX(Table3[Name Clean],MATCH('Rankings Master'!$A94,Table3[Rank],0)),IF('Rankings Master'!$D$1="Sleeper",INDEX(Sleeper!$B$2:$B$201,MATCH('Rankings Master'!$A94,Sleeper!$A$2:$A$201,0)),"Need platform")))</f>
        <v>Travis Hunter</v>
      </c>
      <c r="E94" t="str">
        <f>IF($D$1="ESPN",INDEX(Table2[Position],MATCH('Rankings Master'!$A94,Table2[Overall Rank],0)),IF('Rankings Master'!$D$1="NFL.com",INDEX(Table3[Position],MATCH('Rankings Master'!$A94,Table3[Rank],0)),INDEX(Sleeper!$C$2:$C$201,MATCH('Rankings Master'!A94,Sleeper!$A$2:$A$201,0))))</f>
        <v>WR</v>
      </c>
      <c r="F94">
        <f>INDEX(Table4[RK],MATCH('Rankings Master'!D94,Table4[PLAYER NAME],0))</f>
        <v>201</v>
      </c>
      <c r="G94">
        <f t="shared" si="10"/>
        <v>-110</v>
      </c>
      <c r="H94">
        <f t="shared" si="11"/>
        <v>-0.54726368159203975</v>
      </c>
      <c r="I94" t="str">
        <f t="shared" si="14"/>
        <v>Extremely Overvalued</v>
      </c>
      <c r="J94" t="str">
        <f t="shared" si="13"/>
        <v>Y</v>
      </c>
      <c r="K94">
        <f t="shared" si="12"/>
        <v>3</v>
      </c>
      <c r="L94" t="str">
        <f>IF(J94="M",COUNTIFS($J$4:J94,"M",$E$4:E94,E94)&amp;" - "&amp;K94,"N/A")</f>
        <v>N/A</v>
      </c>
      <c r="M94" t="str">
        <f>IFERROR(INDEX(PlayerSummaryTable[Rushing Yds],MATCH('Rankings Master'!D94,PlayerSummaryTable[Player],0)),"")</f>
        <v/>
      </c>
      <c r="N94" t="str">
        <f>IFERROR(INDEX(PlayerSummaryTable[Receiving Yds],MATCH('Rankings Master'!D94,PlayerSummaryTable[Player],0)),"")</f>
        <v/>
      </c>
      <c r="O94" t="str">
        <f>IFERROR(INDEX(PlayerSummaryTable[Passing Yds],MATCH('Rankings Master'!D94,PlayerSummaryTable[Player],0)),"")</f>
        <v/>
      </c>
      <c r="U94" t="str">
        <f>IF(COUNTIF('Draft Log'!$B$2:$B$301,D94)&gt;0,"DRAFTED","")</f>
        <v>DRAFTED</v>
      </c>
      <c r="V94">
        <f>IFERROR(INDEX('Draft Log'!$A$2:$A$301,MATCH(D94,'Draft Log'!$B$2:$B$301,0)),"")</f>
        <v>135</v>
      </c>
      <c r="W94" t="str">
        <f>IFERROR(INDEX('Draft Log'!$C$2:$C$301,MATCH(D94,'Draft Log'!$B$2:$B$301,0)),"")</f>
        <v>BEST COUNTRY IN THE WORLD</v>
      </c>
    </row>
    <row r="95" spans="1:23">
      <c r="A95" s="1">
        <v>92</v>
      </c>
      <c r="B95" t="s">
        <v>703</v>
      </c>
      <c r="C95" t="s">
        <v>704</v>
      </c>
      <c r="D95" t="str">
        <f>IF($D$1="ESPN",INDEX(Table2[Mapped Name],MATCH('Rankings Master'!$A95,Table2[Overall Rank],0)),IF('Rankings Master'!$D$1="NFL.com",INDEX(Table3[Name Clean],MATCH('Rankings Master'!$A95,Table3[Rank],0)),IF('Rankings Master'!$D$1="Sleeper",INDEX(Sleeper!$B$2:$B$201,MATCH('Rankings Master'!$A95,Sleeper!$A$2:$A$201,0)),"Need platform")))</f>
        <v>Quentin Johnston</v>
      </c>
      <c r="E95" t="str">
        <f>IF($D$1="ESPN",INDEX(Table2[Position],MATCH('Rankings Master'!$A95,Table2[Overall Rank],0)),IF('Rankings Master'!$D$1="NFL.com",INDEX(Table3[Position],MATCH('Rankings Master'!$A95,Table3[Rank],0)),INDEX(Sleeper!$C$2:$C$201,MATCH('Rankings Master'!A95,Sleeper!$A$2:$A$201,0))))</f>
        <v>WR</v>
      </c>
      <c r="F95">
        <f>INDEX(Table4[RK],MATCH('Rankings Master'!D95,Table4[PLAYER NAME],0))</f>
        <v>83</v>
      </c>
      <c r="G95">
        <f t="shared" si="10"/>
        <v>9</v>
      </c>
      <c r="H95">
        <f t="shared" si="11"/>
        <v>0.10843373493975904</v>
      </c>
      <c r="I95" t="str">
        <f t="shared" si="14"/>
        <v>Slightly Undervalued</v>
      </c>
      <c r="J95" t="str">
        <f t="shared" si="13"/>
        <v>Y</v>
      </c>
      <c r="K95">
        <f t="shared" si="12"/>
        <v>3</v>
      </c>
      <c r="L95" t="str">
        <f>IF(J95="M",COUNTIFS($J$4:J95,"M",$E$4:E95,E95)&amp;" - "&amp;K95,"N/A")</f>
        <v>N/A</v>
      </c>
      <c r="M95" t="str">
        <f>IFERROR(INDEX(PlayerSummaryTable[Rushing Yds],MATCH('Rankings Master'!D95,PlayerSummaryTable[Player],0)),"")</f>
        <v>N/A</v>
      </c>
      <c r="N95">
        <f>IFERROR(INDEX(PlayerSummaryTable[Receiving Yds],MATCH('Rankings Master'!D95,PlayerSummaryTable[Player],0)),"")</f>
        <v>674.5</v>
      </c>
      <c r="O95" t="str">
        <f>IFERROR(INDEX(PlayerSummaryTable[Passing Yds],MATCH('Rankings Master'!D95,PlayerSummaryTable[Player],0)),"")</f>
        <v>N/A</v>
      </c>
      <c r="U95" t="str">
        <f>IF(COUNTIF('Draft Log'!$B$2:$B$301,D95)&gt;0,"DRAFTED","")</f>
        <v>DRAFTED</v>
      </c>
      <c r="V95">
        <f>IFERROR(INDEX('Draft Log'!$A$2:$A$301,MATCH(D95,'Draft Log'!$B$2:$B$301,0)),"")</f>
        <v>111</v>
      </c>
      <c r="W95" t="str">
        <f>IFERROR(INDEX('Draft Log'!$C$2:$C$301,MATCH(D95,'Draft Log'!$B$2:$B$301,0)),"")</f>
        <v>Double Chubb Chocolate Cookie</v>
      </c>
    </row>
    <row r="96" spans="1:23">
      <c r="A96" s="1">
        <v>93</v>
      </c>
      <c r="B96" t="s">
        <v>705</v>
      </c>
      <c r="C96" t="s">
        <v>706</v>
      </c>
      <c r="D96" t="str">
        <f>IF($D$1="ESPN",INDEX(Table2[Mapped Name],MATCH('Rankings Master'!$A96,Table2[Overall Rank],0)),IF('Rankings Master'!$D$1="NFL.com",INDEX(Table3[Name Clean],MATCH('Rankings Master'!$A96,Table3[Rank],0)),IF('Rankings Master'!$D$1="Sleeper",INDEX(Sleeper!$B$2:$B$201,MATCH('Rankings Master'!$A96,Sleeper!$A$2:$A$201,0)),"Need platform")))</f>
        <v>Khalil Shakir</v>
      </c>
      <c r="E96" t="str">
        <f>IF($D$1="ESPN",INDEX(Table2[Position],MATCH('Rankings Master'!$A96,Table2[Overall Rank],0)),IF('Rankings Master'!$D$1="NFL.com",INDEX(Table3[Position],MATCH('Rankings Master'!$A96,Table3[Rank],0)),INDEX(Sleeper!$C$2:$C$201,MATCH('Rankings Master'!A96,Sleeper!$A$2:$A$201,0))))</f>
        <v>WR</v>
      </c>
      <c r="F96">
        <f>INDEX(Table4[RK],MATCH('Rankings Master'!D96,Table4[PLAYER NAME],0))</f>
        <v>145</v>
      </c>
      <c r="G96">
        <f t="shared" si="10"/>
        <v>-52</v>
      </c>
      <c r="H96">
        <f t="shared" si="11"/>
        <v>-0.35862068965517241</v>
      </c>
      <c r="I96" t="str">
        <f t="shared" si="14"/>
        <v>Pretty Overvalued</v>
      </c>
      <c r="J96" t="str">
        <f t="shared" si="13"/>
        <v>Y</v>
      </c>
      <c r="K96">
        <f t="shared" si="12"/>
        <v>3</v>
      </c>
      <c r="L96" t="str">
        <f>IF(J96="M",COUNTIFS($J$4:J96,"M",$E$4:E96,E96)&amp;" - "&amp;K96,"N/A")</f>
        <v>N/A</v>
      </c>
      <c r="M96" t="str">
        <f>IFERROR(INDEX(PlayerSummaryTable[Rushing Yds],MATCH('Rankings Master'!D96,PlayerSummaryTable[Player],0)),"")</f>
        <v>N/A</v>
      </c>
      <c r="N96">
        <f>IFERROR(INDEX(PlayerSummaryTable[Receiving Yds],MATCH('Rankings Master'!D96,PlayerSummaryTable[Player],0)),"")</f>
        <v>674.5</v>
      </c>
      <c r="O96" t="str">
        <f>IFERROR(INDEX(PlayerSummaryTable[Passing Yds],MATCH('Rankings Master'!D96,PlayerSummaryTable[Player],0)),"")</f>
        <v>N/A</v>
      </c>
      <c r="U96" t="str">
        <f>IF(COUNTIF('Draft Log'!$B$2:$B$301,D96)&gt;0,"DRAFTED","")</f>
        <v>DRAFTED</v>
      </c>
      <c r="V96">
        <f>IFERROR(INDEX('Draft Log'!$A$2:$A$301,MATCH(D96,'Draft Log'!$B$2:$B$301,0)),"")</f>
        <v>145</v>
      </c>
      <c r="W96" t="str">
        <f>IFERROR(INDEX('Draft Log'!$C$2:$C$301,MATCH(D96,'Draft Log'!$B$2:$B$301,0)),"")</f>
        <v>JJetts Skatt Hurts</v>
      </c>
    </row>
    <row r="97" spans="1:23">
      <c r="A97" s="1">
        <v>94</v>
      </c>
      <c r="B97" t="s">
        <v>707</v>
      </c>
      <c r="C97" t="s">
        <v>708</v>
      </c>
      <c r="D97" t="str">
        <f>IF($D$1="ESPN",INDEX(Table2[Mapped Name],MATCH('Rankings Master'!$A97,Table2[Overall Rank],0)),IF('Rankings Master'!$D$1="NFL.com",INDEX(Table3[Name Clean],MATCH('Rankings Master'!$A97,Table3[Rank],0)),IF('Rankings Master'!$D$1="Sleeper",INDEX(Sleeper!$B$2:$B$201,MATCH('Rankings Master'!$A97,Sleeper!$A$2:$A$201,0)),"Need platform")))</f>
        <v>Justin Herbert</v>
      </c>
      <c r="E97" t="str">
        <f>IF($D$1="ESPN",INDEX(Table2[Position],MATCH('Rankings Master'!$A97,Table2[Overall Rank],0)),IF('Rankings Master'!$D$1="NFL.com",INDEX(Table3[Position],MATCH('Rankings Master'!$A97,Table3[Rank],0)),INDEX(Sleeper!$C$2:$C$201,MATCH('Rankings Master'!A97,Sleeper!$A$2:$A$201,0))))</f>
        <v>QB</v>
      </c>
      <c r="F97">
        <f>INDEX(Table4[RK],MATCH('Rankings Master'!D97,Table4[PLAYER NAME],0))</f>
        <v>68</v>
      </c>
      <c r="G97">
        <f t="shared" si="10"/>
        <v>26</v>
      </c>
      <c r="H97">
        <f t="shared" si="11"/>
        <v>0.38235294117647056</v>
      </c>
      <c r="I97" t="str">
        <f t="shared" si="14"/>
        <v>Pretty Undervalued</v>
      </c>
      <c r="J97" t="str">
        <f t="shared" si="13"/>
        <v>M</v>
      </c>
      <c r="K97">
        <f t="shared" si="12"/>
        <v>1</v>
      </c>
      <c r="L97" t="str">
        <f>IF(J97="M",COUNTIFS($J$4:J97,"M",$E$4:E97,E97)&amp;" - "&amp;K97,"N/A")</f>
        <v>2 - 1</v>
      </c>
      <c r="M97" t="str">
        <f>IFERROR(INDEX(PlayerSummaryTable[Rushing Yds],MATCH('Rankings Master'!D97,PlayerSummaryTable[Player],0)),"")</f>
        <v>N/A</v>
      </c>
      <c r="N97" t="str">
        <f>IFERROR(INDEX(PlayerSummaryTable[Receiving Yds],MATCH('Rankings Master'!D97,PlayerSummaryTable[Player],0)),"")</f>
        <v>N/A</v>
      </c>
      <c r="O97">
        <f>IFERROR(INDEX(PlayerSummaryTable[Passing Yds],MATCH('Rankings Master'!D97,PlayerSummaryTable[Player],0)),"")</f>
        <v>3650.5</v>
      </c>
      <c r="U97" t="str">
        <f>IF(COUNTIF('Draft Log'!$B$2:$B$301,D97)&gt;0,"DRAFTED","")</f>
        <v>DRAFTED</v>
      </c>
      <c r="V97">
        <f>IFERROR(INDEX('Draft Log'!$A$2:$A$301,MATCH(D97,'Draft Log'!$B$2:$B$301,0)),"")</f>
        <v>113</v>
      </c>
      <c r="W97" t="str">
        <f>IFERROR(INDEX('Draft Log'!$C$2:$C$301,MATCH(D97,'Draft Log'!$B$2:$B$301,0)),"")</f>
        <v>Mustafa is Not Like Us</v>
      </c>
    </row>
    <row r="98" spans="1:23">
      <c r="A98" s="1">
        <v>95</v>
      </c>
      <c r="B98" t="s">
        <v>709</v>
      </c>
      <c r="C98" t="s">
        <v>710</v>
      </c>
      <c r="D98" t="str">
        <f>IF($D$1="ESPN",INDEX(Table2[Mapped Name],MATCH('Rankings Master'!$A98,Table2[Overall Rank],0)),IF('Rankings Master'!$D$1="NFL.com",INDEX(Table3[Name Clean],MATCH('Rankings Master'!$A98,Table3[Rank],0)),IF('Rankings Master'!$D$1="Sleeper",INDEX(Sleeper!$B$2:$B$201,MATCH('Rankings Master'!$A98,Sleeper!$A$2:$A$201,0)),"Need platform")))</f>
        <v>Patrick Mahomes II</v>
      </c>
      <c r="E98" t="str">
        <f>IF($D$1="ESPN",INDEX(Table2[Position],MATCH('Rankings Master'!$A98,Table2[Overall Rank],0)),IF('Rankings Master'!$D$1="NFL.com",INDEX(Table3[Position],MATCH('Rankings Master'!$A98,Table3[Rank],0)),INDEX(Sleeper!$C$2:$C$201,MATCH('Rankings Master'!A98,Sleeper!$A$2:$A$201,0))))</f>
        <v>QB</v>
      </c>
      <c r="F98">
        <f>INDEX(Table4[RK],MATCH('Rankings Master'!D98,Table4[PLAYER NAME],0))</f>
        <v>101</v>
      </c>
      <c r="G98">
        <f t="shared" si="10"/>
        <v>-6</v>
      </c>
      <c r="H98">
        <f t="shared" si="11"/>
        <v>-5.9405940594059403E-2</v>
      </c>
      <c r="I98" t="str">
        <f t="shared" si="14"/>
        <v>Slightly Overvalued</v>
      </c>
      <c r="J98" t="str">
        <f t="shared" si="13"/>
        <v/>
      </c>
      <c r="K98">
        <f t="shared" si="12"/>
        <v>1</v>
      </c>
      <c r="L98" t="str">
        <f>IF(J98="M",COUNTIFS($J$4:J98,"M",$E$4:E98,E98)&amp;" - "&amp;K98,"N/A")</f>
        <v>N/A</v>
      </c>
      <c r="M98" t="str">
        <f>IFERROR(INDEX(PlayerSummaryTable[Rushing Yds],MATCH('Rankings Master'!D98,PlayerSummaryTable[Player],0)),"")</f>
        <v/>
      </c>
      <c r="N98" t="str">
        <f>IFERROR(INDEX(PlayerSummaryTable[Receiving Yds],MATCH('Rankings Master'!D98,PlayerSummaryTable[Player],0)),"")</f>
        <v/>
      </c>
      <c r="O98" t="str">
        <f>IFERROR(INDEX(PlayerSummaryTable[Passing Yds],MATCH('Rankings Master'!D98,PlayerSummaryTable[Player],0)),"")</f>
        <v/>
      </c>
      <c r="U98" t="str">
        <f>IF(COUNTIF('Draft Log'!$B$2:$B$301,D98)&gt;0,"DRAFTED","")</f>
        <v/>
      </c>
      <c r="V98" t="str">
        <f>IFERROR(INDEX('Draft Log'!$A$2:$A$301,MATCH(D98,'Draft Log'!$B$2:$B$301,0)),"")</f>
        <v/>
      </c>
      <c r="W98" t="str">
        <f>IFERROR(INDEX('Draft Log'!$C$2:$C$301,MATCH(D98,'Draft Log'!$B$2:$B$301,0)),"")</f>
        <v/>
      </c>
    </row>
    <row r="99" spans="1:23">
      <c r="A99" s="1">
        <v>96</v>
      </c>
      <c r="B99" t="s">
        <v>711</v>
      </c>
      <c r="C99" t="s">
        <v>538</v>
      </c>
      <c r="D99" t="str">
        <f>IF($D$1="ESPN",INDEX(Table2[Mapped Name],MATCH('Rankings Master'!$A99,Table2[Overall Rank],0)),IF('Rankings Master'!$D$1="NFL.com",INDEX(Table3[Name Clean],MATCH('Rankings Master'!$A99,Table3[Rank],0)),IF('Rankings Master'!$D$1="Sleeper",INDEX(Sleeper!$B$2:$B$201,MATCH('Rankings Master'!$A99,Sleeper!$A$2:$A$201,0)),"Need platform")))</f>
        <v>Jonathon Brooks</v>
      </c>
      <c r="E99" t="str">
        <f>IF($D$1="ESPN",INDEX(Table2[Position],MATCH('Rankings Master'!$A99,Table2[Overall Rank],0)),IF('Rankings Master'!$D$1="NFL.com",INDEX(Table3[Position],MATCH('Rankings Master'!$A99,Table3[Rank],0)),INDEX(Sleeper!$C$2:$C$201,MATCH('Rankings Master'!A99,Sleeper!$A$2:$A$201,0))))</f>
        <v>RB</v>
      </c>
      <c r="F99">
        <f>INDEX(Table4[RK],MATCH('Rankings Master'!D99,Table4[PLAYER NAME],0))</f>
        <v>80</v>
      </c>
      <c r="G99">
        <f t="shared" si="10"/>
        <v>16</v>
      </c>
      <c r="H99">
        <f t="shared" si="11"/>
        <v>0.2</v>
      </c>
      <c r="I99" t="str">
        <f t="shared" si="14"/>
        <v>Pretty Undervalued</v>
      </c>
      <c r="J99" t="str">
        <f t="shared" si="13"/>
        <v>Y</v>
      </c>
      <c r="K99">
        <f t="shared" si="12"/>
        <v>2</v>
      </c>
      <c r="L99" t="str">
        <f>IF(J99="M",COUNTIFS($J$4:J99,"M",$E$4:E99,E99)&amp;" - "&amp;K99,"N/A")</f>
        <v>N/A</v>
      </c>
      <c r="M99" t="str">
        <f>IFERROR(INDEX(PlayerSummaryTable[Rushing Yds],MATCH('Rankings Master'!D99,PlayerSummaryTable[Player],0)),"")</f>
        <v/>
      </c>
      <c r="N99" t="str">
        <f>IFERROR(INDEX(PlayerSummaryTable[Receiving Yds],MATCH('Rankings Master'!D99,PlayerSummaryTable[Player],0)),"")</f>
        <v/>
      </c>
      <c r="O99" t="str">
        <f>IFERROR(INDEX(PlayerSummaryTable[Passing Yds],MATCH('Rankings Master'!D99,PlayerSummaryTable[Player],0)),"")</f>
        <v/>
      </c>
      <c r="U99" t="str">
        <f>IF(COUNTIF('Draft Log'!$B$2:$B$301,D99)&gt;0,"DRAFTED","")</f>
        <v>DRAFTED</v>
      </c>
      <c r="V99">
        <f>IFERROR(INDEX('Draft Log'!$A$2:$A$301,MATCH(D99,'Draft Log'!$B$2:$B$301,0)),"")</f>
        <v>71</v>
      </c>
      <c r="W99" t="str">
        <f>IFERROR(INDEX('Draft Log'!$C$2:$C$301,MATCH(D99,'Draft Log'!$B$2:$B$301,0)),"")</f>
        <v>Double Chubb Chocolate Cookie</v>
      </c>
    </row>
    <row r="100" spans="1:23">
      <c r="A100" s="1">
        <v>97</v>
      </c>
      <c r="B100" t="s">
        <v>712</v>
      </c>
      <c r="C100" t="s">
        <v>713</v>
      </c>
      <c r="D100" t="str">
        <f>IF($D$1="ESPN",INDEX(Table2[Mapped Name],MATCH('Rankings Master'!$A100,Table2[Overall Rank],0)),IF('Rankings Master'!$D$1="NFL.com",INDEX(Table3[Name Clean],MATCH('Rankings Master'!$A100,Table3[Rank],0)),IF('Rankings Master'!$D$1="Sleeper",INDEX(Sleeper!$B$2:$B$201,MATCH('Rankings Master'!$A100,Sleeper!$A$2:$A$201,0)),"Need platform")))</f>
        <v>TreVeyon Henderson</v>
      </c>
      <c r="E100" t="str">
        <f>IF($D$1="ESPN",INDEX(Table2[Position],MATCH('Rankings Master'!$A100,Table2[Overall Rank],0)),IF('Rankings Master'!$D$1="NFL.com",INDEX(Table3[Position],MATCH('Rankings Master'!$A100,Table3[Rank],0)),INDEX(Sleeper!$C$2:$C$201,MATCH('Rankings Master'!A100,Sleeper!$A$2:$A$201,0))))</f>
        <v>RB</v>
      </c>
      <c r="F100">
        <f>INDEX(Table4[RK],MATCH('Rankings Master'!D100,Table4[PLAYER NAME],0))</f>
        <v>67</v>
      </c>
      <c r="G100">
        <f t="shared" ref="G100:G131" si="15">A100-F100</f>
        <v>30</v>
      </c>
      <c r="H100">
        <f t="shared" ref="H100:H131" si="16">G100/F100</f>
        <v>0.44776119402985076</v>
      </c>
      <c r="I100" t="str">
        <f t="shared" si="14"/>
        <v>Pretty Undervalued</v>
      </c>
      <c r="J100" t="str">
        <f t="shared" si="13"/>
        <v>Y</v>
      </c>
      <c r="K100">
        <f t="shared" ref="K100:K131" si="17">IF(E100="QB",1,IF(E100="RB",2,IF(E100="WR",3,IF(E100="TE",4,IF(E100="K",5,"Check")))))</f>
        <v>2</v>
      </c>
      <c r="L100" t="str">
        <f>IF(J100="M",COUNTIFS($J$4:J100,"M",$E$4:E100,E100)&amp;" - "&amp;K100,"N/A")</f>
        <v>N/A</v>
      </c>
      <c r="M100" t="str">
        <f>IFERROR(INDEX(PlayerSummaryTable[Rushing Yds],MATCH('Rankings Master'!D100,PlayerSummaryTable[Player],0)),"")</f>
        <v/>
      </c>
      <c r="N100" t="str">
        <f>IFERROR(INDEX(PlayerSummaryTable[Receiving Yds],MATCH('Rankings Master'!D100,PlayerSummaryTable[Player],0)),"")</f>
        <v/>
      </c>
      <c r="O100" t="str">
        <f>IFERROR(INDEX(PlayerSummaryTable[Passing Yds],MATCH('Rankings Master'!D100,PlayerSummaryTable[Player],0)),"")</f>
        <v/>
      </c>
      <c r="U100" t="str">
        <f>IF(COUNTIF('Draft Log'!$B$2:$B$301,D100)&gt;0,"DRAFTED","")</f>
        <v>DRAFTED</v>
      </c>
      <c r="V100">
        <f>IFERROR(INDEX('Draft Log'!$A$2:$A$301,MATCH(D100,'Draft Log'!$B$2:$B$301,0)),"")</f>
        <v>64</v>
      </c>
      <c r="W100" t="str">
        <f>IFERROR(INDEX('Draft Log'!$C$2:$C$301,MATCH(D100,'Draft Log'!$B$2:$B$301,0)),"")</f>
        <v>Cut to the Chase</v>
      </c>
    </row>
    <row r="101" spans="1:23">
      <c r="A101" s="1">
        <v>98</v>
      </c>
      <c r="B101" t="s">
        <v>714</v>
      </c>
      <c r="C101" t="s">
        <v>715</v>
      </c>
      <c r="D101" t="str">
        <f>IF($D$1="ESPN",INDEX(Table2[Mapped Name],MATCH('Rankings Master'!$A101,Table2[Overall Rank],0)),IF('Rankings Master'!$D$1="NFL.com",INDEX(Table3[Name Clean],MATCH('Rankings Master'!$A101,Table3[Rank],0)),IF('Rankings Master'!$D$1="Sleeper",INDEX(Sleeper!$B$2:$B$201,MATCH('Rankings Master'!$A101,Sleeper!$A$2:$A$201,0)),"Need platform")))</f>
        <v>Tony Pollard</v>
      </c>
      <c r="E101" t="str">
        <f>IF($D$1="ESPN",INDEX(Table2[Position],MATCH('Rankings Master'!$A101,Table2[Overall Rank],0)),IF('Rankings Master'!$D$1="NFL.com",INDEX(Table3[Position],MATCH('Rankings Master'!$A101,Table3[Rank],0)),INDEX(Sleeper!$C$2:$C$201,MATCH('Rankings Master'!A101,Sleeper!$A$2:$A$201,0))))</f>
        <v>RB</v>
      </c>
      <c r="F101">
        <f>INDEX(Table4[RK],MATCH('Rankings Master'!D101,Table4[PLAYER NAME],0))</f>
        <v>73</v>
      </c>
      <c r="G101">
        <f t="shared" si="15"/>
        <v>25</v>
      </c>
      <c r="H101">
        <f t="shared" si="16"/>
        <v>0.34246575342465752</v>
      </c>
      <c r="I101" t="str">
        <f t="shared" si="14"/>
        <v>Pretty Undervalued</v>
      </c>
      <c r="J101" t="str">
        <f t="shared" si="13"/>
        <v>Y</v>
      </c>
      <c r="K101">
        <f t="shared" si="17"/>
        <v>2</v>
      </c>
      <c r="L101" t="str">
        <f>IF(J101="M",COUNTIFS($J$4:J101,"M",$E$4:E101,E101)&amp;" - "&amp;K101,"N/A")</f>
        <v>N/A</v>
      </c>
      <c r="M101">
        <f>IFERROR(INDEX(PlayerSummaryTable[Rushing Yds],MATCH('Rankings Master'!D101,PlayerSummaryTable[Player],0)),"")</f>
        <v>799.5</v>
      </c>
      <c r="N101" t="str">
        <f>IFERROR(INDEX(PlayerSummaryTable[Receiving Yds],MATCH('Rankings Master'!D101,PlayerSummaryTable[Player],0)),"")</f>
        <v>N/A</v>
      </c>
      <c r="O101" t="str">
        <f>IFERROR(INDEX(PlayerSummaryTable[Passing Yds],MATCH('Rankings Master'!D101,PlayerSummaryTable[Player],0)),"")</f>
        <v>N/A</v>
      </c>
      <c r="U101" t="str">
        <f>IF(COUNTIF('Draft Log'!$B$2:$B$301,D101)&gt;0,"DRAFTED","")</f>
        <v>DRAFTED</v>
      </c>
      <c r="V101">
        <f>IFERROR(INDEX('Draft Log'!$A$2:$A$301,MATCH(D101,'Draft Log'!$B$2:$B$301,0)),"")</f>
        <v>86</v>
      </c>
      <c r="W101" t="str">
        <f>IFERROR(INDEX('Draft Log'!$C$2:$C$301,MATCH(D101,'Draft Log'!$B$2:$B$301,0)),"")</f>
        <v>BEST COUNTRY IN THE WORLD</v>
      </c>
    </row>
    <row r="102" spans="1:23">
      <c r="A102" s="1">
        <v>99</v>
      </c>
      <c r="B102" t="s">
        <v>716</v>
      </c>
      <c r="C102" t="s">
        <v>568</v>
      </c>
      <c r="D102" t="str">
        <f>IF($D$1="ESPN",INDEX(Table2[Mapped Name],MATCH('Rankings Master'!$A102,Table2[Overall Rank],0)),IF('Rankings Master'!$D$1="NFL.com",INDEX(Table3[Name Clean],MATCH('Rankings Master'!$A102,Table3[Rank],0)),IF('Rankings Master'!$D$1="Sleeper",INDEX(Sleeper!$B$2:$B$201,MATCH('Rankings Master'!$A102,Sleeper!$A$2:$A$201,0)),"Need platform")))</f>
        <v>J.K. Dobbins</v>
      </c>
      <c r="E102" t="str">
        <f>IF($D$1="ESPN",INDEX(Table2[Position],MATCH('Rankings Master'!$A102,Table2[Overall Rank],0)),IF('Rankings Master'!$D$1="NFL.com",INDEX(Table3[Position],MATCH('Rankings Master'!$A102,Table3[Rank],0)),INDEX(Sleeper!$C$2:$C$201,MATCH('Rankings Master'!A102,Sleeper!$A$2:$A$201,0))))</f>
        <v>RB</v>
      </c>
      <c r="F102">
        <f>INDEX(Table4[RK],MATCH('Rankings Master'!D102,Table4[PLAYER NAME],0))</f>
        <v>81</v>
      </c>
      <c r="G102">
        <f t="shared" si="15"/>
        <v>18</v>
      </c>
      <c r="H102">
        <f t="shared" si="16"/>
        <v>0.22222222222222221</v>
      </c>
      <c r="I102" t="str">
        <f t="shared" si="14"/>
        <v>Pretty Undervalued</v>
      </c>
      <c r="J102" t="str">
        <f t="shared" si="13"/>
        <v>Y</v>
      </c>
      <c r="K102">
        <f t="shared" si="17"/>
        <v>2</v>
      </c>
      <c r="L102" t="str">
        <f>IF(J102="M",COUNTIFS($J$4:J102,"M",$E$4:E102,E102)&amp;" - "&amp;K102,"N/A")</f>
        <v>N/A</v>
      </c>
      <c r="M102" t="str">
        <f>IFERROR(INDEX(PlayerSummaryTable[Rushing Yds],MATCH('Rankings Master'!D102,PlayerSummaryTable[Player],0)),"")</f>
        <v/>
      </c>
      <c r="N102" t="str">
        <f>IFERROR(INDEX(PlayerSummaryTable[Receiving Yds],MATCH('Rankings Master'!D102,PlayerSummaryTable[Player],0)),"")</f>
        <v/>
      </c>
      <c r="O102" t="str">
        <f>IFERROR(INDEX(PlayerSummaryTable[Passing Yds],MATCH('Rankings Master'!D102,PlayerSummaryTable[Player],0)),"")</f>
        <v/>
      </c>
      <c r="U102" t="str">
        <f>IF(COUNTIF('Draft Log'!$B$2:$B$301,D102)&gt;0,"DRAFTED","")</f>
        <v>DRAFTED</v>
      </c>
      <c r="V102">
        <f>IFERROR(INDEX('Draft Log'!$A$2:$A$301,MATCH(D102,'Draft Log'!$B$2:$B$301,0)),"")</f>
        <v>90</v>
      </c>
      <c r="W102" t="str">
        <f>IFERROR(INDEX('Draft Log'!$C$2:$C$301,MATCH(D102,'Draft Log'!$B$2:$B$301,0)),"")</f>
        <v>Double Chubb Chocolate Cookie</v>
      </c>
    </row>
    <row r="103" spans="1:23">
      <c r="A103" s="1">
        <v>100</v>
      </c>
      <c r="B103" t="s">
        <v>633</v>
      </c>
      <c r="C103" t="s">
        <v>717</v>
      </c>
      <c r="D103" t="str">
        <f>IF($D$1="ESPN",INDEX(Table2[Mapped Name],MATCH('Rankings Master'!$A103,Table2[Overall Rank],0)),IF('Rankings Master'!$D$1="NFL.com",INDEX(Table3[Name Clean],MATCH('Rankings Master'!$A103,Table3[Rank],0)),IF('Rankings Master'!$D$1="Sleeper",INDEX(Sleeper!$B$2:$B$201,MATCH('Rankings Master'!$A103,Sleeper!$A$2:$A$201,0)),"Need platform")))</f>
        <v>Josh Jacobs</v>
      </c>
      <c r="E103" t="str">
        <f>IF($D$1="ESPN",INDEX(Table2[Position],MATCH('Rankings Master'!$A103,Table2[Overall Rank],0)),IF('Rankings Master'!$D$1="NFL.com",INDEX(Table3[Position],MATCH('Rankings Master'!$A103,Table3[Rank],0)),INDEX(Sleeper!$C$2:$C$201,MATCH('Rankings Master'!A103,Sleeper!$A$2:$A$201,0))))</f>
        <v>RB</v>
      </c>
      <c r="F103">
        <f>INDEX(Table4[RK],MATCH('Rankings Master'!D103,Table4[PLAYER NAME],0))</f>
        <v>144</v>
      </c>
      <c r="G103">
        <f t="shared" si="15"/>
        <v>-44</v>
      </c>
      <c r="H103">
        <f t="shared" si="16"/>
        <v>-0.30555555555555558</v>
      </c>
      <c r="I103" t="str">
        <f t="shared" si="14"/>
        <v>Pretty Overvalued</v>
      </c>
      <c r="J103" t="str">
        <f t="shared" si="13"/>
        <v>Y</v>
      </c>
      <c r="K103">
        <f t="shared" si="17"/>
        <v>2</v>
      </c>
      <c r="L103" t="str">
        <f>IF(J103="M",COUNTIFS($J$4:J103,"M",$E$4:E103,E103)&amp;" - "&amp;K103,"N/A")</f>
        <v>N/A</v>
      </c>
      <c r="M103" t="str">
        <f>IFERROR(INDEX(PlayerSummaryTable[Rushing Yds],MATCH('Rankings Master'!D103,PlayerSummaryTable[Player],0)),"")</f>
        <v/>
      </c>
      <c r="N103" t="str">
        <f>IFERROR(INDEX(PlayerSummaryTable[Receiving Yds],MATCH('Rankings Master'!D103,PlayerSummaryTable[Player],0)),"")</f>
        <v/>
      </c>
      <c r="O103" t="str">
        <f>IFERROR(INDEX(PlayerSummaryTable[Passing Yds],MATCH('Rankings Master'!D103,PlayerSummaryTable[Player],0)),"")</f>
        <v/>
      </c>
      <c r="U103" t="str">
        <f>IF(COUNTIF('Draft Log'!$B$2:$B$301,D103)&gt;0,"DRAFTED","")</f>
        <v>DRAFTED</v>
      </c>
      <c r="V103">
        <f>IFERROR(INDEX('Draft Log'!$A$2:$A$301,MATCH(D103,'Draft Log'!$B$2:$B$301,0)),"")</f>
        <v>76</v>
      </c>
      <c r="W103" t="str">
        <f>IFERROR(INDEX('Draft Log'!$C$2:$C$301,MATCH(D103,'Draft Log'!$B$2:$B$301,0)),"")</f>
        <v>JJetts Skatt Hurts</v>
      </c>
    </row>
    <row r="104" spans="1:23">
      <c r="A104" s="1">
        <v>101</v>
      </c>
      <c r="B104" t="s">
        <v>714</v>
      </c>
      <c r="C104" t="s">
        <v>718</v>
      </c>
      <c r="D104" t="str">
        <f>IF($D$1="ESPN",INDEX(Table2[Mapped Name],MATCH('Rankings Master'!$A104,Table2[Overall Rank],0)),IF('Rankings Master'!$D$1="NFL.com",INDEX(Table3[Name Clean],MATCH('Rankings Master'!$A104,Table3[Rank],0)),IF('Rankings Master'!$D$1="Sleeper",INDEX(Sleeper!$B$2:$B$201,MATCH('Rankings Master'!$A104,Sleeper!$A$2:$A$201,0)),"Need platform")))</f>
        <v>Kenny Gainwell</v>
      </c>
      <c r="E104" t="str">
        <f>IF($D$1="ESPN",INDEX(Table2[Position],MATCH('Rankings Master'!$A104,Table2[Overall Rank],0)),IF('Rankings Master'!$D$1="NFL.com",INDEX(Table3[Position],MATCH('Rankings Master'!$A104,Table3[Rank],0)),INDEX(Sleeper!$C$2:$C$201,MATCH('Rankings Master'!A104,Sleeper!$A$2:$A$201,0))))</f>
        <v>RB</v>
      </c>
      <c r="F104">
        <f>INDEX(Table4[RK],MATCH('Rankings Master'!D104,Table4[PLAYER NAME],0))</f>
        <v>116</v>
      </c>
      <c r="G104">
        <f t="shared" si="15"/>
        <v>-15</v>
      </c>
      <c r="H104">
        <f t="shared" si="16"/>
        <v>-0.12931034482758622</v>
      </c>
      <c r="I104" t="str">
        <f t="shared" si="14"/>
        <v>Slightly Overvalued</v>
      </c>
      <c r="J104" t="str">
        <f t="shared" si="13"/>
        <v>M</v>
      </c>
      <c r="K104">
        <f t="shared" si="17"/>
        <v>2</v>
      </c>
      <c r="L104" t="str">
        <f>IF(J104="M",COUNTIFS($J$4:J104,"M",$E$4:E104,E104)&amp;" - "&amp;K104,"N/A")</f>
        <v>3 - 2</v>
      </c>
      <c r="M104" t="str">
        <f>IFERROR(INDEX(PlayerSummaryTable[Rushing Yds],MATCH('Rankings Master'!D104,PlayerSummaryTable[Player],0)),"")</f>
        <v/>
      </c>
      <c r="N104" t="str">
        <f>IFERROR(INDEX(PlayerSummaryTable[Receiving Yds],MATCH('Rankings Master'!D104,PlayerSummaryTable[Player],0)),"")</f>
        <v/>
      </c>
      <c r="O104" t="str">
        <f>IFERROR(INDEX(PlayerSummaryTable[Passing Yds],MATCH('Rankings Master'!D104,PlayerSummaryTable[Player],0)),"")</f>
        <v/>
      </c>
      <c r="U104" t="str">
        <f>IF(COUNTIF('Draft Log'!$B$2:$B$301,D104)&gt;0,"DRAFTED","")</f>
        <v>DRAFTED</v>
      </c>
      <c r="V104">
        <f>IFERROR(INDEX('Draft Log'!$A$2:$A$301,MATCH(D104,'Draft Log'!$B$2:$B$301,0)),"")</f>
        <v>108</v>
      </c>
      <c r="W104" t="str">
        <f>IFERROR(INDEX('Draft Log'!$C$2:$C$301,MATCH(D104,'Draft Log'!$B$2:$B$301,0)),"")</f>
        <v>Mustafa is Not Like Us</v>
      </c>
    </row>
    <row r="105" spans="1:23">
      <c r="A105" s="1">
        <v>102</v>
      </c>
      <c r="B105" t="s">
        <v>669</v>
      </c>
      <c r="C105" t="s">
        <v>719</v>
      </c>
      <c r="D105" t="str">
        <f>IF($D$1="ESPN",INDEX(Table2[Mapped Name],MATCH('Rankings Master'!$A105,Table2[Overall Rank],0)),IF('Rankings Master'!$D$1="NFL.com",INDEX(Table3[Name Clean],MATCH('Rankings Master'!$A105,Table3[Rank],0)),IF('Rankings Master'!$D$1="Sleeper",INDEX(Sleeper!$B$2:$B$201,MATCH('Rankings Master'!$A105,Sleeper!$A$2:$A$201,0)),"Need platform")))</f>
        <v>George Kittle</v>
      </c>
      <c r="E105" t="str">
        <f>IF($D$1="ESPN",INDEX(Table2[Position],MATCH('Rankings Master'!$A105,Table2[Overall Rank],0)),IF('Rankings Master'!$D$1="NFL.com",INDEX(Table3[Position],MATCH('Rankings Master'!$A105,Table3[Rank],0)),INDEX(Sleeper!$C$2:$C$201,MATCH('Rankings Master'!A105,Sleeper!$A$2:$A$201,0))))</f>
        <v>TE</v>
      </c>
      <c r="F105">
        <f>INDEX(Table4[RK],MATCH('Rankings Master'!D105,Table4[PLAYER NAME],0))</f>
        <v>88</v>
      </c>
      <c r="G105">
        <f t="shared" si="15"/>
        <v>14</v>
      </c>
      <c r="H105">
        <f t="shared" si="16"/>
        <v>0.15909090909090909</v>
      </c>
      <c r="I105" t="str">
        <f t="shared" si="14"/>
        <v>Pretty Undervalued</v>
      </c>
      <c r="J105" t="str">
        <f t="shared" si="13"/>
        <v>Y</v>
      </c>
      <c r="K105">
        <f t="shared" si="17"/>
        <v>4</v>
      </c>
      <c r="L105" t="str">
        <f>IF(J105="M",COUNTIFS($J$4:J105,"M",$E$4:E105,E105)&amp;" - "&amp;K105,"N/A")</f>
        <v>N/A</v>
      </c>
      <c r="M105" t="str">
        <f>IFERROR(INDEX(PlayerSummaryTable[Rushing Yds],MATCH('Rankings Master'!D105,PlayerSummaryTable[Player],0)),"")</f>
        <v>N/A</v>
      </c>
      <c r="N105">
        <f>IFERROR(INDEX(PlayerSummaryTable[Receiving Yds],MATCH('Rankings Master'!D105,PlayerSummaryTable[Player],0)),"")</f>
        <v>699.5</v>
      </c>
      <c r="O105" t="str">
        <f>IFERROR(INDEX(PlayerSummaryTable[Passing Yds],MATCH('Rankings Master'!D105,PlayerSummaryTable[Player],0)),"")</f>
        <v>N/A</v>
      </c>
      <c r="U105" t="str">
        <f>IF(COUNTIF('Draft Log'!$B$2:$B$301,D105)&gt;0,"DRAFTED","")</f>
        <v>DRAFTED</v>
      </c>
      <c r="V105">
        <f>IFERROR(INDEX('Draft Log'!$A$2:$A$301,MATCH(D105,'Draft Log'!$B$2:$B$301,0)),"")</f>
        <v>62</v>
      </c>
      <c r="W105" t="str">
        <f>IFERROR(INDEX('Draft Log'!$C$2:$C$301,MATCH(D105,'Draft Log'!$B$2:$B$301,0)),"")</f>
        <v>Benjamins Bandits</v>
      </c>
    </row>
    <row r="106" spans="1:23">
      <c r="A106" s="1">
        <v>103</v>
      </c>
      <c r="B106" t="s">
        <v>720</v>
      </c>
      <c r="C106" t="s">
        <v>721</v>
      </c>
      <c r="D106" t="str">
        <f>IF($D$1="ESPN",INDEX(Table2[Mapped Name],MATCH('Rankings Master'!$A106,Table2[Overall Rank],0)),IF('Rankings Master'!$D$1="NFL.com",INDEX(Table3[Name Clean],MATCH('Rankings Master'!$A106,Table3[Rank],0)),IF('Rankings Master'!$D$1="Sleeper",INDEX(Sleeper!$B$2:$B$201,MATCH('Rankings Master'!$A106,Sleeper!$A$2:$A$201,0)),"Need platform")))</f>
        <v>Tucker Kraft</v>
      </c>
      <c r="E106" t="str">
        <f>IF($D$1="ESPN",INDEX(Table2[Position],MATCH('Rankings Master'!$A106,Table2[Overall Rank],0)),IF('Rankings Master'!$D$1="NFL.com",INDEX(Table3[Position],MATCH('Rankings Master'!$A106,Table3[Rank],0)),INDEX(Sleeper!$C$2:$C$201,MATCH('Rankings Master'!A106,Sleeper!$A$2:$A$201,0))))</f>
        <v>TE</v>
      </c>
      <c r="F106">
        <f>INDEX(Table4[RK],MATCH('Rankings Master'!D106,Table4[PLAYER NAME],0))</f>
        <v>62</v>
      </c>
      <c r="G106">
        <f t="shared" si="15"/>
        <v>41</v>
      </c>
      <c r="H106">
        <f t="shared" si="16"/>
        <v>0.66129032258064513</v>
      </c>
      <c r="I106" t="str">
        <f t="shared" si="14"/>
        <v>Extremely Undervalued</v>
      </c>
      <c r="J106" t="str">
        <f t="shared" si="13"/>
        <v>Y</v>
      </c>
      <c r="K106">
        <f t="shared" si="17"/>
        <v>4</v>
      </c>
      <c r="L106" t="str">
        <f>IF(J106="M",COUNTIFS($J$4:J106,"M",$E$4:E106,E106)&amp;" - "&amp;K106,"N/A")</f>
        <v>N/A</v>
      </c>
      <c r="M106" t="str">
        <f>IFERROR(INDEX(PlayerSummaryTable[Rushing Yds],MATCH('Rankings Master'!D106,PlayerSummaryTable[Player],0)),"")</f>
        <v>N/A</v>
      </c>
      <c r="N106">
        <f>IFERROR(INDEX(PlayerSummaryTable[Receiving Yds],MATCH('Rankings Master'!D106,PlayerSummaryTable[Player],0)),"")</f>
        <v>699.5</v>
      </c>
      <c r="O106" t="str">
        <f>IFERROR(INDEX(PlayerSummaryTable[Passing Yds],MATCH('Rankings Master'!D106,PlayerSummaryTable[Player],0)),"")</f>
        <v>N/A</v>
      </c>
      <c r="U106" t="str">
        <f>IF(COUNTIF('Draft Log'!$B$2:$B$301,D106)&gt;0,"DRAFTED","")</f>
        <v>DRAFTED</v>
      </c>
      <c r="V106">
        <f>IFERROR(INDEX('Draft Log'!$A$2:$A$301,MATCH(D106,'Draft Log'!$B$2:$B$301,0)),"")</f>
        <v>78</v>
      </c>
      <c r="W106" t="str">
        <f>IFERROR(INDEX('Draft Log'!$C$2:$C$301,MATCH(D106,'Draft Log'!$B$2:$B$301,0)),"")</f>
        <v>dontsaynosayYA</v>
      </c>
    </row>
    <row r="107" spans="1:23">
      <c r="A107" s="1">
        <v>104</v>
      </c>
      <c r="B107" t="s">
        <v>722</v>
      </c>
      <c r="C107" t="s">
        <v>723</v>
      </c>
      <c r="D107" t="str">
        <f>IF($D$1="ESPN",INDEX(Table2[Mapped Name],MATCH('Rankings Master'!$A107,Table2[Overall Rank],0)),IF('Rankings Master'!$D$1="NFL.com",INDEX(Table3[Name Clean],MATCH('Rankings Master'!$A107,Table3[Rank],0)),IF('Rankings Master'!$D$1="Sleeper",INDEX(Sleeper!$B$2:$B$201,MATCH('Rankings Master'!$A107,Sleeper!$A$2:$A$201,0)),"Need platform")))</f>
        <v>Dallas Goedert</v>
      </c>
      <c r="E107" t="str">
        <f>IF($D$1="ESPN",INDEX(Table2[Position],MATCH('Rankings Master'!$A107,Table2[Overall Rank],0)),IF('Rankings Master'!$D$1="NFL.com",INDEX(Table3[Position],MATCH('Rankings Master'!$A107,Table3[Rank],0)),INDEX(Sleeper!$C$2:$C$201,MATCH('Rankings Master'!A107,Sleeper!$A$2:$A$201,0))))</f>
        <v>TE</v>
      </c>
      <c r="F107">
        <f>INDEX(Table4[RK],MATCH('Rankings Master'!D107,Table4[PLAYER NAME],0))</f>
        <v>111</v>
      </c>
      <c r="G107">
        <f t="shared" si="15"/>
        <v>-7</v>
      </c>
      <c r="H107">
        <f t="shared" si="16"/>
        <v>-6.3063063063063057E-2</v>
      </c>
      <c r="I107" t="str">
        <f t="shared" si="14"/>
        <v>Slightly Overvalued</v>
      </c>
      <c r="J107" t="str">
        <f t="shared" si="13"/>
        <v>Y</v>
      </c>
      <c r="K107">
        <f t="shared" si="17"/>
        <v>4</v>
      </c>
      <c r="L107" t="str">
        <f>IF(J107="M",COUNTIFS($J$4:J107,"M",$E$4:E107,E107)&amp;" - "&amp;K107,"N/A")</f>
        <v>N/A</v>
      </c>
      <c r="M107" t="str">
        <f>IFERROR(INDEX(PlayerSummaryTable[Rushing Yds],MATCH('Rankings Master'!D107,PlayerSummaryTable[Player],0)),"")</f>
        <v>N/A</v>
      </c>
      <c r="N107">
        <f>IFERROR(INDEX(PlayerSummaryTable[Receiving Yds],MATCH('Rankings Master'!D107,PlayerSummaryTable[Player],0)),"")</f>
        <v>574.5</v>
      </c>
      <c r="O107" t="str">
        <f>IFERROR(INDEX(PlayerSummaryTable[Passing Yds],MATCH('Rankings Master'!D107,PlayerSummaryTable[Player],0)),"")</f>
        <v>N/A</v>
      </c>
      <c r="U107" t="str">
        <f>IF(COUNTIF('Draft Log'!$B$2:$B$301,D107)&gt;0,"DRAFTED","")</f>
        <v>DRAFTED</v>
      </c>
      <c r="V107">
        <f>IFERROR(INDEX('Draft Log'!$A$2:$A$301,MATCH(D107,'Draft Log'!$B$2:$B$301,0)),"")</f>
        <v>112</v>
      </c>
      <c r="W107" t="str">
        <f>IFERROR(INDEX('Draft Log'!$C$2:$C$301,MATCH(D107,'Draft Log'!$B$2:$B$301,0)),"")</f>
        <v>The Good, Bad and Ugly</v>
      </c>
    </row>
    <row r="108" spans="1:23">
      <c r="A108" s="1">
        <v>105</v>
      </c>
      <c r="B108" t="s">
        <v>724</v>
      </c>
      <c r="C108" t="s">
        <v>725</v>
      </c>
      <c r="D108" t="str">
        <f>IF($D$1="ESPN",INDEX(Table2[Mapped Name],MATCH('Rankings Master'!$A108,Table2[Overall Rank],0)),IF('Rankings Master'!$D$1="NFL.com",INDEX(Table3[Name Clean],MATCH('Rankings Master'!$A108,Table3[Rank],0)),IF('Rankings Master'!$D$1="Sleeper",INDEX(Sleeper!$B$2:$B$201,MATCH('Rankings Master'!$A108,Sleeper!$A$2:$A$201,0)),"Need platform")))</f>
        <v>Travis Kelce</v>
      </c>
      <c r="E108" t="str">
        <f>IF($D$1="ESPN",INDEX(Table2[Position],MATCH('Rankings Master'!$A108,Table2[Overall Rank],0)),IF('Rankings Master'!$D$1="NFL.com",INDEX(Table3[Position],MATCH('Rankings Master'!$A108,Table3[Rank],0)),INDEX(Sleeper!$C$2:$C$201,MATCH('Rankings Master'!A108,Sleeper!$A$2:$A$201,0))))</f>
        <v>TE</v>
      </c>
      <c r="F108">
        <f>INDEX(Table4[RK],MATCH('Rankings Master'!D108,Table4[PLAYER NAME],0))</f>
        <v>106</v>
      </c>
      <c r="G108">
        <f t="shared" si="15"/>
        <v>-1</v>
      </c>
      <c r="H108">
        <f t="shared" si="16"/>
        <v>-9.433962264150943E-3</v>
      </c>
      <c r="I108" t="str">
        <f t="shared" si="14"/>
        <v>Slightly Overvalued</v>
      </c>
      <c r="J108" t="str">
        <f t="shared" si="13"/>
        <v>Y</v>
      </c>
      <c r="K108">
        <f t="shared" si="17"/>
        <v>4</v>
      </c>
      <c r="L108" t="str">
        <f>IF(J108="M",COUNTIFS($J$4:J108,"M",$E$4:E108,E108)&amp;" - "&amp;K108,"N/A")</f>
        <v>N/A</v>
      </c>
      <c r="M108" t="str">
        <f>IFERROR(INDEX(PlayerSummaryTable[Rushing Yds],MATCH('Rankings Master'!D108,PlayerSummaryTable[Player],0)),"")</f>
        <v>N/A</v>
      </c>
      <c r="N108">
        <f>IFERROR(INDEX(PlayerSummaryTable[Receiving Yds],MATCH('Rankings Master'!D108,PlayerSummaryTable[Player],0)),"")</f>
        <v>674.5</v>
      </c>
      <c r="O108" t="str">
        <f>IFERROR(INDEX(PlayerSummaryTable[Passing Yds],MATCH('Rankings Master'!D108,PlayerSummaryTable[Player],0)),"")</f>
        <v>N/A</v>
      </c>
      <c r="U108" t="str">
        <f>IF(COUNTIF('Draft Log'!$B$2:$B$301,D108)&gt;0,"DRAFTED","")</f>
        <v>DRAFTED</v>
      </c>
      <c r="V108">
        <f>IFERROR(INDEX('Draft Log'!$A$2:$A$301,MATCH(D108,'Draft Log'!$B$2:$B$301,0)),"")</f>
        <v>122</v>
      </c>
      <c r="W108" t="str">
        <f>IFERROR(INDEX('Draft Log'!$C$2:$C$301,MATCH(D108,'Draft Log'!$B$2:$B$301,0)),"")</f>
        <v>Benjamins Bandits</v>
      </c>
    </row>
    <row r="109" spans="1:23">
      <c r="A109" s="1">
        <v>106</v>
      </c>
      <c r="B109" t="s">
        <v>526</v>
      </c>
      <c r="C109" t="s">
        <v>541</v>
      </c>
      <c r="D109" t="str">
        <f>IF($D$1="ESPN",INDEX(Table2[Mapped Name],MATCH('Rankings Master'!$A109,Table2[Overall Rank],0)),IF('Rankings Master'!$D$1="NFL.com",INDEX(Table3[Name Clean],MATCH('Rankings Master'!$A109,Table3[Rank],0)),IF('Rankings Master'!$D$1="Sleeper",INDEX(Sleeper!$B$2:$B$201,MATCH('Rankings Master'!$A109,Sleeper!$A$2:$A$201,0)),"Need platform")))</f>
        <v>Kyle Monangai</v>
      </c>
      <c r="E109" t="str">
        <f>IF($D$1="ESPN",INDEX(Table2[Position],MATCH('Rankings Master'!$A109,Table2[Overall Rank],0)),IF('Rankings Master'!$D$1="NFL.com",INDEX(Table3[Position],MATCH('Rankings Master'!$A109,Table3[Rank],0)),INDEX(Sleeper!$C$2:$C$201,MATCH('Rankings Master'!A109,Sleeper!$A$2:$A$201,0))))</f>
        <v>RB</v>
      </c>
      <c r="F109">
        <f>INDEX(Table4[RK],MATCH('Rankings Master'!D109,Table4[PLAYER NAME],0))</f>
        <v>104</v>
      </c>
      <c r="G109">
        <f t="shared" si="15"/>
        <v>2</v>
      </c>
      <c r="H109">
        <f t="shared" si="16"/>
        <v>1.9230769230769232E-2</v>
      </c>
      <c r="I109" t="str">
        <f t="shared" si="14"/>
        <v>Slightly Undervalued</v>
      </c>
      <c r="J109" t="str">
        <f t="shared" si="13"/>
        <v>Y</v>
      </c>
      <c r="K109">
        <f t="shared" si="17"/>
        <v>2</v>
      </c>
      <c r="L109" t="str">
        <f>IF(J109="M",COUNTIFS($J$4:J109,"M",$E$4:E109,E109)&amp;" - "&amp;K109,"N/A")</f>
        <v>N/A</v>
      </c>
      <c r="M109" t="str">
        <f>IFERROR(INDEX(PlayerSummaryTable[Rushing Yds],MATCH('Rankings Master'!D109,PlayerSummaryTable[Player],0)),"")</f>
        <v/>
      </c>
      <c r="N109" t="str">
        <f>IFERROR(INDEX(PlayerSummaryTable[Receiving Yds],MATCH('Rankings Master'!D109,PlayerSummaryTable[Player],0)),"")</f>
        <v/>
      </c>
      <c r="O109" t="str">
        <f>IFERROR(INDEX(PlayerSummaryTable[Passing Yds],MATCH('Rankings Master'!D109,PlayerSummaryTable[Player],0)),"")</f>
        <v/>
      </c>
      <c r="U109" t="str">
        <f>IF(COUNTIF('Draft Log'!$B$2:$B$301,D109)&gt;0,"DRAFTED","")</f>
        <v>DRAFTED</v>
      </c>
      <c r="V109">
        <f>IFERROR(INDEX('Draft Log'!$A$2:$A$301,MATCH(D109,'Draft Log'!$B$2:$B$301,0)),"")</f>
        <v>125</v>
      </c>
      <c r="W109" t="str">
        <f>IFERROR(INDEX('Draft Log'!$C$2:$C$301,MATCH(D109,'Draft Log'!$B$2:$B$301,0)),"")</f>
        <v>JJetts Skatt Hurts</v>
      </c>
    </row>
    <row r="110" spans="1:23">
      <c r="A110" s="1">
        <v>107</v>
      </c>
      <c r="B110" t="s">
        <v>711</v>
      </c>
      <c r="C110" t="s">
        <v>726</v>
      </c>
      <c r="D110" t="str">
        <f>IF($D$1="ESPN",INDEX(Table2[Mapped Name],MATCH('Rankings Master'!$A110,Table2[Overall Rank],0)),IF('Rankings Master'!$D$1="NFL.com",INDEX(Table3[Name Clean],MATCH('Rankings Master'!$A110,Table3[Rank],0)),IF('Rankings Master'!$D$1="Sleeper",INDEX(Sleeper!$B$2:$B$201,MATCH('Rankings Master'!$A110,Sleeper!$A$2:$A$201,0)),"Need platform")))</f>
        <v>MarShawn Lloyd</v>
      </c>
      <c r="E110" t="str">
        <f>IF($D$1="ESPN",INDEX(Table2[Position],MATCH('Rankings Master'!$A110,Table2[Overall Rank],0)),IF('Rankings Master'!$D$1="NFL.com",INDEX(Table3[Position],MATCH('Rankings Master'!$A110,Table3[Rank],0)),INDEX(Sleeper!$C$2:$C$201,MATCH('Rankings Master'!A110,Sleeper!$A$2:$A$201,0))))</f>
        <v>RB</v>
      </c>
      <c r="F110">
        <f>INDEX(Table4[RK],MATCH('Rankings Master'!D110,Table4[PLAYER NAME],0))</f>
        <v>93</v>
      </c>
      <c r="G110">
        <f t="shared" si="15"/>
        <v>14</v>
      </c>
      <c r="H110">
        <f t="shared" si="16"/>
        <v>0.15053763440860216</v>
      </c>
      <c r="I110" t="str">
        <f t="shared" ref="I110:I141" si="18">IF(AND(H110 &gt; -1, H110 &lt;= -0.5), "Extremely Overvalued",
IF(AND(H110 &gt; -0.5, H110 &lt;= -0.15), "Pretty Overvalued",
IF(AND(H110 &gt; -0.15, H110 &lt; 0), "Slightly Overvalued",
IF(H110 = 0, "At ADP",
IF(AND(H110 &gt; 0, H110 &lt;= 0.15), "Slightly Undervalued",
IF(AND(H110 &gt; 0.15, H110 &lt;= 0.5), "Pretty Undervalued",
IF(AND(H110 &gt; 0.5, H110 &lt;= 1), "Extremely Undervalued", "")))))))</f>
        <v>Pretty Undervalued</v>
      </c>
      <c r="J110" t="str">
        <f t="shared" si="13"/>
        <v>Y</v>
      </c>
      <c r="K110">
        <f t="shared" si="17"/>
        <v>2</v>
      </c>
      <c r="L110" t="str">
        <f>IF(J110="M",COUNTIFS($J$4:J110,"M",$E$4:E110,E110)&amp;" - "&amp;K110,"N/A")</f>
        <v>N/A</v>
      </c>
      <c r="M110" t="str">
        <f>IFERROR(INDEX(PlayerSummaryTable[Rushing Yds],MATCH('Rankings Master'!D110,PlayerSummaryTable[Player],0)),"")</f>
        <v/>
      </c>
      <c r="N110" t="str">
        <f>IFERROR(INDEX(PlayerSummaryTable[Receiving Yds],MATCH('Rankings Master'!D110,PlayerSummaryTable[Player],0)),"")</f>
        <v/>
      </c>
      <c r="O110" t="str">
        <f>IFERROR(INDEX(PlayerSummaryTable[Passing Yds],MATCH('Rankings Master'!D110,PlayerSummaryTable[Player],0)),"")</f>
        <v/>
      </c>
      <c r="U110" t="str">
        <f>IF(COUNTIF('Draft Log'!$B$2:$B$301,D110)&gt;0,"DRAFTED","")</f>
        <v>DRAFTED</v>
      </c>
      <c r="V110">
        <f>IFERROR(INDEX('Draft Log'!$A$2:$A$301,MATCH(D110,'Draft Log'!$B$2:$B$301,0)),"")</f>
        <v>85</v>
      </c>
      <c r="W110" t="str">
        <f>IFERROR(INDEX('Draft Log'!$C$2:$C$301,MATCH(D110,'Draft Log'!$B$2:$B$301,0)),"")</f>
        <v>JJetts Skatt Hurts</v>
      </c>
    </row>
    <row r="111" spans="1:23">
      <c r="A111" s="1">
        <v>108</v>
      </c>
      <c r="B111" t="s">
        <v>727</v>
      </c>
      <c r="C111" t="s">
        <v>728</v>
      </c>
      <c r="D111" t="str">
        <f>IF($D$1="ESPN",INDEX(Table2[Mapped Name],MATCH('Rankings Master'!$A111,Table2[Overall Rank],0)),IF('Rankings Master'!$D$1="NFL.com",INDEX(Table3[Name Clean],MATCH('Rankings Master'!$A111,Table3[Rank],0)),IF('Rankings Master'!$D$1="Sleeper",INDEX(Sleeper!$B$2:$B$201,MATCH('Rankings Master'!$A111,Sleeper!$A$2:$A$201,0)),"Need platform")))</f>
        <v>Jacory Croskey-Merritt</v>
      </c>
      <c r="E111" t="str">
        <f>IF($D$1="ESPN",INDEX(Table2[Position],MATCH('Rankings Master'!$A111,Table2[Overall Rank],0)),IF('Rankings Master'!$D$1="NFL.com",INDEX(Table3[Position],MATCH('Rankings Master'!$A111,Table3[Rank],0)),INDEX(Sleeper!$C$2:$C$201,MATCH('Rankings Master'!A111,Sleeper!$A$2:$A$201,0))))</f>
        <v>RB</v>
      </c>
      <c r="F111">
        <f>INDEX(Table4[RK],MATCH('Rankings Master'!D111,Table4[PLAYER NAME],0))</f>
        <v>89</v>
      </c>
      <c r="G111">
        <f t="shared" si="15"/>
        <v>19</v>
      </c>
      <c r="H111">
        <f t="shared" si="16"/>
        <v>0.21348314606741572</v>
      </c>
      <c r="I111" t="str">
        <f t="shared" si="18"/>
        <v>Pretty Undervalued</v>
      </c>
      <c r="J111" t="str">
        <f t="shared" si="13"/>
        <v>Y</v>
      </c>
      <c r="K111">
        <f t="shared" si="17"/>
        <v>2</v>
      </c>
      <c r="L111" t="str">
        <f>IF(J111="M",COUNTIFS($J$4:J111,"M",$E$4:E111,E111)&amp;" - "&amp;K111,"N/A")</f>
        <v>N/A</v>
      </c>
      <c r="M111" t="str">
        <f>IFERROR(INDEX(PlayerSummaryTable[Rushing Yds],MATCH('Rankings Master'!D111,PlayerSummaryTable[Player],0)),"")</f>
        <v/>
      </c>
      <c r="N111" t="str">
        <f>IFERROR(INDEX(PlayerSummaryTable[Receiving Yds],MATCH('Rankings Master'!D111,PlayerSummaryTable[Player],0)),"")</f>
        <v/>
      </c>
      <c r="O111" t="str">
        <f>IFERROR(INDEX(PlayerSummaryTable[Passing Yds],MATCH('Rankings Master'!D111,PlayerSummaryTable[Player],0)),"")</f>
        <v/>
      </c>
      <c r="U111" t="str">
        <f>IF(COUNTIF('Draft Log'!$B$2:$B$301,D111)&gt;0,"DRAFTED","")</f>
        <v>DRAFTED</v>
      </c>
      <c r="V111">
        <f>IFERROR(INDEX('Draft Log'!$A$2:$A$301,MATCH(D111,'Draft Log'!$B$2:$B$301,0)),"")</f>
        <v>97</v>
      </c>
      <c r="W111" t="str">
        <f>IFERROR(INDEX('Draft Log'!$C$2:$C$301,MATCH(D111,'Draft Log'!$B$2:$B$301,0)),"")</f>
        <v>Cut to the Chase</v>
      </c>
    </row>
    <row r="112" spans="1:23">
      <c r="A112" s="1">
        <v>109</v>
      </c>
      <c r="B112" t="s">
        <v>729</v>
      </c>
      <c r="C112" t="s">
        <v>730</v>
      </c>
      <c r="D112" t="str">
        <f>IF($D$1="ESPN",INDEX(Table2[Mapped Name],MATCH('Rankings Master'!$A112,Table2[Overall Rank],0)),IF('Rankings Master'!$D$1="NFL.com",INDEX(Table3[Name Clean],MATCH('Rankings Master'!$A112,Table3[Rank],0)),IF('Rankings Master'!$D$1="Sleeper",INDEX(Sleeper!$B$2:$B$201,MATCH('Rankings Master'!$A112,Sleeper!$A$2:$A$201,0)),"Need platform")))</f>
        <v>Chuba Hubbard</v>
      </c>
      <c r="E112" t="str">
        <f>IF($D$1="ESPN",INDEX(Table2[Position],MATCH('Rankings Master'!$A112,Table2[Overall Rank],0)),IF('Rankings Master'!$D$1="NFL.com",INDEX(Table3[Position],MATCH('Rankings Master'!$A112,Table3[Rank],0)),INDEX(Sleeper!$C$2:$C$201,MATCH('Rankings Master'!A112,Sleeper!$A$2:$A$201,0))))</f>
        <v>RB</v>
      </c>
      <c r="F112">
        <f>INDEX(Table4[RK],MATCH('Rankings Master'!D112,Table4[PLAYER NAME],0))</f>
        <v>96</v>
      </c>
      <c r="G112">
        <f t="shared" si="15"/>
        <v>13</v>
      </c>
      <c r="H112">
        <f t="shared" si="16"/>
        <v>0.13541666666666666</v>
      </c>
      <c r="I112" t="str">
        <f t="shared" si="18"/>
        <v>Slightly Undervalued</v>
      </c>
      <c r="J112" t="str">
        <f t="shared" si="13"/>
        <v>Y</v>
      </c>
      <c r="K112">
        <f t="shared" si="17"/>
        <v>2</v>
      </c>
      <c r="L112" t="str">
        <f>IF(J112="M",COUNTIFS($J$4:J112,"M",$E$4:E112,E112)&amp;" - "&amp;K112,"N/A")</f>
        <v>N/A</v>
      </c>
      <c r="M112" t="str">
        <f>IFERROR(INDEX(PlayerSummaryTable[Rushing Yds],MATCH('Rankings Master'!D112,PlayerSummaryTable[Player],0)),"")</f>
        <v/>
      </c>
      <c r="N112" t="str">
        <f>IFERROR(INDEX(PlayerSummaryTable[Receiving Yds],MATCH('Rankings Master'!D112,PlayerSummaryTable[Player],0)),"")</f>
        <v/>
      </c>
      <c r="O112" t="str">
        <f>IFERROR(INDEX(PlayerSummaryTable[Passing Yds],MATCH('Rankings Master'!D112,PlayerSummaryTable[Player],0)),"")</f>
        <v/>
      </c>
      <c r="U112" t="str">
        <f>IF(COUNTIF('Draft Log'!$B$2:$B$301,D112)&gt;0,"DRAFTED","")</f>
        <v>DRAFTED</v>
      </c>
      <c r="V112">
        <f>IFERROR(INDEX('Draft Log'!$A$2:$A$301,MATCH(D112,'Draft Log'!$B$2:$B$301,0)),"")</f>
        <v>95</v>
      </c>
      <c r="W112" t="str">
        <f>IFERROR(INDEX('Draft Log'!$C$2:$C$301,MATCH(D112,'Draft Log'!$B$2:$B$301,0)),"")</f>
        <v>BEST COUNTRY IN THE WORLD</v>
      </c>
    </row>
    <row r="113" spans="1:23">
      <c r="A113" s="1">
        <v>110</v>
      </c>
      <c r="B113" t="s">
        <v>731</v>
      </c>
      <c r="C113" t="s">
        <v>732</v>
      </c>
      <c r="D113" t="str">
        <f>IF($D$1="ESPN",INDEX(Table2[Mapped Name],MATCH('Rankings Master'!$A113,Table2[Overall Rank],0)),IF('Rankings Master'!$D$1="NFL.com",INDEX(Table3[Name Clean],MATCH('Rankings Master'!$A113,Table3[Rank],0)),IF('Rankings Master'!$D$1="Sleeper",INDEX(Sleeper!$B$2:$B$201,MATCH('Rankings Master'!$A113,Sleeper!$A$2:$A$201,0)),"Need platform")))</f>
        <v>Mark Andrews</v>
      </c>
      <c r="E113" t="str">
        <f>IF($D$1="ESPN",INDEX(Table2[Position],MATCH('Rankings Master'!$A113,Table2[Overall Rank],0)),IF('Rankings Master'!$D$1="NFL.com",INDEX(Table3[Position],MATCH('Rankings Master'!$A113,Table3[Rank],0)),INDEX(Sleeper!$C$2:$C$201,MATCH('Rankings Master'!A113,Sleeper!$A$2:$A$201,0))))</f>
        <v>TE</v>
      </c>
      <c r="F113">
        <f>INDEX(Table4[RK],MATCH('Rankings Master'!D113,Table4[PLAYER NAME],0))</f>
        <v>118</v>
      </c>
      <c r="G113">
        <f t="shared" si="15"/>
        <v>-8</v>
      </c>
      <c r="H113">
        <f t="shared" si="16"/>
        <v>-6.7796610169491525E-2</v>
      </c>
      <c r="I113" t="str">
        <f t="shared" si="18"/>
        <v>Slightly Overvalued</v>
      </c>
      <c r="J113" t="str">
        <f t="shared" si="13"/>
        <v>Y</v>
      </c>
      <c r="K113">
        <f t="shared" si="17"/>
        <v>4</v>
      </c>
      <c r="L113" t="str">
        <f>IF(J113="M",COUNTIFS($J$4:J113,"M",$E$4:E113,E113)&amp;" - "&amp;K113,"N/A")</f>
        <v>N/A</v>
      </c>
      <c r="M113" t="str">
        <f>IFERROR(INDEX(PlayerSummaryTable[Rushing Yds],MATCH('Rankings Master'!D113,PlayerSummaryTable[Player],0)),"")</f>
        <v>N/A</v>
      </c>
      <c r="N113">
        <f>IFERROR(INDEX(PlayerSummaryTable[Receiving Yds],MATCH('Rankings Master'!D113,PlayerSummaryTable[Player],0)),"")</f>
        <v>499.5</v>
      </c>
      <c r="O113" t="str">
        <f>IFERROR(INDEX(PlayerSummaryTable[Passing Yds],MATCH('Rankings Master'!D113,PlayerSummaryTable[Player],0)),"")</f>
        <v>N/A</v>
      </c>
      <c r="U113" t="str">
        <f>IF(COUNTIF('Draft Log'!$B$2:$B$301,D113)&gt;0,"DRAFTED","")</f>
        <v>DRAFTED</v>
      </c>
      <c r="V113">
        <f>IFERROR(INDEX('Draft Log'!$A$2:$A$301,MATCH(D113,'Draft Log'!$B$2:$B$301,0)),"")</f>
        <v>146</v>
      </c>
      <c r="W113" t="str">
        <f>IFERROR(INDEX('Draft Log'!$C$2:$C$301,MATCH(D113,'Draft Log'!$B$2:$B$301,0)),"")</f>
        <v>BEST COUNTRY IN THE WORLD</v>
      </c>
    </row>
    <row r="114" spans="1:23">
      <c r="A114" s="1">
        <v>111</v>
      </c>
      <c r="B114" t="s">
        <v>516</v>
      </c>
      <c r="C114" t="s">
        <v>733</v>
      </c>
      <c r="D114" t="str">
        <f>IF($D$1="ESPN",INDEX(Table2[Mapped Name],MATCH('Rankings Master'!$A114,Table2[Overall Rank],0)),IF('Rankings Master'!$D$1="NFL.com",INDEX(Table3[Name Clean],MATCH('Rankings Master'!$A114,Table3[Rank],0)),IF('Rankings Master'!$D$1="Sleeper",INDEX(Sleeper!$B$2:$B$201,MATCH('Rankings Master'!$A114,Sleeper!$A$2:$A$201,0)),"Need platform")))</f>
        <v>Jake Ferguson</v>
      </c>
      <c r="E114" t="str">
        <f>IF($D$1="ESPN",INDEX(Table2[Position],MATCH('Rankings Master'!$A114,Table2[Overall Rank],0)),IF('Rankings Master'!$D$1="NFL.com",INDEX(Table3[Position],MATCH('Rankings Master'!$A114,Table3[Rank],0)),INDEX(Sleeper!$C$2:$C$201,MATCH('Rankings Master'!A114,Sleeper!$A$2:$A$201,0))))</f>
        <v>TE</v>
      </c>
      <c r="F114">
        <f>INDEX(Table4[RK],MATCH('Rankings Master'!D114,Table4[PLAYER NAME],0))</f>
        <v>135</v>
      </c>
      <c r="G114">
        <f t="shared" si="15"/>
        <v>-24</v>
      </c>
      <c r="H114">
        <f t="shared" si="16"/>
        <v>-0.17777777777777778</v>
      </c>
      <c r="I114" t="str">
        <f t="shared" si="18"/>
        <v>Pretty Overvalued</v>
      </c>
      <c r="J114" t="str">
        <f t="shared" si="13"/>
        <v>Y</v>
      </c>
      <c r="K114">
        <f t="shared" si="17"/>
        <v>4</v>
      </c>
      <c r="L114" t="str">
        <f>IF(J114="M",COUNTIFS($J$4:J114,"M",$E$4:E114,E114)&amp;" - "&amp;K114,"N/A")</f>
        <v>N/A</v>
      </c>
      <c r="M114" t="str">
        <f>IFERROR(INDEX(PlayerSummaryTable[Rushing Yds],MATCH('Rankings Master'!D114,PlayerSummaryTable[Player],0)),"")</f>
        <v>N/A</v>
      </c>
      <c r="N114">
        <f>IFERROR(INDEX(PlayerSummaryTable[Receiving Yds],MATCH('Rankings Master'!D114,PlayerSummaryTable[Player],0)),"")</f>
        <v>524.5</v>
      </c>
      <c r="O114" t="str">
        <f>IFERROR(INDEX(PlayerSummaryTable[Passing Yds],MATCH('Rankings Master'!D114,PlayerSummaryTable[Player],0)),"")</f>
        <v>N/A</v>
      </c>
      <c r="U114" t="str">
        <f>IF(COUNTIF('Draft Log'!$B$2:$B$301,D114)&gt;0,"DRAFTED","")</f>
        <v>DRAFTED</v>
      </c>
      <c r="V114">
        <f>IFERROR(INDEX('Draft Log'!$A$2:$A$301,MATCH(D114,'Draft Log'!$B$2:$B$301,0)),"")</f>
        <v>115</v>
      </c>
      <c r="W114" t="str">
        <f>IFERROR(INDEX('Draft Log'!$C$2:$C$301,MATCH(D114,'Draft Log'!$B$2:$B$301,0)),"")</f>
        <v>BEST COUNTRY IN THE WORLD</v>
      </c>
    </row>
    <row r="115" spans="1:23">
      <c r="A115" s="1">
        <v>112</v>
      </c>
      <c r="B115" t="s">
        <v>734</v>
      </c>
      <c r="C115" t="s">
        <v>735</v>
      </c>
      <c r="D115" t="str">
        <f>IF($D$1="ESPN",INDEX(Table2[Mapped Name],MATCH('Rankings Master'!$A115,Table2[Overall Rank],0)),IF('Rankings Master'!$D$1="NFL.com",INDEX(Table3[Name Clean],MATCH('Rankings Master'!$A115,Table3[Rank],0)),IF('Rankings Master'!$D$1="Sleeper",INDEX(Sleeper!$B$2:$B$201,MATCH('Rankings Master'!$A115,Sleeper!$A$2:$A$201,0)),"Need platform")))</f>
        <v>Dalton Kincaid</v>
      </c>
      <c r="E115" t="str">
        <f>IF($D$1="ESPN",INDEX(Table2[Position],MATCH('Rankings Master'!$A115,Table2[Overall Rank],0)),IF('Rankings Master'!$D$1="NFL.com",INDEX(Table3[Position],MATCH('Rankings Master'!$A115,Table3[Rank],0)),INDEX(Sleeper!$C$2:$C$201,MATCH('Rankings Master'!A115,Sleeper!$A$2:$A$201,0))))</f>
        <v>TE</v>
      </c>
      <c r="F115">
        <f>INDEX(Table4[RK],MATCH('Rankings Master'!D115,Table4[PLAYER NAME],0))</f>
        <v>100</v>
      </c>
      <c r="G115">
        <f t="shared" si="15"/>
        <v>12</v>
      </c>
      <c r="H115">
        <f t="shared" si="16"/>
        <v>0.12</v>
      </c>
      <c r="I115" t="str">
        <f t="shared" si="18"/>
        <v>Slightly Undervalued</v>
      </c>
      <c r="J115" t="str">
        <f t="shared" si="13"/>
        <v>Y</v>
      </c>
      <c r="K115">
        <f t="shared" si="17"/>
        <v>4</v>
      </c>
      <c r="L115" t="str">
        <f>IF(J115="M",COUNTIFS($J$4:J115,"M",$E$4:E115,E115)&amp;" - "&amp;K115,"N/A")</f>
        <v>N/A</v>
      </c>
      <c r="M115" t="str">
        <f>IFERROR(INDEX(PlayerSummaryTable[Rushing Yds],MATCH('Rankings Master'!D115,PlayerSummaryTable[Player],0)),"")</f>
        <v>N/A</v>
      </c>
      <c r="N115">
        <f>IFERROR(INDEX(PlayerSummaryTable[Receiving Yds],MATCH('Rankings Master'!D115,PlayerSummaryTable[Player],0)),"")</f>
        <v>599.5</v>
      </c>
      <c r="O115" t="str">
        <f>IFERROR(INDEX(PlayerSummaryTable[Passing Yds],MATCH('Rankings Master'!D115,PlayerSummaryTable[Player],0)),"")</f>
        <v>N/A</v>
      </c>
      <c r="U115" t="str">
        <f>IF(COUNTIF('Draft Log'!$B$2:$B$301,D115)&gt;0,"DRAFTED","")</f>
        <v>DRAFTED</v>
      </c>
      <c r="V115">
        <f>IFERROR(INDEX('Draft Log'!$A$2:$A$301,MATCH(D115,'Draft Log'!$B$2:$B$301,0)),"")</f>
        <v>130</v>
      </c>
      <c r="W115" t="str">
        <f>IFERROR(INDEX('Draft Log'!$C$2:$C$301,MATCH(D115,'Draft Log'!$B$2:$B$301,0)),"")</f>
        <v>Double Chubb Chocolate Cookie</v>
      </c>
    </row>
    <row r="116" spans="1:23">
      <c r="A116" s="1">
        <v>113</v>
      </c>
      <c r="B116" t="s">
        <v>736</v>
      </c>
      <c r="C116" t="s">
        <v>737</v>
      </c>
      <c r="D116" t="str">
        <f>IF($D$1="ESPN",INDEX(Table2[Mapped Name],MATCH('Rankings Master'!$A116,Table2[Overall Rank],0)),IF('Rankings Master'!$D$1="NFL.com",INDEX(Table3[Name Clean],MATCH('Rankings Master'!$A116,Table3[Rank],0)),IF('Rankings Master'!$D$1="Sleeper",INDEX(Sleeper!$B$2:$B$201,MATCH('Rankings Master'!$A116,Sleeper!$A$2:$A$201,0)),"Need platform")))</f>
        <v>Wan'Dale Robinson</v>
      </c>
      <c r="E116" t="str">
        <f>IF($D$1="ESPN",INDEX(Table2[Position],MATCH('Rankings Master'!$A116,Table2[Overall Rank],0)),IF('Rankings Master'!$D$1="NFL.com",INDEX(Table3[Position],MATCH('Rankings Master'!$A116,Table3[Rank],0)),INDEX(Sleeper!$C$2:$C$201,MATCH('Rankings Master'!A116,Sleeper!$A$2:$A$201,0))))</f>
        <v>WR</v>
      </c>
      <c r="F116">
        <f>INDEX(Table4[RK],MATCH('Rankings Master'!D116,Table4[PLAYER NAME],0))</f>
        <v>126</v>
      </c>
      <c r="G116">
        <f t="shared" si="15"/>
        <v>-13</v>
      </c>
      <c r="H116">
        <f t="shared" si="16"/>
        <v>-0.10317460317460317</v>
      </c>
      <c r="I116" t="str">
        <f t="shared" si="18"/>
        <v>Slightly Overvalued</v>
      </c>
      <c r="J116" t="str">
        <f t="shared" si="13"/>
        <v>Y</v>
      </c>
      <c r="K116">
        <f t="shared" si="17"/>
        <v>3</v>
      </c>
      <c r="L116" t="str">
        <f>IF(J116="M",COUNTIFS($J$4:J116,"M",$E$4:E116,E116)&amp;" - "&amp;K116,"N/A")</f>
        <v>N/A</v>
      </c>
      <c r="M116" t="str">
        <f>IFERROR(INDEX(PlayerSummaryTable[Rushing Yds],MATCH('Rankings Master'!D116,PlayerSummaryTable[Player],0)),"")</f>
        <v>N/A</v>
      </c>
      <c r="N116">
        <f>IFERROR(INDEX(PlayerSummaryTable[Receiving Yds],MATCH('Rankings Master'!D116,PlayerSummaryTable[Player],0)),"")</f>
        <v>674.5</v>
      </c>
      <c r="O116" t="str">
        <f>IFERROR(INDEX(PlayerSummaryTable[Passing Yds],MATCH('Rankings Master'!D116,PlayerSummaryTable[Player],0)),"")</f>
        <v>N/A</v>
      </c>
      <c r="U116" t="str">
        <f>IF(COUNTIF('Draft Log'!$B$2:$B$301,D116)&gt;0,"DRAFTED","")</f>
        <v>DRAFTED</v>
      </c>
      <c r="V116">
        <f>IFERROR(INDEX('Draft Log'!$A$2:$A$301,MATCH(D116,'Draft Log'!$B$2:$B$301,0)),"")</f>
        <v>155</v>
      </c>
      <c r="W116" t="str">
        <f>IFERROR(INDEX('Draft Log'!$C$2:$C$301,MATCH(D116,'Draft Log'!$B$2:$B$301,0)),"")</f>
        <v>BEST COUNTRY IN THE WORLD</v>
      </c>
    </row>
    <row r="117" spans="1:23">
      <c r="A117" s="1">
        <v>114</v>
      </c>
      <c r="B117" t="s">
        <v>738</v>
      </c>
      <c r="C117" t="s">
        <v>739</v>
      </c>
      <c r="D117" t="str">
        <f>IF($D$1="ESPN",INDEX(Table2[Mapped Name],MATCH('Rankings Master'!$A117,Table2[Overall Rank],0)),IF('Rankings Master'!$D$1="NFL.com",INDEX(Table3[Name Clean],MATCH('Rankings Master'!$A117,Table3[Rank],0)),IF('Rankings Master'!$D$1="Sleeper",INDEX(Sleeper!$B$2:$B$201,MATCH('Rankings Master'!$A117,Sleeper!$A$2:$A$201,0)),"Need platform")))</f>
        <v>Jayden Reed</v>
      </c>
      <c r="E117" t="str">
        <f>IF($D$1="ESPN",INDEX(Table2[Position],MATCH('Rankings Master'!$A117,Table2[Overall Rank],0)),IF('Rankings Master'!$D$1="NFL.com",INDEX(Table3[Position],MATCH('Rankings Master'!$A117,Table3[Rank],0)),INDEX(Sleeper!$C$2:$C$201,MATCH('Rankings Master'!A117,Sleeper!$A$2:$A$201,0))))</f>
        <v>WR</v>
      </c>
      <c r="F117">
        <f>INDEX(Table4[RK],MATCH('Rankings Master'!D117,Table4[PLAYER NAME],0))</f>
        <v>99</v>
      </c>
      <c r="G117">
        <f t="shared" si="15"/>
        <v>15</v>
      </c>
      <c r="H117">
        <f t="shared" si="16"/>
        <v>0.15151515151515152</v>
      </c>
      <c r="I117" t="str">
        <f t="shared" si="18"/>
        <v>Pretty Undervalued</v>
      </c>
      <c r="J117" t="str">
        <f t="shared" si="13"/>
        <v>Y</v>
      </c>
      <c r="K117">
        <f t="shared" si="17"/>
        <v>3</v>
      </c>
      <c r="L117" t="str">
        <f>IF(J117="M",COUNTIFS($J$4:J117,"M",$E$4:E117,E117)&amp;" - "&amp;K117,"N/A")</f>
        <v>N/A</v>
      </c>
      <c r="M117" t="str">
        <f>IFERROR(INDEX(PlayerSummaryTable[Rushing Yds],MATCH('Rankings Master'!D117,PlayerSummaryTable[Player],0)),"")</f>
        <v>N/A</v>
      </c>
      <c r="N117">
        <f>IFERROR(INDEX(PlayerSummaryTable[Receiving Yds],MATCH('Rankings Master'!D117,PlayerSummaryTable[Player],0)),"")</f>
        <v>674.5</v>
      </c>
      <c r="O117" t="str">
        <f>IFERROR(INDEX(PlayerSummaryTable[Passing Yds],MATCH('Rankings Master'!D117,PlayerSummaryTable[Player],0)),"")</f>
        <v>N/A</v>
      </c>
      <c r="U117" t="str">
        <f>IF(COUNTIF('Draft Log'!$B$2:$B$301,D117)&gt;0,"DRAFTED","")</f>
        <v>DRAFTED</v>
      </c>
      <c r="V117">
        <f>IFERROR(INDEX('Draft Log'!$A$2:$A$301,MATCH(D117,'Draft Log'!$B$2:$B$301,0)),"")</f>
        <v>116</v>
      </c>
      <c r="W117" t="str">
        <f>IFERROR(INDEX('Draft Log'!$C$2:$C$301,MATCH(D117,'Draft Log'!$B$2:$B$301,0)),"")</f>
        <v>JJetts Skatt Hurts</v>
      </c>
    </row>
    <row r="118" spans="1:23">
      <c r="A118" s="1">
        <v>115</v>
      </c>
      <c r="B118" t="s">
        <v>531</v>
      </c>
      <c r="C118" t="s">
        <v>740</v>
      </c>
      <c r="D118" t="str">
        <f>IF($D$1="ESPN",INDEX(Table2[Mapped Name],MATCH('Rankings Master'!$A118,Table2[Overall Rank],0)),IF('Rankings Master'!$D$1="NFL.com",INDEX(Table3[Name Clean],MATCH('Rankings Master'!$A118,Table3[Rank],0)),IF('Rankings Master'!$D$1="Sleeper",INDEX(Sleeper!$B$2:$B$201,MATCH('Rankings Master'!$A118,Sleeper!$A$2:$A$201,0)),"Need platform")))</f>
        <v>KC Concepcion</v>
      </c>
      <c r="E118" t="str">
        <f>IF($D$1="ESPN",INDEX(Table2[Position],MATCH('Rankings Master'!$A118,Table2[Overall Rank],0)),IF('Rankings Master'!$D$1="NFL.com",INDEX(Table3[Position],MATCH('Rankings Master'!$A118,Table3[Rank],0)),INDEX(Sleeper!$C$2:$C$201,MATCH('Rankings Master'!A118,Sleeper!$A$2:$A$201,0))))</f>
        <v>WR</v>
      </c>
      <c r="F118">
        <f>INDEX(Table4[RK],MATCH('Rankings Master'!D118,Table4[PLAYER NAME],0))</f>
        <v>124</v>
      </c>
      <c r="G118">
        <f t="shared" si="15"/>
        <v>-9</v>
      </c>
      <c r="H118">
        <f t="shared" si="16"/>
        <v>-7.2580645161290328E-2</v>
      </c>
      <c r="I118" t="str">
        <f t="shared" si="18"/>
        <v>Slightly Overvalued</v>
      </c>
      <c r="J118" t="str">
        <f t="shared" si="13"/>
        <v>Y</v>
      </c>
      <c r="K118">
        <f t="shared" si="17"/>
        <v>3</v>
      </c>
      <c r="L118" t="str">
        <f>IF(J118="M",COUNTIFS($J$4:J118,"M",$E$4:E118,E118)&amp;" - "&amp;K118,"N/A")</f>
        <v>N/A</v>
      </c>
      <c r="M118" t="str">
        <f>IFERROR(INDEX(PlayerSummaryTable[Rushing Yds],MATCH('Rankings Master'!D118,PlayerSummaryTable[Player],0)),"")</f>
        <v>N/A</v>
      </c>
      <c r="N118">
        <f>IFERROR(INDEX(PlayerSummaryTable[Receiving Yds],MATCH('Rankings Master'!D118,PlayerSummaryTable[Player],0)),"")</f>
        <v>599.5</v>
      </c>
      <c r="O118" t="str">
        <f>IFERROR(INDEX(PlayerSummaryTable[Passing Yds],MATCH('Rankings Master'!D118,PlayerSummaryTable[Player],0)),"")</f>
        <v>N/A</v>
      </c>
      <c r="U118" t="str">
        <f>IF(COUNTIF('Draft Log'!$B$2:$B$301,D118)&gt;0,"DRAFTED","")</f>
        <v>DRAFTED</v>
      </c>
      <c r="V118">
        <f>IFERROR(INDEX('Draft Log'!$A$2:$A$301,MATCH(D118,'Draft Log'!$B$2:$B$301,0)),"")</f>
        <v>100</v>
      </c>
      <c r="W118" t="str">
        <f>IFERROR(INDEX('Draft Log'!$C$2:$C$301,MATCH(D118,'Draft Log'!$B$2:$B$301,0)),"")</f>
        <v>Team Afeef</v>
      </c>
    </row>
    <row r="119" spans="1:23">
      <c r="A119" s="1">
        <v>116</v>
      </c>
      <c r="B119" t="s">
        <v>741</v>
      </c>
      <c r="C119" t="s">
        <v>742</v>
      </c>
      <c r="D119" t="str">
        <f>IF($D$1="ESPN",INDEX(Table2[Mapped Name],MATCH('Rankings Master'!$A119,Table2[Overall Rank],0)),IF('Rankings Master'!$D$1="NFL.com",INDEX(Table3[Name Clean],MATCH('Rankings Master'!$A119,Table3[Rank],0)),IF('Rankings Master'!$D$1="Sleeper",INDEX(Sleeper!$B$2:$B$201,MATCH('Rankings Master'!$A119,Sleeper!$A$2:$A$201,0)),"Need platform")))</f>
        <v>Jordan Mason</v>
      </c>
      <c r="E119" t="str">
        <f>IF($D$1="ESPN",INDEX(Table2[Position],MATCH('Rankings Master'!$A119,Table2[Overall Rank],0)),IF('Rankings Master'!$D$1="NFL.com",INDEX(Table3[Position],MATCH('Rankings Master'!$A119,Table3[Rank],0)),INDEX(Sleeper!$C$2:$C$201,MATCH('Rankings Master'!A119,Sleeper!$A$2:$A$201,0))))</f>
        <v>RB</v>
      </c>
      <c r="F119">
        <f>INDEX(Table4[RK],MATCH('Rankings Master'!D119,Table4[PLAYER NAME],0))</f>
        <v>91</v>
      </c>
      <c r="G119">
        <f t="shared" si="15"/>
        <v>25</v>
      </c>
      <c r="H119">
        <f t="shared" si="16"/>
        <v>0.27472527472527475</v>
      </c>
      <c r="I119" t="str">
        <f t="shared" si="18"/>
        <v>Pretty Undervalued</v>
      </c>
      <c r="J119" t="str">
        <f t="shared" si="13"/>
        <v>Y</v>
      </c>
      <c r="K119">
        <f t="shared" si="17"/>
        <v>2</v>
      </c>
      <c r="L119" t="str">
        <f>IF(J119="M",COUNTIFS($J$4:J119,"M",$E$4:E119,E119)&amp;" - "&amp;K119,"N/A")</f>
        <v>N/A</v>
      </c>
      <c r="M119">
        <f>IFERROR(INDEX(PlayerSummaryTable[Rushing Yds],MATCH('Rankings Master'!D119,PlayerSummaryTable[Player],0)),"")</f>
        <v>649.5</v>
      </c>
      <c r="N119" t="str">
        <f>IFERROR(INDEX(PlayerSummaryTable[Receiving Yds],MATCH('Rankings Master'!D119,PlayerSummaryTable[Player],0)),"")</f>
        <v>N/A</v>
      </c>
      <c r="O119" t="str">
        <f>IFERROR(INDEX(PlayerSummaryTable[Passing Yds],MATCH('Rankings Master'!D119,PlayerSummaryTable[Player],0)),"")</f>
        <v>N/A</v>
      </c>
      <c r="U119" t="str">
        <f>IF(COUNTIF('Draft Log'!$B$2:$B$301,D119)&gt;0,"DRAFTED","")</f>
        <v>DRAFTED</v>
      </c>
      <c r="V119">
        <f>IFERROR(INDEX('Draft Log'!$A$2:$A$301,MATCH(D119,'Draft Log'!$B$2:$B$301,0)),"")</f>
        <v>96</v>
      </c>
      <c r="W119" t="str">
        <f>IFERROR(INDEX('Draft Log'!$C$2:$C$301,MATCH(D119,'Draft Log'!$B$2:$B$301,0)),"")</f>
        <v>JJetts Skatt Hurts</v>
      </c>
    </row>
    <row r="120" spans="1:23">
      <c r="A120" s="1">
        <v>117</v>
      </c>
      <c r="B120" t="s">
        <v>743</v>
      </c>
      <c r="C120" t="s">
        <v>744</v>
      </c>
      <c r="D120" t="str">
        <f>IF($D$1="ESPN",INDEX(Table2[Mapped Name],MATCH('Rankings Master'!$A120,Table2[Overall Rank],0)),IF('Rankings Master'!$D$1="NFL.com",INDEX(Table3[Name Clean],MATCH('Rankings Master'!$A120,Table3[Rank],0)),IF('Rankings Master'!$D$1="Sleeper",INDEX(Sleeper!$B$2:$B$201,MATCH('Rankings Master'!$A120,Sleeper!$A$2:$A$201,0)),"Need platform")))</f>
        <v>Isaiah Likely</v>
      </c>
      <c r="E120" t="str">
        <f>IF($D$1="ESPN",INDEX(Table2[Position],MATCH('Rankings Master'!$A120,Table2[Overall Rank],0)),IF('Rankings Master'!$D$1="NFL.com",INDEX(Table3[Position],MATCH('Rankings Master'!$A120,Table3[Rank],0)),INDEX(Sleeper!$C$2:$C$201,MATCH('Rankings Master'!A120,Sleeper!$A$2:$A$201,0))))</f>
        <v>TE</v>
      </c>
      <c r="F120">
        <f>INDEX(Table4[RK],MATCH('Rankings Master'!D120,Table4[PLAYER NAME],0))</f>
        <v>110</v>
      </c>
      <c r="G120">
        <f t="shared" si="15"/>
        <v>7</v>
      </c>
      <c r="H120">
        <f t="shared" si="16"/>
        <v>6.363636363636363E-2</v>
      </c>
      <c r="I120" t="str">
        <f t="shared" si="18"/>
        <v>Slightly Undervalued</v>
      </c>
      <c r="J120" t="str">
        <f t="shared" si="13"/>
        <v>Y</v>
      </c>
      <c r="K120">
        <f t="shared" si="17"/>
        <v>4</v>
      </c>
      <c r="L120" t="str">
        <f>IF(J120="M",COUNTIFS($J$4:J120,"M",$E$4:E120,E120)&amp;" - "&amp;K120,"N/A")</f>
        <v>N/A</v>
      </c>
      <c r="M120" t="str">
        <f>IFERROR(INDEX(PlayerSummaryTable[Rushing Yds],MATCH('Rankings Master'!D120,PlayerSummaryTable[Player],0)),"")</f>
        <v>N/A</v>
      </c>
      <c r="N120">
        <f>IFERROR(INDEX(PlayerSummaryTable[Receiving Yds],MATCH('Rankings Master'!D120,PlayerSummaryTable[Player],0)),"")</f>
        <v>624.5</v>
      </c>
      <c r="O120" t="str">
        <f>IFERROR(INDEX(PlayerSummaryTable[Passing Yds],MATCH('Rankings Master'!D120,PlayerSummaryTable[Player],0)),"")</f>
        <v>N/A</v>
      </c>
      <c r="U120" t="str">
        <f>IF(COUNTIF('Draft Log'!$B$2:$B$301,D120)&gt;0,"DRAFTED","")</f>
        <v>DRAFTED</v>
      </c>
      <c r="V120">
        <f>IFERROR(INDEX('Draft Log'!$A$2:$A$301,MATCH(D120,'Draft Log'!$B$2:$B$301,0)),"")</f>
        <v>140</v>
      </c>
      <c r="W120" t="str">
        <f>IFERROR(INDEX('Draft Log'!$C$2:$C$301,MATCH(D120,'Draft Log'!$B$2:$B$301,0)),"")</f>
        <v>Team Afeef</v>
      </c>
    </row>
    <row r="121" spans="1:23">
      <c r="A121" s="1">
        <v>118</v>
      </c>
      <c r="B121" t="s">
        <v>745</v>
      </c>
      <c r="C121" t="s">
        <v>746</v>
      </c>
      <c r="D121" t="str">
        <f>IF($D$1="ESPN",INDEX(Table2[Mapped Name],MATCH('Rankings Master'!$A121,Table2[Overall Rank],0)),IF('Rankings Master'!$D$1="NFL.com",INDEX(Table3[Name Clean],MATCH('Rankings Master'!$A121,Table3[Rank],0)),IF('Rankings Master'!$D$1="Sleeper",INDEX(Sleeper!$B$2:$B$201,MATCH('Rankings Master'!$A121,Sleeper!$A$2:$A$201,0)),"Need platform")))</f>
        <v>Hunter Henry</v>
      </c>
      <c r="E121" t="str">
        <f>IF($D$1="ESPN",INDEX(Table2[Position],MATCH('Rankings Master'!$A121,Table2[Overall Rank],0)),IF('Rankings Master'!$D$1="NFL.com",INDEX(Table3[Position],MATCH('Rankings Master'!$A121,Table3[Rank],0)),INDEX(Sleeper!$C$2:$C$201,MATCH('Rankings Master'!A121,Sleeper!$A$2:$A$201,0))))</f>
        <v>TE</v>
      </c>
      <c r="F121">
        <f>INDEX(Table4[RK],MATCH('Rankings Master'!D121,Table4[PLAYER NAME],0))</f>
        <v>150</v>
      </c>
      <c r="G121">
        <f t="shared" si="15"/>
        <v>-32</v>
      </c>
      <c r="H121">
        <f t="shared" si="16"/>
        <v>-0.21333333333333335</v>
      </c>
      <c r="I121" t="str">
        <f t="shared" si="18"/>
        <v>Pretty Overvalued</v>
      </c>
      <c r="J121" t="str">
        <f t="shared" si="13"/>
        <v>Y</v>
      </c>
      <c r="K121">
        <f t="shared" si="17"/>
        <v>4</v>
      </c>
      <c r="L121" t="str">
        <f>IF(J121="M",COUNTIFS($J$4:J121,"M",$E$4:E121,E121)&amp;" - "&amp;K121,"N/A")</f>
        <v>N/A</v>
      </c>
      <c r="M121" t="str">
        <f>IFERROR(INDEX(PlayerSummaryTable[Rushing Yds],MATCH('Rankings Master'!D121,PlayerSummaryTable[Player],0)),"")</f>
        <v>N/A</v>
      </c>
      <c r="N121" t="str">
        <f>IFERROR(INDEX(PlayerSummaryTable[Receiving Yds],MATCH('Rankings Master'!D121,PlayerSummaryTable[Player],0)),"")</f>
        <v>N/A</v>
      </c>
      <c r="O121" t="str">
        <f>IFERROR(INDEX(PlayerSummaryTable[Passing Yds],MATCH('Rankings Master'!D121,PlayerSummaryTable[Player],0)),"")</f>
        <v>N/A</v>
      </c>
      <c r="U121" t="str">
        <f>IF(COUNTIF('Draft Log'!$B$2:$B$301,D121)&gt;0,"DRAFTED","")</f>
        <v>DRAFTED</v>
      </c>
      <c r="V121">
        <f>IFERROR(INDEX('Draft Log'!$A$2:$A$301,MATCH(D121,'Draft Log'!$B$2:$B$301,0)),"")</f>
        <v>163</v>
      </c>
      <c r="W121" t="str">
        <f>IFERROR(INDEX('Draft Log'!$C$2:$C$301,MATCH(D121,'Draft Log'!$B$2:$B$301,0)),"")</f>
        <v>dontsaynosayYA</v>
      </c>
    </row>
    <row r="122" spans="1:23">
      <c r="A122" s="1">
        <v>119</v>
      </c>
      <c r="B122" t="s">
        <v>747</v>
      </c>
      <c r="C122" t="s">
        <v>748</v>
      </c>
      <c r="D122" t="str">
        <f>IF($D$1="ESPN",INDEX(Table2[Mapped Name],MATCH('Rankings Master'!$A122,Table2[Overall Rank],0)),IF('Rankings Master'!$D$1="NFL.com",INDEX(Table3[Name Clean],MATCH('Rankings Master'!$A122,Table3[Rank],0)),IF('Rankings Master'!$D$1="Sleeper",INDEX(Sleeper!$B$2:$B$201,MATCH('Rankings Master'!$A122,Sleeper!$A$2:$A$201,0)),"Need platform")))</f>
        <v>Terrance Ferguson</v>
      </c>
      <c r="E122" t="str">
        <f>IF($D$1="ESPN",INDEX(Table2[Position],MATCH('Rankings Master'!$A122,Table2[Overall Rank],0)),IF('Rankings Master'!$D$1="NFL.com",INDEX(Table3[Position],MATCH('Rankings Master'!$A122,Table3[Rank],0)),INDEX(Sleeper!$C$2:$C$201,MATCH('Rankings Master'!A122,Sleeper!$A$2:$A$201,0))))</f>
        <v>TE</v>
      </c>
      <c r="F122">
        <f>INDEX(Table4[RK],MATCH('Rankings Master'!D122,Table4[PLAYER NAME],0))</f>
        <v>163</v>
      </c>
      <c r="G122">
        <f t="shared" si="15"/>
        <v>-44</v>
      </c>
      <c r="H122">
        <f t="shared" si="16"/>
        <v>-0.26993865030674846</v>
      </c>
      <c r="I122" t="str">
        <f t="shared" si="18"/>
        <v>Pretty Overvalued</v>
      </c>
      <c r="J122" t="str">
        <f t="shared" si="13"/>
        <v/>
      </c>
      <c r="K122">
        <f t="shared" si="17"/>
        <v>4</v>
      </c>
      <c r="L122" t="str">
        <f>IF(J122="M",COUNTIFS($J$4:J122,"M",$E$4:E122,E122)&amp;" - "&amp;K122,"N/A")</f>
        <v>N/A</v>
      </c>
      <c r="M122" t="str">
        <f>IFERROR(INDEX(PlayerSummaryTable[Rushing Yds],MATCH('Rankings Master'!D122,PlayerSummaryTable[Player],0)),"")</f>
        <v/>
      </c>
      <c r="N122" t="str">
        <f>IFERROR(INDEX(PlayerSummaryTable[Receiving Yds],MATCH('Rankings Master'!D122,PlayerSummaryTable[Player],0)),"")</f>
        <v/>
      </c>
      <c r="O122" t="str">
        <f>IFERROR(INDEX(PlayerSummaryTable[Passing Yds],MATCH('Rankings Master'!D122,PlayerSummaryTable[Player],0)),"")</f>
        <v/>
      </c>
      <c r="U122" t="str">
        <f>IF(COUNTIF('Draft Log'!$B$2:$B$301,D122)&gt;0,"DRAFTED","")</f>
        <v/>
      </c>
      <c r="V122" t="str">
        <f>IFERROR(INDEX('Draft Log'!$A$2:$A$301,MATCH(D122,'Draft Log'!$B$2:$B$301,0)),"")</f>
        <v/>
      </c>
      <c r="W122" t="str">
        <f>IFERROR(INDEX('Draft Log'!$C$2:$C$301,MATCH(D122,'Draft Log'!$B$2:$B$301,0)),"")</f>
        <v/>
      </c>
    </row>
    <row r="123" spans="1:23">
      <c r="A123" s="1">
        <v>120</v>
      </c>
      <c r="B123" t="s">
        <v>579</v>
      </c>
      <c r="C123" t="s">
        <v>568</v>
      </c>
      <c r="D123" t="str">
        <f>IF($D$1="ESPN",INDEX(Table2[Mapped Name],MATCH('Rankings Master'!$A123,Table2[Overall Rank],0)),IF('Rankings Master'!$D$1="NFL.com",INDEX(Table3[Name Clean],MATCH('Rankings Master'!$A123,Table3[Rank],0)),IF('Rankings Master'!$D$1="Sleeper",INDEX(Sleeper!$B$2:$B$201,MATCH('Rankings Master'!$A123,Sleeper!$A$2:$A$201,0)),"Need platform")))</f>
        <v>Kenyon Sadiq</v>
      </c>
      <c r="E123" t="str">
        <f>IF($D$1="ESPN",INDEX(Table2[Position],MATCH('Rankings Master'!$A123,Table2[Overall Rank],0)),IF('Rankings Master'!$D$1="NFL.com",INDEX(Table3[Position],MATCH('Rankings Master'!$A123,Table3[Rank],0)),INDEX(Sleeper!$C$2:$C$201,MATCH('Rankings Master'!A123,Sleeper!$A$2:$A$201,0))))</f>
        <v>TE</v>
      </c>
      <c r="F123">
        <f>INDEX(Table4[RK],MATCH('Rankings Master'!D123,Table4[PLAYER NAME],0))</f>
        <v>203</v>
      </c>
      <c r="G123">
        <f t="shared" si="15"/>
        <v>-83</v>
      </c>
      <c r="H123">
        <f t="shared" si="16"/>
        <v>-0.40886699507389163</v>
      </c>
      <c r="I123" t="str">
        <f t="shared" si="18"/>
        <v>Pretty Overvalued</v>
      </c>
      <c r="J123" t="str">
        <f t="shared" si="13"/>
        <v/>
      </c>
      <c r="K123">
        <f t="shared" si="17"/>
        <v>4</v>
      </c>
      <c r="L123" t="str">
        <f>IF(J123="M",COUNTIFS($J$4:J123,"M",$E$4:E123,E123)&amp;" - "&amp;K123,"N/A")</f>
        <v>N/A</v>
      </c>
      <c r="M123" t="str">
        <f>IFERROR(INDEX(PlayerSummaryTable[Rushing Yds],MATCH('Rankings Master'!D123,PlayerSummaryTable[Player],0)),"")</f>
        <v/>
      </c>
      <c r="N123" t="str">
        <f>IFERROR(INDEX(PlayerSummaryTable[Receiving Yds],MATCH('Rankings Master'!D123,PlayerSummaryTable[Player],0)),"")</f>
        <v/>
      </c>
      <c r="O123" t="str">
        <f>IFERROR(INDEX(PlayerSummaryTable[Passing Yds],MATCH('Rankings Master'!D123,PlayerSummaryTable[Player],0)),"")</f>
        <v/>
      </c>
      <c r="U123" t="str">
        <f>IF(COUNTIF('Draft Log'!$B$2:$B$301,D123)&gt;0,"DRAFTED","")</f>
        <v/>
      </c>
      <c r="V123" t="str">
        <f>IFERROR(INDEX('Draft Log'!$A$2:$A$301,MATCH(D123,'Draft Log'!$B$2:$B$301,0)),"")</f>
        <v/>
      </c>
      <c r="W123" t="str">
        <f>IFERROR(INDEX('Draft Log'!$C$2:$C$301,MATCH(D123,'Draft Log'!$B$2:$B$301,0)),"")</f>
        <v/>
      </c>
    </row>
    <row r="124" spans="1:23">
      <c r="A124" s="1">
        <v>121</v>
      </c>
      <c r="B124" t="s">
        <v>749</v>
      </c>
      <c r="C124" t="s">
        <v>750</v>
      </c>
      <c r="D124" t="str">
        <f>IF($D$1="ESPN",INDEX(Table2[Mapped Name],MATCH('Rankings Master'!$A124,Table2[Overall Rank],0)),IF('Rankings Master'!$D$1="NFL.com",INDEX(Table3[Name Clean],MATCH('Rankings Master'!$A124,Table3[Rank],0)),IF('Rankings Master'!$D$1="Sleeper",INDEX(Sleeper!$B$2:$B$201,MATCH('Rankings Master'!$A124,Sleeper!$A$2:$A$201,0)),"Need platform")))</f>
        <v>Blake Corum</v>
      </c>
      <c r="E124" t="str">
        <f>IF($D$1="ESPN",INDEX(Table2[Position],MATCH('Rankings Master'!$A124,Table2[Overall Rank],0)),IF('Rankings Master'!$D$1="NFL.com",INDEX(Table3[Position],MATCH('Rankings Master'!$A124,Table3[Rank],0)),INDEX(Sleeper!$C$2:$C$201,MATCH('Rankings Master'!A124,Sleeper!$A$2:$A$201,0))))</f>
        <v>RB</v>
      </c>
      <c r="F124">
        <f>INDEX(Table4[RK],MATCH('Rankings Master'!D124,Table4[PLAYER NAME],0))</f>
        <v>82</v>
      </c>
      <c r="G124">
        <f t="shared" si="15"/>
        <v>39</v>
      </c>
      <c r="H124">
        <f t="shared" si="16"/>
        <v>0.47560975609756095</v>
      </c>
      <c r="I124" t="str">
        <f t="shared" si="18"/>
        <v>Pretty Undervalued</v>
      </c>
      <c r="J124" t="str">
        <f t="shared" si="13"/>
        <v>M</v>
      </c>
      <c r="K124">
        <f t="shared" si="17"/>
        <v>2</v>
      </c>
      <c r="L124" t="str">
        <f>IF(J124="M",COUNTIFS($J$4:J124,"M",$E$4:E124,E124)&amp;" - "&amp;K124,"N/A")</f>
        <v>4 - 2</v>
      </c>
      <c r="M124">
        <f>IFERROR(INDEX(PlayerSummaryTable[Rushing Yds],MATCH('Rankings Master'!D124,PlayerSummaryTable[Player],0)),"")</f>
        <v>699.5</v>
      </c>
      <c r="N124" t="str">
        <f>IFERROR(INDEX(PlayerSummaryTable[Receiving Yds],MATCH('Rankings Master'!D124,PlayerSummaryTable[Player],0)),"")</f>
        <v>N/A</v>
      </c>
      <c r="O124" t="str">
        <f>IFERROR(INDEX(PlayerSummaryTable[Passing Yds],MATCH('Rankings Master'!D124,PlayerSummaryTable[Player],0)),"")</f>
        <v>N/A</v>
      </c>
      <c r="U124" t="str">
        <f>IF(COUNTIF('Draft Log'!$B$2:$B$301,D124)&gt;0,"DRAFTED","")</f>
        <v>DRAFTED</v>
      </c>
      <c r="V124">
        <f>IFERROR(INDEX('Draft Log'!$A$2:$A$301,MATCH(D124,'Draft Log'!$B$2:$B$301,0)),"")</f>
        <v>88</v>
      </c>
      <c r="W124" t="str">
        <f>IFERROR(INDEX('Draft Log'!$C$2:$C$301,MATCH(D124,'Draft Log'!$B$2:$B$301,0)),"")</f>
        <v>Mustafa is Not Like Us</v>
      </c>
    </row>
    <row r="125" spans="1:23">
      <c r="A125" s="1">
        <v>122</v>
      </c>
      <c r="B125" t="s">
        <v>751</v>
      </c>
      <c r="C125" t="s">
        <v>752</v>
      </c>
      <c r="D125" t="str">
        <f>IF($D$1="ESPN",INDEX(Table2[Mapped Name],MATCH('Rankings Master'!$A125,Table2[Overall Rank],0)),IF('Rankings Master'!$D$1="NFL.com",INDEX(Table3[Name Clean],MATCH('Rankings Master'!$A125,Table3[Rank],0)),IF('Rankings Master'!$D$1="Sleeper",INDEX(Sleeper!$B$2:$B$201,MATCH('Rankings Master'!$A125,Sleeper!$A$2:$A$201,0)),"Need platform")))</f>
        <v>Rachaad White</v>
      </c>
      <c r="E125" t="str">
        <f>IF($D$1="ESPN",INDEX(Table2[Position],MATCH('Rankings Master'!$A125,Table2[Overall Rank],0)),IF('Rankings Master'!$D$1="NFL.com",INDEX(Table3[Position],MATCH('Rankings Master'!$A125,Table3[Rank],0)),INDEX(Sleeper!$C$2:$C$201,MATCH('Rankings Master'!A125,Sleeper!$A$2:$A$201,0))))</f>
        <v>RB</v>
      </c>
      <c r="F125">
        <f>INDEX(Table4[RK],MATCH('Rankings Master'!D125,Table4[PLAYER NAME],0))</f>
        <v>112</v>
      </c>
      <c r="G125">
        <f t="shared" si="15"/>
        <v>10</v>
      </c>
      <c r="H125">
        <f t="shared" si="16"/>
        <v>8.9285714285714288E-2</v>
      </c>
      <c r="I125" t="str">
        <f t="shared" si="18"/>
        <v>Slightly Undervalued</v>
      </c>
      <c r="J125" t="str">
        <f t="shared" si="13"/>
        <v>Y</v>
      </c>
      <c r="K125">
        <f t="shared" si="17"/>
        <v>2</v>
      </c>
      <c r="L125" t="str">
        <f>IF(J125="M",COUNTIFS($J$4:J125,"M",$E$4:E125,E125)&amp;" - "&amp;K125,"N/A")</f>
        <v>N/A</v>
      </c>
      <c r="M125" t="str">
        <f>IFERROR(INDEX(PlayerSummaryTable[Rushing Yds],MATCH('Rankings Master'!D125,PlayerSummaryTable[Player],0)),"")</f>
        <v/>
      </c>
      <c r="N125" t="str">
        <f>IFERROR(INDEX(PlayerSummaryTable[Receiving Yds],MATCH('Rankings Master'!D125,PlayerSummaryTable[Player],0)),"")</f>
        <v/>
      </c>
      <c r="O125" t="str">
        <f>IFERROR(INDEX(PlayerSummaryTable[Passing Yds],MATCH('Rankings Master'!D125,PlayerSummaryTable[Player],0)),"")</f>
        <v/>
      </c>
      <c r="U125" t="str">
        <f>IF(COUNTIF('Draft Log'!$B$2:$B$301,D125)&gt;0,"DRAFTED","")</f>
        <v>DRAFTED</v>
      </c>
      <c r="V125">
        <f>IFERROR(INDEX('Draft Log'!$A$2:$A$301,MATCH(D125,'Draft Log'!$B$2:$B$301,0)),"")</f>
        <v>110</v>
      </c>
      <c r="W125" t="str">
        <f>IFERROR(INDEX('Draft Log'!$C$2:$C$301,MATCH(D125,'Draft Log'!$B$2:$B$301,0)),"")</f>
        <v>Double Chubb Chocolate Cookie</v>
      </c>
    </row>
    <row r="126" spans="1:23">
      <c r="A126" s="1">
        <v>123</v>
      </c>
      <c r="B126" t="s">
        <v>753</v>
      </c>
      <c r="C126" t="s">
        <v>754</v>
      </c>
      <c r="D126" t="str">
        <f>IF($D$1="ESPN",INDEX(Table2[Mapped Name],MATCH('Rankings Master'!$A126,Table2[Overall Rank],0)),IF('Rankings Master'!$D$1="NFL.com",INDEX(Table3[Name Clean],MATCH('Rankings Master'!$A126,Table3[Rank],0)),IF('Rankings Master'!$D$1="Sleeper",INDEX(Sleeper!$B$2:$B$201,MATCH('Rankings Master'!$A126,Sleeper!$A$2:$A$201,0)),"Need platform")))</f>
        <v>Aaron Jones Sr.</v>
      </c>
      <c r="E126" t="str">
        <f>IF($D$1="ESPN",INDEX(Table2[Position],MATCH('Rankings Master'!$A126,Table2[Overall Rank],0)),IF('Rankings Master'!$D$1="NFL.com",INDEX(Table3[Position],MATCH('Rankings Master'!$A126,Table3[Rank],0)),INDEX(Sleeper!$C$2:$C$201,MATCH('Rankings Master'!A126,Sleeper!$A$2:$A$201,0))))</f>
        <v>RB</v>
      </c>
      <c r="F126">
        <f>INDEX(Table4[RK],MATCH('Rankings Master'!D126,Table4[PLAYER NAME],0))</f>
        <v>123</v>
      </c>
      <c r="G126">
        <f t="shared" si="15"/>
        <v>0</v>
      </c>
      <c r="H126">
        <f t="shared" si="16"/>
        <v>0</v>
      </c>
      <c r="I126" t="str">
        <f t="shared" si="18"/>
        <v>At ADP</v>
      </c>
      <c r="J126" t="str">
        <f t="shared" si="13"/>
        <v>Y</v>
      </c>
      <c r="K126">
        <f t="shared" si="17"/>
        <v>2</v>
      </c>
      <c r="L126" t="str">
        <f>IF(J126="M",COUNTIFS($J$4:J126,"M",$E$4:E126,E126)&amp;" - "&amp;K126,"N/A")</f>
        <v>N/A</v>
      </c>
      <c r="M126" t="str">
        <f>IFERROR(INDEX(PlayerSummaryTable[Rushing Yds],MATCH('Rankings Master'!D126,PlayerSummaryTable[Player],0)),"")</f>
        <v/>
      </c>
      <c r="N126" t="str">
        <f>IFERROR(INDEX(PlayerSummaryTable[Receiving Yds],MATCH('Rankings Master'!D126,PlayerSummaryTable[Player],0)),"")</f>
        <v/>
      </c>
      <c r="O126" t="str">
        <f>IFERROR(INDEX(PlayerSummaryTable[Passing Yds],MATCH('Rankings Master'!D126,PlayerSummaryTable[Player],0)),"")</f>
        <v/>
      </c>
      <c r="U126" t="str">
        <f>IF(COUNTIF('Draft Log'!$B$2:$B$301,D126)&gt;0,"DRAFTED","")</f>
        <v>DRAFTED</v>
      </c>
      <c r="V126">
        <f>IFERROR(INDEX('Draft Log'!$A$2:$A$301,MATCH(D126,'Draft Log'!$B$2:$B$301,0)),"")</f>
        <v>158</v>
      </c>
      <c r="W126" t="str">
        <f>IFERROR(INDEX('Draft Log'!$C$2:$C$301,MATCH(D126,'Draft Log'!$B$2:$B$301,0)),"")</f>
        <v>dontsaynosayYA</v>
      </c>
    </row>
    <row r="127" spans="1:23">
      <c r="A127" s="1">
        <v>124</v>
      </c>
      <c r="B127" t="s">
        <v>755</v>
      </c>
      <c r="C127" t="s">
        <v>568</v>
      </c>
      <c r="D127" t="str">
        <f>IF($D$1="ESPN",INDEX(Table2[Mapped Name],MATCH('Rankings Master'!$A127,Table2[Overall Rank],0)),IF('Rankings Master'!$D$1="NFL.com",INDEX(Table3[Name Clean],MATCH('Rankings Master'!$A127,Table3[Rank],0)),IF('Rankings Master'!$D$1="Sleeper",INDEX(Sleeper!$B$2:$B$201,MATCH('Rankings Master'!$A127,Sleeper!$A$2:$A$201,0)),"Need platform")))</f>
        <v>Woody Marks</v>
      </c>
      <c r="E127" t="str">
        <f>IF($D$1="ESPN",INDEX(Table2[Position],MATCH('Rankings Master'!$A127,Table2[Overall Rank],0)),IF('Rankings Master'!$D$1="NFL.com",INDEX(Table3[Position],MATCH('Rankings Master'!$A127,Table3[Rank],0)),INDEX(Sleeper!$C$2:$C$201,MATCH('Rankings Master'!A127,Sleeper!$A$2:$A$201,0))))</f>
        <v>RB</v>
      </c>
      <c r="F127">
        <f>INDEX(Table4[RK],MATCH('Rankings Master'!D127,Table4[PLAYER NAME],0))</f>
        <v>130</v>
      </c>
      <c r="G127">
        <f t="shared" si="15"/>
        <v>-6</v>
      </c>
      <c r="H127">
        <f t="shared" si="16"/>
        <v>-4.6153846153846156E-2</v>
      </c>
      <c r="I127" t="str">
        <f t="shared" si="18"/>
        <v>Slightly Overvalued</v>
      </c>
      <c r="J127" t="str">
        <f t="shared" si="13"/>
        <v>Y</v>
      </c>
      <c r="K127">
        <f t="shared" si="17"/>
        <v>2</v>
      </c>
      <c r="L127" t="str">
        <f>IF(J127="M",COUNTIFS($J$4:J127,"M",$E$4:E127,E127)&amp;" - "&amp;K127,"N/A")</f>
        <v>N/A</v>
      </c>
      <c r="M127" t="str">
        <f>IFERROR(INDEX(PlayerSummaryTable[Rushing Yds],MATCH('Rankings Master'!D127,PlayerSummaryTable[Player],0)),"")</f>
        <v/>
      </c>
      <c r="N127" t="str">
        <f>IFERROR(INDEX(PlayerSummaryTable[Receiving Yds],MATCH('Rankings Master'!D127,PlayerSummaryTable[Player],0)),"")</f>
        <v/>
      </c>
      <c r="O127" t="str">
        <f>IFERROR(INDEX(PlayerSummaryTable[Passing Yds],MATCH('Rankings Master'!D127,PlayerSummaryTable[Player],0)),"")</f>
        <v/>
      </c>
      <c r="U127" t="str">
        <f>IF(COUNTIF('Draft Log'!$B$2:$B$301,D127)&gt;0,"DRAFTED","")</f>
        <v>DRAFTED</v>
      </c>
      <c r="V127">
        <f>IFERROR(INDEX('Draft Log'!$A$2:$A$301,MATCH(D127,'Draft Log'!$B$2:$B$301,0)),"")</f>
        <v>124</v>
      </c>
      <c r="W127" t="str">
        <f>IFERROR(INDEX('Draft Log'!$C$2:$C$301,MATCH(D127,'Draft Log'!$B$2:$B$301,0)),"")</f>
        <v>Cut to the Chase</v>
      </c>
    </row>
    <row r="128" spans="1:23">
      <c r="A128" s="1">
        <v>125</v>
      </c>
      <c r="B128" t="s">
        <v>756</v>
      </c>
      <c r="C128" t="s">
        <v>757</v>
      </c>
      <c r="D128" t="str">
        <f>IF($D$1="ESPN",INDEX(Table2[Mapped Name],MATCH('Rankings Master'!$A128,Table2[Overall Rank],0)),IF('Rankings Master'!$D$1="NFL.com",INDEX(Table3[Name Clean],MATCH('Rankings Master'!$A128,Table3[Rank],0)),IF('Rankings Master'!$D$1="Sleeper",INDEX(Sleeper!$B$2:$B$201,MATCH('Rankings Master'!$A128,Sleeper!$A$2:$A$201,0)),"Need platform")))</f>
        <v>Josh Downs</v>
      </c>
      <c r="E128" t="str">
        <f>IF($D$1="ESPN",INDEX(Table2[Position],MATCH('Rankings Master'!$A128,Table2[Overall Rank],0)),IF('Rankings Master'!$D$1="NFL.com",INDEX(Table3[Position],MATCH('Rankings Master'!$A128,Table3[Rank],0)),INDEX(Sleeper!$C$2:$C$201,MATCH('Rankings Master'!A128,Sleeper!$A$2:$A$201,0))))</f>
        <v>WR</v>
      </c>
      <c r="F128">
        <f>INDEX(Table4[RK],MATCH('Rankings Master'!D128,Table4[PLAYER NAME],0))</f>
        <v>115</v>
      </c>
      <c r="G128">
        <f t="shared" si="15"/>
        <v>10</v>
      </c>
      <c r="H128">
        <f t="shared" si="16"/>
        <v>8.6956521739130432E-2</v>
      </c>
      <c r="I128" t="str">
        <f t="shared" si="18"/>
        <v>Slightly Undervalued</v>
      </c>
      <c r="J128" t="str">
        <f t="shared" si="13"/>
        <v>Y</v>
      </c>
      <c r="K128">
        <f t="shared" si="17"/>
        <v>3</v>
      </c>
      <c r="L128" t="str">
        <f>IF(J128="M",COUNTIFS($J$4:J128,"M",$E$4:E128,E128)&amp;" - "&amp;K128,"N/A")</f>
        <v>N/A</v>
      </c>
      <c r="M128" t="str">
        <f>IFERROR(INDEX(PlayerSummaryTable[Rushing Yds],MATCH('Rankings Master'!D128,PlayerSummaryTable[Player],0)),"")</f>
        <v>N/A</v>
      </c>
      <c r="N128">
        <f>IFERROR(INDEX(PlayerSummaryTable[Receiving Yds],MATCH('Rankings Master'!D128,PlayerSummaryTable[Player],0)),"")</f>
        <v>774.5</v>
      </c>
      <c r="O128" t="str">
        <f>IFERROR(INDEX(PlayerSummaryTable[Passing Yds],MATCH('Rankings Master'!D128,PlayerSummaryTable[Player],0)),"")</f>
        <v>N/A</v>
      </c>
      <c r="U128" t="str">
        <f>IF(COUNTIF('Draft Log'!$B$2:$B$301,D128)&gt;0,"DRAFTED","")</f>
        <v>DRAFTED</v>
      </c>
      <c r="V128">
        <f>IFERROR(INDEX('Draft Log'!$A$2:$A$301,MATCH(D128,'Draft Log'!$B$2:$B$301,0)),"")</f>
        <v>117</v>
      </c>
      <c r="W128" t="str">
        <f>IFERROR(INDEX('Draft Log'!$C$2:$C$301,MATCH(D128,'Draft Log'!$B$2:$B$301,0)),"")</f>
        <v>Cut to the Chase</v>
      </c>
    </row>
    <row r="129" spans="1:23">
      <c r="A129" s="1">
        <v>126</v>
      </c>
      <c r="B129" t="s">
        <v>758</v>
      </c>
      <c r="C129" t="s">
        <v>759</v>
      </c>
      <c r="D129" t="str">
        <f>IF($D$1="ESPN",INDEX(Table2[Mapped Name],MATCH('Rankings Master'!$A129,Table2[Overall Rank],0)),IF('Rankings Master'!$D$1="NFL.com",INDEX(Table3[Name Clean],MATCH('Rankings Master'!$A129,Table3[Rank],0)),IF('Rankings Master'!$D$1="Sleeper",INDEX(Sleeper!$B$2:$B$201,MATCH('Rankings Master'!$A129,Sleeper!$A$2:$A$201,0)),"Need platform")))</f>
        <v>Stefon Diggs</v>
      </c>
      <c r="E129" t="str">
        <f>IF($D$1="ESPN",INDEX(Table2[Position],MATCH('Rankings Master'!$A129,Table2[Overall Rank],0)),IF('Rankings Master'!$D$1="NFL.com",INDEX(Table3[Position],MATCH('Rankings Master'!$A129,Table3[Rank],0)),INDEX(Sleeper!$C$2:$C$201,MATCH('Rankings Master'!A129,Sleeper!$A$2:$A$201,0))))</f>
        <v>WR</v>
      </c>
      <c r="F129">
        <f>INDEX(Table4[RK],MATCH('Rankings Master'!D129,Table4[PLAYER NAME],0))</f>
        <v>109</v>
      </c>
      <c r="G129">
        <f t="shared" si="15"/>
        <v>17</v>
      </c>
      <c r="H129">
        <f t="shared" si="16"/>
        <v>0.15596330275229359</v>
      </c>
      <c r="I129" t="str">
        <f t="shared" si="18"/>
        <v>Pretty Undervalued</v>
      </c>
      <c r="J129" t="str">
        <f t="shared" si="13"/>
        <v>Y</v>
      </c>
      <c r="K129">
        <f t="shared" si="17"/>
        <v>3</v>
      </c>
      <c r="L129" t="str">
        <f>IF(J129="M",COUNTIFS($J$4:J129,"M",$E$4:E129,E129)&amp;" - "&amp;K129,"N/A")</f>
        <v>N/A</v>
      </c>
      <c r="M129" t="str">
        <f>IFERROR(INDEX(PlayerSummaryTable[Rushing Yds],MATCH('Rankings Master'!D129,PlayerSummaryTable[Player],0)),"")</f>
        <v>N/A</v>
      </c>
      <c r="N129">
        <f>IFERROR(INDEX(PlayerSummaryTable[Receiving Yds],MATCH('Rankings Master'!D129,PlayerSummaryTable[Player],0)),"")</f>
        <v>749.5</v>
      </c>
      <c r="O129" t="str">
        <f>IFERROR(INDEX(PlayerSummaryTable[Passing Yds],MATCH('Rankings Master'!D129,PlayerSummaryTable[Player],0)),"")</f>
        <v>N/A</v>
      </c>
      <c r="U129" t="str">
        <f>IF(COUNTIF('Draft Log'!$B$2:$B$301,D129)&gt;0,"DRAFTED","")</f>
        <v>DRAFTED</v>
      </c>
      <c r="V129">
        <f>IFERROR(INDEX('Draft Log'!$A$2:$A$301,MATCH(D129,'Draft Log'!$B$2:$B$301,0)),"")</f>
        <v>150</v>
      </c>
      <c r="W129" t="str">
        <f>IFERROR(INDEX('Draft Log'!$C$2:$C$301,MATCH(D129,'Draft Log'!$B$2:$B$301,0)),"")</f>
        <v>Double Chubb Chocolate Cookie</v>
      </c>
    </row>
    <row r="130" spans="1:23">
      <c r="A130" s="1">
        <v>127</v>
      </c>
      <c r="B130" t="s">
        <v>731</v>
      </c>
      <c r="C130" t="s">
        <v>760</v>
      </c>
      <c r="D130" t="str">
        <f>IF($D$1="ESPN",INDEX(Table2[Mapped Name],MATCH('Rankings Master'!$A130,Table2[Overall Rank],0)),IF('Rankings Master'!$D$1="NFL.com",INDEX(Table3[Name Clean],MATCH('Rankings Master'!$A130,Table3[Rank],0)),IF('Rankings Master'!$D$1="Sleeper",INDEX(Sleeper!$B$2:$B$201,MATCH('Rankings Master'!$A130,Sleeper!$A$2:$A$201,0)),"Need platform")))</f>
        <v>Makai Lemon</v>
      </c>
      <c r="E130" t="str">
        <f>IF($D$1="ESPN",INDEX(Table2[Position],MATCH('Rankings Master'!$A130,Table2[Overall Rank],0)),IF('Rankings Master'!$D$1="NFL.com",INDEX(Table3[Position],MATCH('Rankings Master'!$A130,Table3[Rank],0)),INDEX(Sleeper!$C$2:$C$201,MATCH('Rankings Master'!A130,Sleeper!$A$2:$A$201,0))))</f>
        <v>WR</v>
      </c>
      <c r="F130">
        <f>INDEX(Table4[RK],MATCH('Rankings Master'!D130,Table4[PLAYER NAME],0))</f>
        <v>107</v>
      </c>
      <c r="G130">
        <f t="shared" si="15"/>
        <v>20</v>
      </c>
      <c r="H130">
        <f t="shared" si="16"/>
        <v>0.18691588785046728</v>
      </c>
      <c r="I130" t="str">
        <f t="shared" si="18"/>
        <v>Pretty Undervalued</v>
      </c>
      <c r="J130" t="str">
        <f t="shared" si="13"/>
        <v>Y</v>
      </c>
      <c r="K130">
        <f t="shared" si="17"/>
        <v>3</v>
      </c>
      <c r="L130" t="str">
        <f>IF(J130="M",COUNTIFS($J$4:J130,"M",$E$4:E130,E130)&amp;" - "&amp;K130,"N/A")</f>
        <v>N/A</v>
      </c>
      <c r="M130" t="str">
        <f>IFERROR(INDEX(PlayerSummaryTable[Rushing Yds],MATCH('Rankings Master'!D130,PlayerSummaryTable[Player],0)),"")</f>
        <v>N/A</v>
      </c>
      <c r="N130">
        <f>IFERROR(INDEX(PlayerSummaryTable[Receiving Yds],MATCH('Rankings Master'!D130,PlayerSummaryTable[Player],0)),"")</f>
        <v>649.5</v>
      </c>
      <c r="O130" t="str">
        <f>IFERROR(INDEX(PlayerSummaryTable[Passing Yds],MATCH('Rankings Master'!D130,PlayerSummaryTable[Player],0)),"")</f>
        <v>N/A</v>
      </c>
      <c r="U130" t="str">
        <f>IF(COUNTIF('Draft Log'!$B$2:$B$301,D130)&gt;0,"DRAFTED","")</f>
        <v>DRAFTED</v>
      </c>
      <c r="V130">
        <f>IFERROR(INDEX('Draft Log'!$A$2:$A$301,MATCH(D130,'Draft Log'!$B$2:$B$301,0)),"")</f>
        <v>139</v>
      </c>
      <c r="W130" t="str">
        <f>IFERROR(INDEX('Draft Log'!$C$2:$C$301,MATCH(D130,'Draft Log'!$B$2:$B$301,0)),"")</f>
        <v>Benjamins Bandits</v>
      </c>
    </row>
    <row r="131" spans="1:23">
      <c r="A131" s="1">
        <v>128</v>
      </c>
      <c r="B131" t="s">
        <v>761</v>
      </c>
      <c r="C131" t="s">
        <v>762</v>
      </c>
      <c r="D131" t="str">
        <f>IF($D$1="ESPN",INDEX(Table2[Mapped Name],MATCH('Rankings Master'!$A131,Table2[Overall Rank],0)),IF('Rankings Master'!$D$1="NFL.com",INDEX(Table3[Name Clean],MATCH('Rankings Master'!$A131,Table3[Rank],0)),IF('Rankings Master'!$D$1="Sleeper",INDEX(Sleeper!$B$2:$B$201,MATCH('Rankings Master'!$A131,Sleeper!$A$2:$A$201,0)),"Need platform")))</f>
        <v>Chris Godwin Jr.</v>
      </c>
      <c r="E131" t="str">
        <f>IF($D$1="ESPN",INDEX(Table2[Position],MATCH('Rankings Master'!$A131,Table2[Overall Rank],0)),IF('Rankings Master'!$D$1="NFL.com",INDEX(Table3[Position],MATCH('Rankings Master'!$A131,Table3[Rank],0)),INDEX(Sleeper!$C$2:$C$201,MATCH('Rankings Master'!A131,Sleeper!$A$2:$A$201,0))))</f>
        <v>WR</v>
      </c>
      <c r="F131">
        <f>INDEX(Table4[RK],MATCH('Rankings Master'!D131,Table4[PLAYER NAME],0))</f>
        <v>87</v>
      </c>
      <c r="G131">
        <f t="shared" si="15"/>
        <v>41</v>
      </c>
      <c r="H131">
        <f t="shared" si="16"/>
        <v>0.47126436781609193</v>
      </c>
      <c r="I131" t="str">
        <f t="shared" si="18"/>
        <v>Pretty Undervalued</v>
      </c>
      <c r="J131" t="str">
        <f t="shared" si="13"/>
        <v>Y</v>
      </c>
      <c r="K131">
        <f t="shared" si="17"/>
        <v>3</v>
      </c>
      <c r="L131" t="str">
        <f>IF(J131="M",COUNTIFS($J$4:J131,"M",$E$4:E131,E131)&amp;" - "&amp;K131,"N/A")</f>
        <v>N/A</v>
      </c>
      <c r="M131" t="str">
        <f>IFERROR(INDEX(PlayerSummaryTable[Rushing Yds],MATCH('Rankings Master'!D131,PlayerSummaryTable[Player],0)),"")</f>
        <v/>
      </c>
      <c r="N131" t="str">
        <f>IFERROR(INDEX(PlayerSummaryTable[Receiving Yds],MATCH('Rankings Master'!D131,PlayerSummaryTable[Player],0)),"")</f>
        <v/>
      </c>
      <c r="O131" t="str">
        <f>IFERROR(INDEX(PlayerSummaryTable[Passing Yds],MATCH('Rankings Master'!D131,PlayerSummaryTable[Player],0)),"")</f>
        <v/>
      </c>
      <c r="U131" t="str">
        <f>IF(COUNTIF('Draft Log'!$B$2:$B$301,D131)&gt;0,"DRAFTED","")</f>
        <v>DRAFTED</v>
      </c>
      <c r="V131">
        <f>IFERROR(INDEX('Draft Log'!$A$2:$A$301,MATCH(D131,'Draft Log'!$B$2:$B$301,0)),"")</f>
        <v>144</v>
      </c>
      <c r="W131" t="str">
        <f>IFERROR(INDEX('Draft Log'!$C$2:$C$301,MATCH(D131,'Draft Log'!$B$2:$B$301,0)),"")</f>
        <v>Cut to the Chase</v>
      </c>
    </row>
    <row r="132" spans="1:23">
      <c r="A132" s="1">
        <v>129</v>
      </c>
      <c r="B132" t="s">
        <v>763</v>
      </c>
      <c r="C132" t="s">
        <v>764</v>
      </c>
      <c r="D132" t="str">
        <f>IF($D$1="ESPN",INDEX(Table2[Mapped Name],MATCH('Rankings Master'!$A132,Table2[Overall Rank],0)),IF('Rankings Master'!$D$1="NFL.com",INDEX(Table3[Name Clean],MATCH('Rankings Master'!$A132,Table3[Rank],0)),IF('Rankings Master'!$D$1="Sleeper",INDEX(Sleeper!$B$2:$B$201,MATCH('Rankings Master'!$A132,Sleeper!$A$2:$A$201,0)),"Need platform")))</f>
        <v>Deebo Samuel Sr.</v>
      </c>
      <c r="E132" t="str">
        <f>IF($D$1="ESPN",INDEX(Table2[Position],MATCH('Rankings Master'!$A132,Table2[Overall Rank],0)),IF('Rankings Master'!$D$1="NFL.com",INDEX(Table3[Position],MATCH('Rankings Master'!$A132,Table3[Rank],0)),INDEX(Sleeper!$C$2:$C$201,MATCH('Rankings Master'!A132,Sleeper!$A$2:$A$201,0))))</f>
        <v>WR</v>
      </c>
      <c r="F132">
        <f>INDEX(Table4[RK],MATCH('Rankings Master'!D132,Table4[PLAYER NAME],0))</f>
        <v>138</v>
      </c>
      <c r="G132">
        <f t="shared" ref="G132:G163" si="19">A132-F132</f>
        <v>-9</v>
      </c>
      <c r="H132">
        <f t="shared" ref="H132:H163" si="20">G132/F132</f>
        <v>-6.5217391304347824E-2</v>
      </c>
      <c r="I132" t="str">
        <f t="shared" si="18"/>
        <v>Slightly Overvalued</v>
      </c>
      <c r="J132" t="str">
        <f t="shared" si="13"/>
        <v>Y</v>
      </c>
      <c r="K132">
        <f t="shared" ref="K132:K163" si="21">IF(E132="QB",1,IF(E132="RB",2,IF(E132="WR",3,IF(E132="TE",4,IF(E132="K",5,"Check")))))</f>
        <v>3</v>
      </c>
      <c r="L132" t="str">
        <f>IF(J132="M",COUNTIFS($J$4:J132,"M",$E$4:E132,E132)&amp;" - "&amp;K132,"N/A")</f>
        <v>N/A</v>
      </c>
      <c r="M132" t="str">
        <f>IFERROR(INDEX(PlayerSummaryTable[Rushing Yds],MATCH('Rankings Master'!D132,PlayerSummaryTable[Player],0)),"")</f>
        <v/>
      </c>
      <c r="N132" t="str">
        <f>IFERROR(INDEX(PlayerSummaryTable[Receiving Yds],MATCH('Rankings Master'!D132,PlayerSummaryTable[Player],0)),"")</f>
        <v/>
      </c>
      <c r="O132" t="str">
        <f>IFERROR(INDEX(PlayerSummaryTable[Passing Yds],MATCH('Rankings Master'!D132,PlayerSummaryTable[Player],0)),"")</f>
        <v/>
      </c>
      <c r="U132" t="str">
        <f>IF(COUNTIF('Draft Log'!$B$2:$B$301,D132)&gt;0,"DRAFTED","")</f>
        <v>DRAFTED</v>
      </c>
      <c r="V132">
        <f>IFERROR(INDEX('Draft Log'!$A$2:$A$301,MATCH(D132,'Draft Log'!$B$2:$B$301,0)),"")</f>
        <v>152</v>
      </c>
      <c r="W132" t="str">
        <f>IFERROR(INDEX('Draft Log'!$C$2:$C$301,MATCH(D132,'Draft Log'!$B$2:$B$301,0)),"")</f>
        <v>The Good, Bad and Ugly</v>
      </c>
    </row>
    <row r="133" spans="1:23">
      <c r="A133" s="1">
        <v>130</v>
      </c>
      <c r="B133" t="s">
        <v>765</v>
      </c>
      <c r="C133" t="s">
        <v>766</v>
      </c>
      <c r="D133" t="str">
        <f>IF($D$1="ESPN",INDEX(Table2[Mapped Name],MATCH('Rankings Master'!$A133,Table2[Overall Rank],0)),IF('Rankings Master'!$D$1="NFL.com",INDEX(Table3[Name Clean],MATCH('Rankings Master'!$A133,Table3[Rank],0)),IF('Rankings Master'!$D$1="Sleeper",INDEX(Sleeper!$B$2:$B$201,MATCH('Rankings Master'!$A133,Sleeper!$A$2:$A$201,0)),"Need platform")))</f>
        <v>Romeo Doubs</v>
      </c>
      <c r="E133" t="str">
        <f>IF($D$1="ESPN",INDEX(Table2[Position],MATCH('Rankings Master'!$A133,Table2[Overall Rank],0)),IF('Rankings Master'!$D$1="NFL.com",INDEX(Table3[Position],MATCH('Rankings Master'!$A133,Table3[Rank],0)),INDEX(Sleeper!$C$2:$C$201,MATCH('Rankings Master'!A133,Sleeper!$A$2:$A$201,0))))</f>
        <v>WR</v>
      </c>
      <c r="F133">
        <f>INDEX(Table4[RK],MATCH('Rankings Master'!D133,Table4[PLAYER NAME],0))</f>
        <v>128</v>
      </c>
      <c r="G133">
        <f t="shared" si="19"/>
        <v>2</v>
      </c>
      <c r="H133">
        <f t="shared" si="20"/>
        <v>1.5625E-2</v>
      </c>
      <c r="I133" t="str">
        <f t="shared" si="18"/>
        <v>Slightly Undervalued</v>
      </c>
      <c r="J133" t="str">
        <f t="shared" ref="J133:J196" si="22">IF(W133=$G$1,"M",IF(AND(U133="Drafted",W133&lt;&gt;$G$1),"Y",""))</f>
        <v/>
      </c>
      <c r="K133">
        <f t="shared" si="21"/>
        <v>3</v>
      </c>
      <c r="L133" t="str">
        <f>IF(J133="M",COUNTIFS($J$4:J133,"M",$E$4:E133,E133)&amp;" - "&amp;K133,"N/A")</f>
        <v>N/A</v>
      </c>
      <c r="M133" t="str">
        <f>IFERROR(INDEX(PlayerSummaryTable[Rushing Yds],MATCH('Rankings Master'!D133,PlayerSummaryTable[Player],0)),"")</f>
        <v>N/A</v>
      </c>
      <c r="N133">
        <f>IFERROR(INDEX(PlayerSummaryTable[Receiving Yds],MATCH('Rankings Master'!D133,PlayerSummaryTable[Player],0)),"")</f>
        <v>649.5</v>
      </c>
      <c r="O133" t="str">
        <f>IFERROR(INDEX(PlayerSummaryTable[Passing Yds],MATCH('Rankings Master'!D133,PlayerSummaryTable[Player],0)),"")</f>
        <v>N/A</v>
      </c>
      <c r="U133" t="str">
        <f>IF(COUNTIF('Draft Log'!$B$2:$B$301,D133)&gt;0,"DRAFTED","")</f>
        <v/>
      </c>
      <c r="V133" t="str">
        <f>IFERROR(INDEX('Draft Log'!$A$2:$A$301,MATCH(D133,'Draft Log'!$B$2:$B$301,0)),"")</f>
        <v/>
      </c>
      <c r="W133" t="str">
        <f>IFERROR(INDEX('Draft Log'!$C$2:$C$301,MATCH(D133,'Draft Log'!$B$2:$B$301,0)),"")</f>
        <v/>
      </c>
    </row>
    <row r="134" spans="1:23">
      <c r="A134" s="1">
        <v>131</v>
      </c>
      <c r="B134" t="s">
        <v>767</v>
      </c>
      <c r="C134" t="s">
        <v>768</v>
      </c>
      <c r="D134" t="str">
        <f>IF($D$1="ESPN",INDEX(Table2[Mapped Name],MATCH('Rankings Master'!$A134,Table2[Overall Rank],0)),IF('Rankings Master'!$D$1="NFL.com",INDEX(Table3[Name Clean],MATCH('Rankings Master'!$A134,Table3[Rank],0)),IF('Rankings Master'!$D$1="Sleeper",INDEX(Sleeper!$B$2:$B$201,MATCH('Rankings Master'!$A134,Sleeper!$A$2:$A$201,0)),"Need platform")))</f>
        <v>Jalen Coker</v>
      </c>
      <c r="E134" t="str">
        <f>IF($D$1="ESPN",INDEX(Table2[Position],MATCH('Rankings Master'!$A134,Table2[Overall Rank],0)),IF('Rankings Master'!$D$1="NFL.com",INDEX(Table3[Position],MATCH('Rankings Master'!$A134,Table3[Rank],0)),INDEX(Sleeper!$C$2:$C$201,MATCH('Rankings Master'!A134,Sleeper!$A$2:$A$201,0))))</f>
        <v>WR</v>
      </c>
      <c r="F134">
        <f>INDEX(Table4[RK],MATCH('Rankings Master'!D134,Table4[PLAYER NAME],0))</f>
        <v>134</v>
      </c>
      <c r="G134">
        <f t="shared" si="19"/>
        <v>-3</v>
      </c>
      <c r="H134">
        <f t="shared" si="20"/>
        <v>-2.2388059701492536E-2</v>
      </c>
      <c r="I134" t="str">
        <f t="shared" si="18"/>
        <v>Slightly Overvalued</v>
      </c>
      <c r="J134" t="str">
        <f t="shared" si="22"/>
        <v/>
      </c>
      <c r="K134">
        <f t="shared" si="21"/>
        <v>3</v>
      </c>
      <c r="L134" t="str">
        <f>IF(J134="M",COUNTIFS($J$4:J134,"M",$E$4:E134,E134)&amp;" - "&amp;K134,"N/A")</f>
        <v>N/A</v>
      </c>
      <c r="M134" t="str">
        <f>IFERROR(INDEX(PlayerSummaryTable[Rushing Yds],MATCH('Rankings Master'!D134,PlayerSummaryTable[Player],0)),"")</f>
        <v/>
      </c>
      <c r="N134" t="str">
        <f>IFERROR(INDEX(PlayerSummaryTable[Receiving Yds],MATCH('Rankings Master'!D134,PlayerSummaryTable[Player],0)),"")</f>
        <v/>
      </c>
      <c r="O134" t="str">
        <f>IFERROR(INDEX(PlayerSummaryTable[Passing Yds],MATCH('Rankings Master'!D134,PlayerSummaryTable[Player],0)),"")</f>
        <v/>
      </c>
      <c r="U134" t="str">
        <f>IF(COUNTIF('Draft Log'!$B$2:$B$301,D134)&gt;0,"DRAFTED","")</f>
        <v/>
      </c>
      <c r="V134" t="str">
        <f>IFERROR(INDEX('Draft Log'!$A$2:$A$301,MATCH(D134,'Draft Log'!$B$2:$B$301,0)),"")</f>
        <v/>
      </c>
      <c r="W134" t="str">
        <f>IFERROR(INDEX('Draft Log'!$C$2:$C$301,MATCH(D134,'Draft Log'!$B$2:$B$301,0)),"")</f>
        <v/>
      </c>
    </row>
    <row r="135" spans="1:23">
      <c r="A135" s="1">
        <v>132</v>
      </c>
      <c r="B135" t="s">
        <v>769</v>
      </c>
      <c r="C135" t="s">
        <v>770</v>
      </c>
      <c r="D135" t="str">
        <f>IF($D$1="ESPN",INDEX(Table2[Mapped Name],MATCH('Rankings Master'!$A135,Table2[Overall Rank],0)),IF('Rankings Master'!$D$1="NFL.com",INDEX(Table3[Name Clean],MATCH('Rankings Master'!$A135,Table3[Rank],0)),IF('Rankings Master'!$D$1="Sleeper",INDEX(Sleeper!$B$2:$B$201,MATCH('Rankings Master'!$A135,Sleeper!$A$2:$A$201,0)),"Need platform")))</f>
        <v>Rashid Shaheed</v>
      </c>
      <c r="E135" t="str">
        <f>IF($D$1="ESPN",INDEX(Table2[Position],MATCH('Rankings Master'!$A135,Table2[Overall Rank],0)),IF('Rankings Master'!$D$1="NFL.com",INDEX(Table3[Position],MATCH('Rankings Master'!$A135,Table3[Rank],0)),INDEX(Sleeper!$C$2:$C$201,MATCH('Rankings Master'!A135,Sleeper!$A$2:$A$201,0))))</f>
        <v>WR</v>
      </c>
      <c r="F135">
        <f>INDEX(Table4[RK],MATCH('Rankings Master'!D135,Table4[PLAYER NAME],0))</f>
        <v>133</v>
      </c>
      <c r="G135">
        <f t="shared" si="19"/>
        <v>-1</v>
      </c>
      <c r="H135">
        <f t="shared" si="20"/>
        <v>-7.5187969924812026E-3</v>
      </c>
      <c r="I135" t="str">
        <f t="shared" si="18"/>
        <v>Slightly Overvalued</v>
      </c>
      <c r="J135" t="str">
        <f t="shared" si="22"/>
        <v>Y</v>
      </c>
      <c r="K135">
        <f t="shared" si="21"/>
        <v>3</v>
      </c>
      <c r="L135" t="str">
        <f>IF(J135="M",COUNTIFS($J$4:J135,"M",$E$4:E135,E135)&amp;" - "&amp;K135,"N/A")</f>
        <v>N/A</v>
      </c>
      <c r="M135" t="str">
        <f>IFERROR(INDEX(PlayerSummaryTable[Rushing Yds],MATCH('Rankings Master'!D135,PlayerSummaryTable[Player],0)),"")</f>
        <v>N/A</v>
      </c>
      <c r="N135">
        <f>IFERROR(INDEX(PlayerSummaryTable[Receiving Yds],MATCH('Rankings Master'!D135,PlayerSummaryTable[Player],0)),"")</f>
        <v>574.5</v>
      </c>
      <c r="O135" t="str">
        <f>IFERROR(INDEX(PlayerSummaryTable[Passing Yds],MATCH('Rankings Master'!D135,PlayerSummaryTable[Player],0)),"")</f>
        <v>N/A</v>
      </c>
      <c r="U135" t="str">
        <f>IF(COUNTIF('Draft Log'!$B$2:$B$301,D135)&gt;0,"DRAFTED","")</f>
        <v>DRAFTED</v>
      </c>
      <c r="V135">
        <f>IFERROR(INDEX('Draft Log'!$A$2:$A$301,MATCH(D135,'Draft Log'!$B$2:$B$301,0)),"")</f>
        <v>104</v>
      </c>
      <c r="W135" t="str">
        <f>IFERROR(INDEX('Draft Log'!$C$2:$C$301,MATCH(D135,'Draft Log'!$B$2:$B$301,0)),"")</f>
        <v>Cut to the Chase</v>
      </c>
    </row>
    <row r="136" spans="1:23">
      <c r="A136" s="1">
        <v>133</v>
      </c>
      <c r="B136" t="s">
        <v>771</v>
      </c>
      <c r="C136" t="s">
        <v>772</v>
      </c>
      <c r="D136" t="str">
        <f>IF($D$1="ESPN",INDEX(Table2[Mapped Name],MATCH('Rankings Master'!$A136,Table2[Overall Rank],0)),IF('Rankings Master'!$D$1="NFL.com",INDEX(Table3[Name Clean],MATCH('Rankings Master'!$A136,Table3[Rank],0)),IF('Rankings Master'!$D$1="Sleeper",INDEX(Sleeper!$B$2:$B$201,MATCH('Rankings Master'!$A136,Sleeper!$A$2:$A$201,0)),"Need platform")))</f>
        <v>Jalen McMillan</v>
      </c>
      <c r="E136" t="str">
        <f>IF($D$1="ESPN",INDEX(Table2[Position],MATCH('Rankings Master'!$A136,Table2[Overall Rank],0)),IF('Rankings Master'!$D$1="NFL.com",INDEX(Table3[Position],MATCH('Rankings Master'!$A136,Table3[Rank],0)),INDEX(Sleeper!$C$2:$C$201,MATCH('Rankings Master'!A136,Sleeper!$A$2:$A$201,0))))</f>
        <v>WR</v>
      </c>
      <c r="F136">
        <f>INDEX(Table4[RK],MATCH('Rankings Master'!D136,Table4[PLAYER NAME],0))</f>
        <v>164</v>
      </c>
      <c r="G136">
        <f t="shared" si="19"/>
        <v>-31</v>
      </c>
      <c r="H136">
        <f t="shared" si="20"/>
        <v>-0.18902439024390244</v>
      </c>
      <c r="I136" t="str">
        <f t="shared" si="18"/>
        <v>Pretty Overvalued</v>
      </c>
      <c r="J136" t="str">
        <f t="shared" si="22"/>
        <v/>
      </c>
      <c r="K136">
        <f t="shared" si="21"/>
        <v>3</v>
      </c>
      <c r="L136" t="str">
        <f>IF(J136="M",COUNTIFS($J$4:J136,"M",$E$4:E136,E136)&amp;" - "&amp;K136,"N/A")</f>
        <v>N/A</v>
      </c>
      <c r="M136" t="str">
        <f>IFERROR(INDEX(PlayerSummaryTable[Rushing Yds],MATCH('Rankings Master'!D136,PlayerSummaryTable[Player],0)),"")</f>
        <v/>
      </c>
      <c r="N136" t="str">
        <f>IFERROR(INDEX(PlayerSummaryTable[Receiving Yds],MATCH('Rankings Master'!D136,PlayerSummaryTable[Player],0)),"")</f>
        <v/>
      </c>
      <c r="O136" t="str">
        <f>IFERROR(INDEX(PlayerSummaryTable[Passing Yds],MATCH('Rankings Master'!D136,PlayerSummaryTable[Player],0)),"")</f>
        <v/>
      </c>
      <c r="U136" t="str">
        <f>IF(COUNTIF('Draft Log'!$B$2:$B$301,D136)&gt;0,"DRAFTED","")</f>
        <v/>
      </c>
      <c r="V136" t="str">
        <f>IFERROR(INDEX('Draft Log'!$A$2:$A$301,MATCH(D136,'Draft Log'!$B$2:$B$301,0)),"")</f>
        <v/>
      </c>
      <c r="W136" t="str">
        <f>IFERROR(INDEX('Draft Log'!$C$2:$C$301,MATCH(D136,'Draft Log'!$B$2:$B$301,0)),"")</f>
        <v/>
      </c>
    </row>
    <row r="137" spans="1:23">
      <c r="A137" s="1">
        <v>134</v>
      </c>
      <c r="B137" t="s">
        <v>658</v>
      </c>
      <c r="C137" t="s">
        <v>773</v>
      </c>
      <c r="D137" t="str">
        <f>IF($D$1="ESPN",INDEX(Table2[Mapped Name],MATCH('Rankings Master'!$A137,Table2[Overall Rank],0)),IF('Rankings Master'!$D$1="NFL.com",INDEX(Table3[Name Clean],MATCH('Rankings Master'!$A137,Table3[Rank],0)),IF('Rankings Master'!$D$1="Sleeper",INDEX(Sleeper!$B$2:$B$201,MATCH('Rankings Master'!$A137,Sleeper!$A$2:$A$201,0)),"Need platform")))</f>
        <v>Kyler Murray</v>
      </c>
      <c r="E137" t="str">
        <f>IF($D$1="ESPN",INDEX(Table2[Position],MATCH('Rankings Master'!$A137,Table2[Overall Rank],0)),IF('Rankings Master'!$D$1="NFL.com",INDEX(Table3[Position],MATCH('Rankings Master'!$A137,Table3[Rank],0)),INDEX(Sleeper!$C$2:$C$201,MATCH('Rankings Master'!A137,Sleeper!$A$2:$A$201,0))))</f>
        <v>QB</v>
      </c>
      <c r="F137">
        <f>INDEX(Table4[RK],MATCH('Rankings Master'!D137,Table4[PLAYER NAME],0))</f>
        <v>114</v>
      </c>
      <c r="G137">
        <f t="shared" si="19"/>
        <v>20</v>
      </c>
      <c r="H137">
        <f t="shared" si="20"/>
        <v>0.17543859649122806</v>
      </c>
      <c r="I137" t="str">
        <f t="shared" si="18"/>
        <v>Pretty Undervalued</v>
      </c>
      <c r="J137" t="str">
        <f t="shared" si="22"/>
        <v>Y</v>
      </c>
      <c r="K137">
        <f t="shared" si="21"/>
        <v>1</v>
      </c>
      <c r="L137" t="str">
        <f>IF(J137="M",COUNTIFS($J$4:J137,"M",$E$4:E137,E137)&amp;" - "&amp;K137,"N/A")</f>
        <v>N/A</v>
      </c>
      <c r="M137" t="str">
        <f>IFERROR(INDEX(PlayerSummaryTable[Rushing Yds],MATCH('Rankings Master'!D137,PlayerSummaryTable[Player],0)),"")</f>
        <v>N/A</v>
      </c>
      <c r="N137" t="str">
        <f>IFERROR(INDEX(PlayerSummaryTable[Receiving Yds],MATCH('Rankings Master'!D137,PlayerSummaryTable[Player],0)),"")</f>
        <v>N/A</v>
      </c>
      <c r="O137">
        <f>IFERROR(INDEX(PlayerSummaryTable[Passing Yds],MATCH('Rankings Master'!D137,PlayerSummaryTable[Player],0)),"")</f>
        <v>3049.5</v>
      </c>
      <c r="U137" t="str">
        <f>IF(COUNTIF('Draft Log'!$B$2:$B$301,D137)&gt;0,"DRAFTED","")</f>
        <v>DRAFTED</v>
      </c>
      <c r="V137">
        <f>IFERROR(INDEX('Draft Log'!$A$2:$A$301,MATCH(D137,'Draft Log'!$B$2:$B$301,0)),"")</f>
        <v>141</v>
      </c>
      <c r="W137" t="str">
        <f>IFERROR(INDEX('Draft Log'!$C$2:$C$301,MATCH(D137,'Draft Log'!$B$2:$B$301,0)),"")</f>
        <v>Team Afeef</v>
      </c>
    </row>
    <row r="138" spans="1:23">
      <c r="A138" s="1">
        <v>135</v>
      </c>
      <c r="B138" t="s">
        <v>774</v>
      </c>
      <c r="C138" t="s">
        <v>775</v>
      </c>
      <c r="D138" t="str">
        <f>IF($D$1="ESPN",INDEX(Table2[Mapped Name],MATCH('Rankings Master'!$A138,Table2[Overall Rank],0)),IF('Rankings Master'!$D$1="NFL.com",INDEX(Table3[Name Clean],MATCH('Rankings Master'!$A138,Table3[Rank],0)),IF('Rankings Master'!$D$1="Sleeper",INDEX(Sleeper!$B$2:$B$201,MATCH('Rankings Master'!$A138,Sleeper!$A$2:$A$201,0)),"Need platform")))</f>
        <v>Tyler Shough</v>
      </c>
      <c r="E138" t="str">
        <f>IF($D$1="ESPN",INDEX(Table2[Position],MATCH('Rankings Master'!$A138,Table2[Overall Rank],0)),IF('Rankings Master'!$D$1="NFL.com",INDEX(Table3[Position],MATCH('Rankings Master'!$A138,Table3[Rank],0)),INDEX(Sleeper!$C$2:$C$201,MATCH('Rankings Master'!A138,Sleeper!$A$2:$A$201,0))))</f>
        <v>QB</v>
      </c>
      <c r="F138">
        <f>INDEX(Table4[RK],MATCH('Rankings Master'!D138,Table4[PLAYER NAME],0))</f>
        <v>127</v>
      </c>
      <c r="G138">
        <f t="shared" si="19"/>
        <v>8</v>
      </c>
      <c r="H138">
        <f t="shared" si="20"/>
        <v>6.2992125984251968E-2</v>
      </c>
      <c r="I138" t="str">
        <f t="shared" si="18"/>
        <v>Slightly Undervalued</v>
      </c>
      <c r="J138" t="str">
        <f t="shared" si="22"/>
        <v/>
      </c>
      <c r="K138">
        <f t="shared" si="21"/>
        <v>1</v>
      </c>
      <c r="L138" t="str">
        <f>IF(J138="M",COUNTIFS($J$4:J138,"M",$E$4:E138,E138)&amp;" - "&amp;K138,"N/A")</f>
        <v>N/A</v>
      </c>
      <c r="M138" t="str">
        <f>IFERROR(INDEX(PlayerSummaryTable[Rushing Yds],MATCH('Rankings Master'!D138,PlayerSummaryTable[Player],0)),"")</f>
        <v>N/A</v>
      </c>
      <c r="N138" t="str">
        <f>IFERROR(INDEX(PlayerSummaryTable[Receiving Yds],MATCH('Rankings Master'!D138,PlayerSummaryTable[Player],0)),"")</f>
        <v>N/A</v>
      </c>
      <c r="O138">
        <f>IFERROR(INDEX(PlayerSummaryTable[Passing Yds],MATCH('Rankings Master'!D138,PlayerSummaryTable[Player],0)),"")</f>
        <v>3449.5</v>
      </c>
      <c r="U138" t="str">
        <f>IF(COUNTIF('Draft Log'!$B$2:$B$301,D138)&gt;0,"DRAFTED","")</f>
        <v/>
      </c>
      <c r="V138" t="str">
        <f>IFERROR(INDEX('Draft Log'!$A$2:$A$301,MATCH(D138,'Draft Log'!$B$2:$B$301,0)),"")</f>
        <v/>
      </c>
      <c r="W138" t="str">
        <f>IFERROR(INDEX('Draft Log'!$C$2:$C$301,MATCH(D138,'Draft Log'!$B$2:$B$301,0)),"")</f>
        <v/>
      </c>
    </row>
    <row r="139" spans="1:23">
      <c r="A139" s="1">
        <v>136</v>
      </c>
      <c r="B139" t="s">
        <v>776</v>
      </c>
      <c r="C139" t="s">
        <v>777</v>
      </c>
      <c r="D139" t="str">
        <f>IF($D$1="ESPN",INDEX(Table2[Mapped Name],MATCH('Rankings Master'!$A139,Table2[Overall Rank],0)),IF('Rankings Master'!$D$1="NFL.com",INDEX(Table3[Name Clean],MATCH('Rankings Master'!$A139,Table3[Rank],0)),IF('Rankings Master'!$D$1="Sleeper",INDEX(Sleeper!$B$2:$B$201,MATCH('Rankings Master'!$A139,Sleeper!$A$2:$A$201,0)),"Need platform")))</f>
        <v>Jared Goff</v>
      </c>
      <c r="E139" t="str">
        <f>IF($D$1="ESPN",INDEX(Table2[Position],MATCH('Rankings Master'!$A139,Table2[Overall Rank],0)),IF('Rankings Master'!$D$1="NFL.com",INDEX(Table3[Position],MATCH('Rankings Master'!$A139,Table3[Rank],0)),INDEX(Sleeper!$C$2:$C$201,MATCH('Rankings Master'!A139,Sleeper!$A$2:$A$201,0))))</f>
        <v>QB</v>
      </c>
      <c r="F139">
        <f>INDEX(Table4[RK],MATCH('Rankings Master'!D139,Table4[PLAYER NAME],0))</f>
        <v>102</v>
      </c>
      <c r="G139">
        <f t="shared" si="19"/>
        <v>34</v>
      </c>
      <c r="H139">
        <f t="shared" si="20"/>
        <v>0.33333333333333331</v>
      </c>
      <c r="I139" t="str">
        <f t="shared" si="18"/>
        <v>Pretty Undervalued</v>
      </c>
      <c r="J139" t="str">
        <f t="shared" si="22"/>
        <v/>
      </c>
      <c r="K139">
        <f t="shared" si="21"/>
        <v>1</v>
      </c>
      <c r="L139" t="str">
        <f>IF(J139="M",COUNTIFS($J$4:J139,"M",$E$4:E139,E139)&amp;" - "&amp;K139,"N/A")</f>
        <v>N/A</v>
      </c>
      <c r="M139" t="str">
        <f>IFERROR(INDEX(PlayerSummaryTable[Rushing Yds],MATCH('Rankings Master'!D139,PlayerSummaryTable[Player],0)),"")</f>
        <v>N/A</v>
      </c>
      <c r="N139" t="str">
        <f>IFERROR(INDEX(PlayerSummaryTable[Receiving Yds],MATCH('Rankings Master'!D139,PlayerSummaryTable[Player],0)),"")</f>
        <v>N/A</v>
      </c>
      <c r="O139">
        <f>IFERROR(INDEX(PlayerSummaryTable[Passing Yds],MATCH('Rankings Master'!D139,PlayerSummaryTable[Player],0)),"")</f>
        <v>4099.5</v>
      </c>
      <c r="U139" t="str">
        <f>IF(COUNTIF('Draft Log'!$B$2:$B$301,D139)&gt;0,"DRAFTED","")</f>
        <v/>
      </c>
      <c r="V139" t="str">
        <f>IFERROR(INDEX('Draft Log'!$A$2:$A$301,MATCH(D139,'Draft Log'!$B$2:$B$301,0)),"")</f>
        <v/>
      </c>
      <c r="W139" t="str">
        <f>IFERROR(INDEX('Draft Log'!$C$2:$C$301,MATCH(D139,'Draft Log'!$B$2:$B$301,0)),"")</f>
        <v/>
      </c>
    </row>
    <row r="140" spans="1:23">
      <c r="A140" s="1">
        <v>137</v>
      </c>
      <c r="B140" t="s">
        <v>778</v>
      </c>
      <c r="C140" t="s">
        <v>779</v>
      </c>
      <c r="D140" t="str">
        <f>IF($D$1="ESPN",INDEX(Table2[Mapped Name],MATCH('Rankings Master'!$A140,Table2[Overall Rank],0)),IF('Rankings Master'!$D$1="NFL.com",INDEX(Table3[Name Clean],MATCH('Rankings Master'!$A140,Table3[Rank],0)),IF('Rankings Master'!$D$1="Sleeper",INDEX(Sleeper!$B$2:$B$201,MATCH('Rankings Master'!$A140,Sleeper!$A$2:$A$201,0)),"Need platform")))</f>
        <v>Daniel Jones</v>
      </c>
      <c r="E140" t="str">
        <f>IF($D$1="ESPN",INDEX(Table2[Position],MATCH('Rankings Master'!$A140,Table2[Overall Rank],0)),IF('Rankings Master'!$D$1="NFL.com",INDEX(Table3[Position],MATCH('Rankings Master'!$A140,Table3[Rank],0)),INDEX(Sleeper!$C$2:$C$201,MATCH('Rankings Master'!A140,Sleeper!$A$2:$A$201,0))))</f>
        <v>QB</v>
      </c>
      <c r="F140">
        <f>INDEX(Table4[RK],MATCH('Rankings Master'!D140,Table4[PLAYER NAME],0))</f>
        <v>147</v>
      </c>
      <c r="G140">
        <f t="shared" si="19"/>
        <v>-10</v>
      </c>
      <c r="H140">
        <f t="shared" si="20"/>
        <v>-6.8027210884353748E-2</v>
      </c>
      <c r="I140" t="str">
        <f t="shared" si="18"/>
        <v>Slightly Overvalued</v>
      </c>
      <c r="J140" t="str">
        <f t="shared" si="22"/>
        <v/>
      </c>
      <c r="K140">
        <f t="shared" si="21"/>
        <v>1</v>
      </c>
      <c r="L140" t="str">
        <f>IF(J140="M",COUNTIFS($J$4:J140,"M",$E$4:E140,E140)&amp;" - "&amp;K140,"N/A")</f>
        <v>N/A</v>
      </c>
      <c r="M140" t="str">
        <f>IFERROR(INDEX(PlayerSummaryTable[Rushing Yds],MATCH('Rankings Master'!D140,PlayerSummaryTable[Player],0)),"")</f>
        <v>N/A</v>
      </c>
      <c r="N140" t="str">
        <f>IFERROR(INDEX(PlayerSummaryTable[Receiving Yds],MATCH('Rankings Master'!D140,PlayerSummaryTable[Player],0)),"")</f>
        <v>N/A</v>
      </c>
      <c r="O140">
        <f>IFERROR(INDEX(PlayerSummaryTable[Passing Yds],MATCH('Rankings Master'!D140,PlayerSummaryTable[Player],0)),"")</f>
        <v>3299.5</v>
      </c>
      <c r="U140" t="str">
        <f>IF(COUNTIF('Draft Log'!$B$2:$B$301,D140)&gt;0,"DRAFTED","")</f>
        <v/>
      </c>
      <c r="V140" t="str">
        <f>IFERROR(INDEX('Draft Log'!$A$2:$A$301,MATCH(D140,'Draft Log'!$B$2:$B$301,0)),"")</f>
        <v/>
      </c>
      <c r="W140" t="str">
        <f>IFERROR(INDEX('Draft Log'!$C$2:$C$301,MATCH(D140,'Draft Log'!$B$2:$B$301,0)),"")</f>
        <v/>
      </c>
    </row>
    <row r="141" spans="1:23">
      <c r="A141" s="1">
        <v>138</v>
      </c>
      <c r="B141" t="s">
        <v>780</v>
      </c>
      <c r="C141" t="s">
        <v>733</v>
      </c>
      <c r="D141" t="str">
        <f>IF($D$1="ESPN",INDEX(Table2[Mapped Name],MATCH('Rankings Master'!$A141,Table2[Overall Rank],0)),IF('Rankings Master'!$D$1="NFL.com",INDEX(Table3[Name Clean],MATCH('Rankings Master'!$A141,Table3[Rank],0)),IF('Rankings Master'!$D$1="Sleeper",INDEX(Sleeper!$B$2:$B$201,MATCH('Rankings Master'!$A141,Sleeper!$A$2:$A$201,0)),"Need platform")))</f>
        <v>Zach Charbonnet</v>
      </c>
      <c r="E141" t="str">
        <f>IF($D$1="ESPN",INDEX(Table2[Position],MATCH('Rankings Master'!$A141,Table2[Overall Rank],0)),IF('Rankings Master'!$D$1="NFL.com",INDEX(Table3[Position],MATCH('Rankings Master'!$A141,Table3[Rank],0)),INDEX(Sleeper!$C$2:$C$201,MATCH('Rankings Master'!A141,Sleeper!$A$2:$A$201,0))))</f>
        <v>RB</v>
      </c>
      <c r="F141">
        <f>INDEX(Table4[RK],MATCH('Rankings Master'!D141,Table4[PLAYER NAME],0))</f>
        <v>140</v>
      </c>
      <c r="G141">
        <f t="shared" si="19"/>
        <v>-2</v>
      </c>
      <c r="H141">
        <f t="shared" si="20"/>
        <v>-1.4285714285714285E-2</v>
      </c>
      <c r="I141" t="str">
        <f t="shared" si="18"/>
        <v>Slightly Overvalued</v>
      </c>
      <c r="J141" t="str">
        <f t="shared" si="22"/>
        <v>Y</v>
      </c>
      <c r="K141">
        <f t="shared" si="21"/>
        <v>2</v>
      </c>
      <c r="L141" t="str">
        <f>IF(J141="M",COUNTIFS($J$4:J141,"M",$E$4:E141,E141)&amp;" - "&amp;K141,"N/A")</f>
        <v>N/A</v>
      </c>
      <c r="M141" t="str">
        <f>IFERROR(INDEX(PlayerSummaryTable[Rushing Yds],MATCH('Rankings Master'!D141,PlayerSummaryTable[Player],0)),"")</f>
        <v/>
      </c>
      <c r="N141" t="str">
        <f>IFERROR(INDEX(PlayerSummaryTable[Receiving Yds],MATCH('Rankings Master'!D141,PlayerSummaryTable[Player],0)),"")</f>
        <v/>
      </c>
      <c r="O141" t="str">
        <f>IFERROR(INDEX(PlayerSummaryTable[Passing Yds],MATCH('Rankings Master'!D141,PlayerSummaryTable[Player],0)),"")</f>
        <v/>
      </c>
      <c r="U141" t="str">
        <f>IF(COUNTIF('Draft Log'!$B$2:$B$301,D141)&gt;0,"DRAFTED","")</f>
        <v>DRAFTED</v>
      </c>
      <c r="V141">
        <f>IFERROR(INDEX('Draft Log'!$A$2:$A$301,MATCH(D141,'Draft Log'!$B$2:$B$301,0)),"")</f>
        <v>131</v>
      </c>
      <c r="W141" t="str">
        <f>IFERROR(INDEX('Draft Log'!$C$2:$C$301,MATCH(D141,'Draft Log'!$B$2:$B$301,0)),"")</f>
        <v>Double Chubb Chocolate Cookie</v>
      </c>
    </row>
    <row r="142" spans="1:23">
      <c r="A142" s="1">
        <v>139</v>
      </c>
      <c r="B142" t="s">
        <v>676</v>
      </c>
      <c r="C142" t="s">
        <v>781</v>
      </c>
      <c r="D142" t="str">
        <f>IF($D$1="ESPN",INDEX(Table2[Mapped Name],MATCH('Rankings Master'!$A142,Table2[Overall Rank],0)),IF('Rankings Master'!$D$1="NFL.com",INDEX(Table3[Name Clean],MATCH('Rankings Master'!$A142,Table3[Rank],0)),IF('Rankings Master'!$D$1="Sleeper",INDEX(Sleeper!$B$2:$B$201,MATCH('Rankings Master'!$A142,Sleeper!$A$2:$A$201,0)),"Need platform")))</f>
        <v>RJ Harvey</v>
      </c>
      <c r="E142" t="str">
        <f>IF($D$1="ESPN",INDEX(Table2[Position],MATCH('Rankings Master'!$A142,Table2[Overall Rank],0)),IF('Rankings Master'!$D$1="NFL.com",INDEX(Table3[Position],MATCH('Rankings Master'!$A142,Table3[Rank],0)),INDEX(Sleeper!$C$2:$C$201,MATCH('Rankings Master'!A142,Sleeper!$A$2:$A$201,0))))</f>
        <v>RB</v>
      </c>
      <c r="F142">
        <f>INDEX(Table4[RK],MATCH('Rankings Master'!D142,Table4[PLAYER NAME],0))</f>
        <v>108</v>
      </c>
      <c r="G142">
        <f t="shared" si="19"/>
        <v>31</v>
      </c>
      <c r="H142">
        <f t="shared" si="20"/>
        <v>0.28703703703703703</v>
      </c>
      <c r="I142" t="str">
        <f t="shared" ref="I142:I173" si="23">IF(AND(H142 &gt; -1, H142 &lt;= -0.5), "Extremely Overvalued",
IF(AND(H142 &gt; -0.5, H142 &lt;= -0.15), "Pretty Overvalued",
IF(AND(H142 &gt; -0.15, H142 &lt; 0), "Slightly Overvalued",
IF(H142 = 0, "At ADP",
IF(AND(H142 &gt; 0, H142 &lt;= 0.15), "Slightly Undervalued",
IF(AND(H142 &gt; 0.15, H142 &lt;= 0.5), "Pretty Undervalued",
IF(AND(H142 &gt; 0.5, H142 &lt;= 1), "Extremely Undervalued", "")))))))</f>
        <v>Pretty Undervalued</v>
      </c>
      <c r="J142" t="str">
        <f t="shared" si="22"/>
        <v>Y</v>
      </c>
      <c r="K142">
        <f t="shared" si="21"/>
        <v>2</v>
      </c>
      <c r="L142" t="str">
        <f>IF(J142="M",COUNTIFS($J$4:J142,"M",$E$4:E142,E142)&amp;" - "&amp;K142,"N/A")</f>
        <v>N/A</v>
      </c>
      <c r="M142" t="str">
        <f>IFERROR(INDEX(PlayerSummaryTable[Rushing Yds],MATCH('Rankings Master'!D142,PlayerSummaryTable[Player],0)),"")</f>
        <v/>
      </c>
      <c r="N142" t="str">
        <f>IFERROR(INDEX(PlayerSummaryTable[Receiving Yds],MATCH('Rankings Master'!D142,PlayerSummaryTable[Player],0)),"")</f>
        <v/>
      </c>
      <c r="O142" t="str">
        <f>IFERROR(INDEX(PlayerSummaryTable[Passing Yds],MATCH('Rankings Master'!D142,PlayerSummaryTable[Player],0)),"")</f>
        <v/>
      </c>
      <c r="U142" t="str">
        <f>IF(COUNTIF('Draft Log'!$B$2:$B$301,D142)&gt;0,"DRAFTED","")</f>
        <v>DRAFTED</v>
      </c>
      <c r="V142">
        <f>IFERROR(INDEX('Draft Log'!$A$2:$A$301,MATCH(D142,'Draft Log'!$B$2:$B$301,0)),"")</f>
        <v>105</v>
      </c>
      <c r="W142" t="str">
        <f>IFERROR(INDEX('Draft Log'!$C$2:$C$301,MATCH(D142,'Draft Log'!$B$2:$B$301,0)),"")</f>
        <v>JJetts Skatt Hurts</v>
      </c>
    </row>
    <row r="143" spans="1:23">
      <c r="A143" s="1">
        <v>140</v>
      </c>
      <c r="B143" t="s">
        <v>585</v>
      </c>
      <c r="C143" t="s">
        <v>547</v>
      </c>
      <c r="D143" t="str">
        <f>IF($D$1="ESPN",INDEX(Table2[Mapped Name],MATCH('Rankings Master'!$A143,Table2[Overall Rank],0)),IF('Rankings Master'!$D$1="NFL.com",INDEX(Table3[Name Clean],MATCH('Rankings Master'!$A143,Table3[Rank],0)),IF('Rankings Master'!$D$1="Sleeper",INDEX(Sleeper!$B$2:$B$201,MATCH('Rankings Master'!$A143,Sleeper!$A$2:$A$201,0)),"Need platform")))</f>
        <v>Chris Rodriguez Jr.</v>
      </c>
      <c r="E143" t="str">
        <f>IF($D$1="ESPN",INDEX(Table2[Position],MATCH('Rankings Master'!$A143,Table2[Overall Rank],0)),IF('Rankings Master'!$D$1="NFL.com",INDEX(Table3[Position],MATCH('Rankings Master'!$A143,Table3[Rank],0)),INDEX(Sleeper!$C$2:$C$201,MATCH('Rankings Master'!A143,Sleeper!$A$2:$A$201,0))))</f>
        <v>RB</v>
      </c>
      <c r="F143">
        <f>INDEX(Table4[RK],MATCH('Rankings Master'!D143,Table4[PLAYER NAME],0))</f>
        <v>113</v>
      </c>
      <c r="G143">
        <f t="shared" si="19"/>
        <v>27</v>
      </c>
      <c r="H143">
        <f t="shared" si="20"/>
        <v>0.23893805309734514</v>
      </c>
      <c r="I143" t="str">
        <f t="shared" si="23"/>
        <v>Pretty Undervalued</v>
      </c>
      <c r="J143" t="str">
        <f t="shared" si="22"/>
        <v>M</v>
      </c>
      <c r="K143">
        <f t="shared" si="21"/>
        <v>2</v>
      </c>
      <c r="L143" t="str">
        <f>IF(J143="M",COUNTIFS($J$4:J143,"M",$E$4:E143,E143)&amp;" - "&amp;K143,"N/A")</f>
        <v>5 - 2</v>
      </c>
      <c r="M143" t="str">
        <f>IFERROR(INDEX(PlayerSummaryTable[Rushing Yds],MATCH('Rankings Master'!D143,PlayerSummaryTable[Player],0)),"")</f>
        <v/>
      </c>
      <c r="N143" t="str">
        <f>IFERROR(INDEX(PlayerSummaryTable[Receiving Yds],MATCH('Rankings Master'!D143,PlayerSummaryTable[Player],0)),"")</f>
        <v/>
      </c>
      <c r="O143" t="str">
        <f>IFERROR(INDEX(PlayerSummaryTable[Passing Yds],MATCH('Rankings Master'!D143,PlayerSummaryTable[Player],0)),"")</f>
        <v/>
      </c>
      <c r="U143" t="str">
        <f>IF(COUNTIF('Draft Log'!$B$2:$B$301,D143)&gt;0,"DRAFTED","")</f>
        <v>DRAFTED</v>
      </c>
      <c r="V143">
        <f>IFERROR(INDEX('Draft Log'!$A$2:$A$301,MATCH(D143,'Draft Log'!$B$2:$B$301,0)),"")</f>
        <v>133</v>
      </c>
      <c r="W143" t="str">
        <f>IFERROR(INDEX('Draft Log'!$C$2:$C$301,MATCH(D143,'Draft Log'!$B$2:$B$301,0)),"")</f>
        <v>Mustafa is Not Like Us</v>
      </c>
    </row>
    <row r="144" spans="1:23">
      <c r="A144" s="1">
        <v>141</v>
      </c>
      <c r="B144" t="s">
        <v>782</v>
      </c>
      <c r="C144" t="s">
        <v>783</v>
      </c>
      <c r="D144" t="str">
        <f>IF($D$1="ESPN",INDEX(Table2[Mapped Name],MATCH('Rankings Master'!$A144,Table2[Overall Rank],0)),IF('Rankings Master'!$D$1="NFL.com",INDEX(Table3[Name Clean],MATCH('Rankings Master'!$A144,Table3[Rank],0)),IF('Rankings Master'!$D$1="Sleeper",INDEX(Sleeper!$B$2:$B$201,MATCH('Rankings Master'!$A144,Sleeper!$A$2:$A$201,0)),"Need platform")))</f>
        <v>Tyjae Spears</v>
      </c>
      <c r="E144" t="str">
        <f>IF($D$1="ESPN",INDEX(Table2[Position],MATCH('Rankings Master'!$A144,Table2[Overall Rank],0)),IF('Rankings Master'!$D$1="NFL.com",INDEX(Table3[Position],MATCH('Rankings Master'!$A144,Table3[Rank],0)),INDEX(Sleeper!$C$2:$C$201,MATCH('Rankings Master'!A144,Sleeper!$A$2:$A$201,0))))</f>
        <v>RB</v>
      </c>
      <c r="F144">
        <f>INDEX(Table4[RK],MATCH('Rankings Master'!D144,Table4[PLAYER NAME],0))</f>
        <v>148</v>
      </c>
      <c r="G144">
        <f t="shared" si="19"/>
        <v>-7</v>
      </c>
      <c r="H144">
        <f t="shared" si="20"/>
        <v>-4.72972972972973E-2</v>
      </c>
      <c r="I144" t="str">
        <f t="shared" si="23"/>
        <v>Slightly Overvalued</v>
      </c>
      <c r="J144" t="str">
        <f t="shared" si="22"/>
        <v/>
      </c>
      <c r="K144">
        <f t="shared" si="21"/>
        <v>2</v>
      </c>
      <c r="L144" t="str">
        <f>IF(J144="M",COUNTIFS($J$4:J144,"M",$E$4:E144,E144)&amp;" - "&amp;K144,"N/A")</f>
        <v>N/A</v>
      </c>
      <c r="M144" t="str">
        <f>IFERROR(INDEX(PlayerSummaryTable[Rushing Yds],MATCH('Rankings Master'!D144,PlayerSummaryTable[Player],0)),"")</f>
        <v/>
      </c>
      <c r="N144" t="str">
        <f>IFERROR(INDEX(PlayerSummaryTable[Receiving Yds],MATCH('Rankings Master'!D144,PlayerSummaryTable[Player],0)),"")</f>
        <v/>
      </c>
      <c r="O144" t="str">
        <f>IFERROR(INDEX(PlayerSummaryTable[Passing Yds],MATCH('Rankings Master'!D144,PlayerSummaryTable[Player],0)),"")</f>
        <v/>
      </c>
      <c r="U144" t="str">
        <f>IF(COUNTIF('Draft Log'!$B$2:$B$301,D144)&gt;0,"DRAFTED","")</f>
        <v/>
      </c>
      <c r="V144" t="str">
        <f>IFERROR(INDEX('Draft Log'!$A$2:$A$301,MATCH(D144,'Draft Log'!$B$2:$B$301,0)),"")</f>
        <v/>
      </c>
      <c r="W144" t="str">
        <f>IFERROR(INDEX('Draft Log'!$C$2:$C$301,MATCH(D144,'Draft Log'!$B$2:$B$301,0)),"")</f>
        <v/>
      </c>
    </row>
    <row r="145" spans="1:23">
      <c r="A145" s="1">
        <v>142</v>
      </c>
      <c r="B145" t="s">
        <v>558</v>
      </c>
      <c r="C145" t="s">
        <v>784</v>
      </c>
      <c r="D145" t="str">
        <f>IF($D$1="ESPN",INDEX(Table2[Mapped Name],MATCH('Rankings Master'!$A145,Table2[Overall Rank],0)),IF('Rankings Master'!$D$1="NFL.com",INDEX(Table3[Name Clean],MATCH('Rankings Master'!$A145,Table3[Rank],0)),IF('Rankings Master'!$D$1="Sleeper",INDEX(Sleeper!$B$2:$B$201,MATCH('Rankings Master'!$A145,Sleeper!$A$2:$A$201,0)),"Need platform")))</f>
        <v>Mike Washington Jr.</v>
      </c>
      <c r="E145" t="str">
        <f>IF($D$1="ESPN",INDEX(Table2[Position],MATCH('Rankings Master'!$A145,Table2[Overall Rank],0)),IF('Rankings Master'!$D$1="NFL.com",INDEX(Table3[Position],MATCH('Rankings Master'!$A145,Table3[Rank],0)),INDEX(Sleeper!$C$2:$C$201,MATCH('Rankings Master'!A145,Sleeper!$A$2:$A$201,0))))</f>
        <v>RB</v>
      </c>
      <c r="F145">
        <f>INDEX(Table4[RK],MATCH('Rankings Master'!D145,Table4[PLAYER NAME],0))</f>
        <v>139</v>
      </c>
      <c r="G145">
        <f t="shared" si="19"/>
        <v>3</v>
      </c>
      <c r="H145">
        <f t="shared" si="20"/>
        <v>2.1582733812949641E-2</v>
      </c>
      <c r="I145" t="str">
        <f t="shared" si="23"/>
        <v>Slightly Undervalued</v>
      </c>
      <c r="J145" t="str">
        <f t="shared" si="22"/>
        <v>Y</v>
      </c>
      <c r="K145">
        <f t="shared" si="21"/>
        <v>2</v>
      </c>
      <c r="L145" t="str">
        <f>IF(J145="M",COUNTIFS($J$4:J145,"M",$E$4:E145,E145)&amp;" - "&amp;K145,"N/A")</f>
        <v>N/A</v>
      </c>
      <c r="M145" t="str">
        <f>IFERROR(INDEX(PlayerSummaryTable[Rushing Yds],MATCH('Rankings Master'!D145,PlayerSummaryTable[Player],0)),"")</f>
        <v/>
      </c>
      <c r="N145" t="str">
        <f>IFERROR(INDEX(PlayerSummaryTable[Receiving Yds],MATCH('Rankings Master'!D145,PlayerSummaryTable[Player],0)),"")</f>
        <v/>
      </c>
      <c r="O145" t="str">
        <f>IFERROR(INDEX(PlayerSummaryTable[Passing Yds],MATCH('Rankings Master'!D145,PlayerSummaryTable[Player],0)),"")</f>
        <v/>
      </c>
      <c r="U145" t="str">
        <f>IF(COUNTIF('Draft Log'!$B$2:$B$301,D145)&gt;0,"DRAFTED","")</f>
        <v>DRAFTED</v>
      </c>
      <c r="V145">
        <f>IFERROR(INDEX('Draft Log'!$A$2:$A$301,MATCH(D145,'Draft Log'!$B$2:$B$301,0)),"")</f>
        <v>101</v>
      </c>
      <c r="W145" t="str">
        <f>IFERROR(INDEX('Draft Log'!$C$2:$C$301,MATCH(D145,'Draft Log'!$B$2:$B$301,0)),"")</f>
        <v>Team Afeef</v>
      </c>
    </row>
    <row r="146" spans="1:23">
      <c r="A146" s="1">
        <v>143</v>
      </c>
      <c r="B146" t="s">
        <v>785</v>
      </c>
      <c r="C146" t="s">
        <v>786</v>
      </c>
      <c r="D146" t="str">
        <f>IF($D$1="ESPN",INDEX(Table2[Mapped Name],MATCH('Rankings Master'!$A146,Table2[Overall Rank],0)),IF('Rankings Master'!$D$1="NFL.com",INDEX(Table3[Name Clean],MATCH('Rankings Master'!$A146,Table3[Rank],0)),IF('Rankings Master'!$D$1="Sleeper",INDEX(Sleeper!$B$2:$B$201,MATCH('Rankings Master'!$A146,Sleeper!$A$2:$A$201,0)),"Need platform")))</f>
        <v>Brian Robinson Jr.</v>
      </c>
      <c r="E146" t="str">
        <f>IF($D$1="ESPN",INDEX(Table2[Position],MATCH('Rankings Master'!$A146,Table2[Overall Rank],0)),IF('Rankings Master'!$D$1="NFL.com",INDEX(Table3[Position],MATCH('Rankings Master'!$A146,Table3[Rank],0)),INDEX(Sleeper!$C$2:$C$201,MATCH('Rankings Master'!A146,Sleeper!$A$2:$A$201,0))))</f>
        <v>RB</v>
      </c>
      <c r="F146">
        <f>INDEX(Table4[RK],MATCH('Rankings Master'!D146,Table4[PLAYER NAME],0))</f>
        <v>149</v>
      </c>
      <c r="G146">
        <f t="shared" si="19"/>
        <v>-6</v>
      </c>
      <c r="H146">
        <f t="shared" si="20"/>
        <v>-4.0268456375838924E-2</v>
      </c>
      <c r="I146" t="str">
        <f t="shared" si="23"/>
        <v>Slightly Overvalued</v>
      </c>
      <c r="J146" t="str">
        <f t="shared" si="22"/>
        <v>Y</v>
      </c>
      <c r="K146">
        <f t="shared" si="21"/>
        <v>2</v>
      </c>
      <c r="L146" t="str">
        <f>IF(J146="M",COUNTIFS($J$4:J146,"M",$E$4:E146,E146)&amp;" - "&amp;K146,"N/A")</f>
        <v>N/A</v>
      </c>
      <c r="M146" t="str">
        <f>IFERROR(INDEX(PlayerSummaryTable[Rushing Yds],MATCH('Rankings Master'!D146,PlayerSummaryTable[Player],0)),"")</f>
        <v/>
      </c>
      <c r="N146" t="str">
        <f>IFERROR(INDEX(PlayerSummaryTable[Receiving Yds],MATCH('Rankings Master'!D146,PlayerSummaryTable[Player],0)),"")</f>
        <v/>
      </c>
      <c r="O146" t="str">
        <f>IFERROR(INDEX(PlayerSummaryTable[Passing Yds],MATCH('Rankings Master'!D146,PlayerSummaryTable[Player],0)),"")</f>
        <v/>
      </c>
      <c r="U146" t="str">
        <f>IF(COUNTIF('Draft Log'!$B$2:$B$301,D146)&gt;0,"DRAFTED","")</f>
        <v>DRAFTED</v>
      </c>
      <c r="V146">
        <f>IFERROR(INDEX('Draft Log'!$A$2:$A$301,MATCH(D146,'Draft Log'!$B$2:$B$301,0)),"")</f>
        <v>167</v>
      </c>
      <c r="W146" t="str">
        <f>IFERROR(INDEX('Draft Log'!$C$2:$C$301,MATCH(D146,'Draft Log'!$B$2:$B$301,0)),"")</f>
        <v>Eight Bell Tolls</v>
      </c>
    </row>
    <row r="147" spans="1:23">
      <c r="A147" s="1">
        <v>144</v>
      </c>
      <c r="B147" t="s">
        <v>787</v>
      </c>
      <c r="C147" t="s">
        <v>788</v>
      </c>
      <c r="D147" t="str">
        <f>IF($D$1="ESPN",INDEX(Table2[Mapped Name],MATCH('Rankings Master'!$A147,Table2[Overall Rank],0)),IF('Rankings Master'!$D$1="NFL.com",INDEX(Table3[Name Clean],MATCH('Rankings Master'!$A147,Table3[Rank],0)),IF('Rankings Master'!$D$1="Sleeper",INDEX(Sleeper!$B$2:$B$201,MATCH('Rankings Master'!$A147,Sleeper!$A$2:$A$201,0)),"Need platform")))</f>
        <v>Denzel Boston</v>
      </c>
      <c r="E147" t="str">
        <f>IF($D$1="ESPN",INDEX(Table2[Position],MATCH('Rankings Master'!$A147,Table2[Overall Rank],0)),IF('Rankings Master'!$D$1="NFL.com",INDEX(Table3[Position],MATCH('Rankings Master'!$A147,Table3[Rank],0)),INDEX(Sleeper!$C$2:$C$201,MATCH('Rankings Master'!A147,Sleeper!$A$2:$A$201,0))))</f>
        <v>WR</v>
      </c>
      <c r="F147">
        <f>INDEX(Table4[RK],MATCH('Rankings Master'!D147,Table4[PLAYER NAME],0))</f>
        <v>153</v>
      </c>
      <c r="G147">
        <f t="shared" si="19"/>
        <v>-9</v>
      </c>
      <c r="H147">
        <f t="shared" si="20"/>
        <v>-5.8823529411764705E-2</v>
      </c>
      <c r="I147" t="str">
        <f t="shared" si="23"/>
        <v>Slightly Overvalued</v>
      </c>
      <c r="J147" t="str">
        <f t="shared" si="22"/>
        <v/>
      </c>
      <c r="K147">
        <f t="shared" si="21"/>
        <v>3</v>
      </c>
      <c r="L147" t="str">
        <f>IF(J147="M",COUNTIFS($J$4:J147,"M",$E$4:E147,E147)&amp;" - "&amp;K147,"N/A")</f>
        <v>N/A</v>
      </c>
      <c r="M147" t="str">
        <f>IFERROR(INDEX(PlayerSummaryTable[Rushing Yds],MATCH('Rankings Master'!D147,PlayerSummaryTable[Player],0)),"")</f>
        <v>N/A</v>
      </c>
      <c r="N147">
        <f>IFERROR(INDEX(PlayerSummaryTable[Receiving Yds],MATCH('Rankings Master'!D147,PlayerSummaryTable[Player],0)),"")</f>
        <v>499.5</v>
      </c>
      <c r="O147" t="str">
        <f>IFERROR(INDEX(PlayerSummaryTable[Passing Yds],MATCH('Rankings Master'!D147,PlayerSummaryTable[Player],0)),"")</f>
        <v>N/A</v>
      </c>
      <c r="U147" t="str">
        <f>IF(COUNTIF('Draft Log'!$B$2:$B$301,D147)&gt;0,"DRAFTED","")</f>
        <v/>
      </c>
      <c r="V147" t="str">
        <f>IFERROR(INDEX('Draft Log'!$A$2:$A$301,MATCH(D147,'Draft Log'!$B$2:$B$301,0)),"")</f>
        <v/>
      </c>
      <c r="W147" t="str">
        <f>IFERROR(INDEX('Draft Log'!$C$2:$C$301,MATCH(D147,'Draft Log'!$B$2:$B$301,0)),"")</f>
        <v/>
      </c>
    </row>
    <row r="148" spans="1:23">
      <c r="A148" s="1">
        <v>145</v>
      </c>
      <c r="B148" t="s">
        <v>789</v>
      </c>
      <c r="C148" t="s">
        <v>790</v>
      </c>
      <c r="D148" t="str">
        <f>IF($D$1="ESPN",INDEX(Table2[Mapped Name],MATCH('Rankings Master'!$A148,Table2[Overall Rank],0)),IF('Rankings Master'!$D$1="NFL.com",INDEX(Table3[Name Clean],MATCH('Rankings Master'!$A148,Table3[Rank],0)),IF('Rankings Master'!$D$1="Sleeper",INDEX(Sleeper!$B$2:$B$201,MATCH('Rankings Master'!$A148,Sleeper!$A$2:$A$201,0)),"Need platform")))</f>
        <v>Jerry Jeudy</v>
      </c>
      <c r="E148" t="str">
        <f>IF($D$1="ESPN",INDEX(Table2[Position],MATCH('Rankings Master'!$A148,Table2[Overall Rank],0)),IF('Rankings Master'!$D$1="NFL.com",INDEX(Table3[Position],MATCH('Rankings Master'!$A148,Table3[Rank],0)),INDEX(Sleeper!$C$2:$C$201,MATCH('Rankings Master'!A148,Sleeper!$A$2:$A$201,0))))</f>
        <v>WR</v>
      </c>
      <c r="F148">
        <f>INDEX(Table4[RK],MATCH('Rankings Master'!D148,Table4[PLAYER NAME],0))</f>
        <v>170</v>
      </c>
      <c r="G148">
        <f t="shared" si="19"/>
        <v>-25</v>
      </c>
      <c r="H148">
        <f t="shared" si="20"/>
        <v>-0.14705882352941177</v>
      </c>
      <c r="I148" t="str">
        <f t="shared" si="23"/>
        <v>Slightly Overvalued</v>
      </c>
      <c r="J148" t="str">
        <f t="shared" si="22"/>
        <v/>
      </c>
      <c r="K148">
        <f t="shared" si="21"/>
        <v>3</v>
      </c>
      <c r="L148" t="str">
        <f>IF(J148="M",COUNTIFS($J$4:J148,"M",$E$4:E148,E148)&amp;" - "&amp;K148,"N/A")</f>
        <v>N/A</v>
      </c>
      <c r="M148" t="str">
        <f>IFERROR(INDEX(PlayerSummaryTable[Rushing Yds],MATCH('Rankings Master'!D148,PlayerSummaryTable[Player],0)),"")</f>
        <v>N/A</v>
      </c>
      <c r="N148">
        <f>IFERROR(INDEX(PlayerSummaryTable[Receiving Yds],MATCH('Rankings Master'!D148,PlayerSummaryTable[Player],0)),"")</f>
        <v>549.5</v>
      </c>
      <c r="O148" t="str">
        <f>IFERROR(INDEX(PlayerSummaryTable[Passing Yds],MATCH('Rankings Master'!D148,PlayerSummaryTable[Player],0)),"")</f>
        <v>N/A</v>
      </c>
      <c r="U148" t="str">
        <f>IF(COUNTIF('Draft Log'!$B$2:$B$301,D148)&gt;0,"DRAFTED","")</f>
        <v/>
      </c>
      <c r="V148" t="str">
        <f>IFERROR(INDEX('Draft Log'!$A$2:$A$301,MATCH(D148,'Draft Log'!$B$2:$B$301,0)),"")</f>
        <v/>
      </c>
      <c r="W148" t="str">
        <f>IFERROR(INDEX('Draft Log'!$C$2:$C$301,MATCH(D148,'Draft Log'!$B$2:$B$301,0)),"")</f>
        <v/>
      </c>
    </row>
    <row r="149" spans="1:23">
      <c r="A149" s="1">
        <v>146</v>
      </c>
      <c r="B149" t="s">
        <v>625</v>
      </c>
      <c r="C149" t="s">
        <v>791</v>
      </c>
      <c r="D149" t="str">
        <f>IF($D$1="ESPN",INDEX(Table2[Mapped Name],MATCH('Rankings Master'!$A149,Table2[Overall Rank],0)),IF('Rankings Master'!$D$1="NFL.com",INDEX(Table3[Name Clean],MATCH('Rankings Master'!$A149,Table3[Rank],0)),IF('Rankings Master'!$D$1="Sleeper",INDEX(Sleeper!$B$2:$B$201,MATCH('Rankings Master'!$A149,Sleeper!$A$2:$A$201,0)),"Need platform")))</f>
        <v>Calvin Ridley</v>
      </c>
      <c r="E149" t="str">
        <f>IF($D$1="ESPN",INDEX(Table2[Position],MATCH('Rankings Master'!$A149,Table2[Overall Rank],0)),IF('Rankings Master'!$D$1="NFL.com",INDEX(Table3[Position],MATCH('Rankings Master'!$A149,Table3[Rank],0)),INDEX(Sleeper!$C$2:$C$201,MATCH('Rankings Master'!A149,Sleeper!$A$2:$A$201,0))))</f>
        <v>WR</v>
      </c>
      <c r="F149">
        <f>INDEX(Table4[RK],MATCH('Rankings Master'!D149,Table4[PLAYER NAME],0))</f>
        <v>189</v>
      </c>
      <c r="G149">
        <f t="shared" si="19"/>
        <v>-43</v>
      </c>
      <c r="H149">
        <f t="shared" si="20"/>
        <v>-0.2275132275132275</v>
      </c>
      <c r="I149" t="str">
        <f t="shared" si="23"/>
        <v>Pretty Overvalued</v>
      </c>
      <c r="J149" t="str">
        <f t="shared" si="22"/>
        <v/>
      </c>
      <c r="K149">
        <f t="shared" si="21"/>
        <v>3</v>
      </c>
      <c r="L149" t="str">
        <f>IF(J149="M",COUNTIFS($J$4:J149,"M",$E$4:E149,E149)&amp;" - "&amp;K149,"N/A")</f>
        <v>N/A</v>
      </c>
      <c r="M149" t="str">
        <f>IFERROR(INDEX(PlayerSummaryTable[Rushing Yds],MATCH('Rankings Master'!D149,PlayerSummaryTable[Player],0)),"")</f>
        <v/>
      </c>
      <c r="N149" t="str">
        <f>IFERROR(INDEX(PlayerSummaryTable[Receiving Yds],MATCH('Rankings Master'!D149,PlayerSummaryTable[Player],0)),"")</f>
        <v/>
      </c>
      <c r="O149" t="str">
        <f>IFERROR(INDEX(PlayerSummaryTable[Passing Yds],MATCH('Rankings Master'!D149,PlayerSummaryTable[Player],0)),"")</f>
        <v/>
      </c>
      <c r="U149" t="str">
        <f>IF(COUNTIF('Draft Log'!$B$2:$B$301,D149)&gt;0,"DRAFTED","")</f>
        <v/>
      </c>
      <c r="V149" t="str">
        <f>IFERROR(INDEX('Draft Log'!$A$2:$A$301,MATCH(D149,'Draft Log'!$B$2:$B$301,0)),"")</f>
        <v/>
      </c>
      <c r="W149" t="str">
        <f>IFERROR(INDEX('Draft Log'!$C$2:$C$301,MATCH(D149,'Draft Log'!$B$2:$B$301,0)),"")</f>
        <v/>
      </c>
    </row>
    <row r="150" spans="1:23">
      <c r="A150" s="1">
        <v>147</v>
      </c>
      <c r="B150" t="s">
        <v>613</v>
      </c>
      <c r="C150" t="s">
        <v>792</v>
      </c>
      <c r="D150" t="str">
        <f>IF($D$1="ESPN",INDEX(Table2[Mapped Name],MATCH('Rankings Master'!$A150,Table2[Overall Rank],0)),IF('Rankings Master'!$D$1="NFL.com",INDEX(Table3[Name Clean],MATCH('Rankings Master'!$A150,Table3[Rank],0)),IF('Rankings Master'!$D$1="Sleeper",INDEX(Sleeper!$B$2:$B$201,MATCH('Rankings Master'!$A150,Sleeper!$A$2:$A$201,0)),"Need platform")))</f>
        <v>Adonai Mitchell</v>
      </c>
      <c r="E150" t="str">
        <f>IF($D$1="ESPN",INDEX(Table2[Position],MATCH('Rankings Master'!$A150,Table2[Overall Rank],0)),IF('Rankings Master'!$D$1="NFL.com",INDEX(Table3[Position],MATCH('Rankings Master'!$A150,Table3[Rank],0)),INDEX(Sleeper!$C$2:$C$201,MATCH('Rankings Master'!A150,Sleeper!$A$2:$A$201,0))))</f>
        <v>WR</v>
      </c>
      <c r="F150">
        <f>INDEX(Table4[RK],MATCH('Rankings Master'!D150,Table4[PLAYER NAME],0))</f>
        <v>159</v>
      </c>
      <c r="G150">
        <f t="shared" si="19"/>
        <v>-12</v>
      </c>
      <c r="H150">
        <f t="shared" si="20"/>
        <v>-7.5471698113207544E-2</v>
      </c>
      <c r="I150" t="str">
        <f t="shared" si="23"/>
        <v>Slightly Overvalued</v>
      </c>
      <c r="J150" t="str">
        <f t="shared" si="22"/>
        <v/>
      </c>
      <c r="K150">
        <f t="shared" si="21"/>
        <v>3</v>
      </c>
      <c r="L150" t="str">
        <f>IF(J150="M",COUNTIFS($J$4:J150,"M",$E$4:E150,E150)&amp;" - "&amp;K150,"N/A")</f>
        <v>N/A</v>
      </c>
      <c r="M150" t="str">
        <f>IFERROR(INDEX(PlayerSummaryTable[Rushing Yds],MATCH('Rankings Master'!D150,PlayerSummaryTable[Player],0)),"")</f>
        <v/>
      </c>
      <c r="N150" t="str">
        <f>IFERROR(INDEX(PlayerSummaryTable[Receiving Yds],MATCH('Rankings Master'!D150,PlayerSummaryTable[Player],0)),"")</f>
        <v/>
      </c>
      <c r="O150" t="str">
        <f>IFERROR(INDEX(PlayerSummaryTable[Passing Yds],MATCH('Rankings Master'!D150,PlayerSummaryTable[Player],0)),"")</f>
        <v/>
      </c>
      <c r="U150" t="str">
        <f>IF(COUNTIF('Draft Log'!$B$2:$B$301,D150)&gt;0,"DRAFTED","")</f>
        <v/>
      </c>
      <c r="V150" t="str">
        <f>IFERROR(INDEX('Draft Log'!$A$2:$A$301,MATCH(D150,'Draft Log'!$B$2:$B$301,0)),"")</f>
        <v/>
      </c>
      <c r="W150" t="str">
        <f>IFERROR(INDEX('Draft Log'!$C$2:$C$301,MATCH(D150,'Draft Log'!$B$2:$B$301,0)),"")</f>
        <v/>
      </c>
    </row>
    <row r="151" spans="1:23">
      <c r="A151" s="1">
        <v>148</v>
      </c>
      <c r="B151" t="s">
        <v>793</v>
      </c>
      <c r="C151" t="s">
        <v>547</v>
      </c>
      <c r="D151" t="str">
        <f>IF($D$1="ESPN",INDEX(Table2[Mapped Name],MATCH('Rankings Master'!$A151,Table2[Overall Rank],0)),IF('Rankings Master'!$D$1="NFL.com",INDEX(Table3[Name Clean],MATCH('Rankings Master'!$A151,Table3[Rank],0)),IF('Rankings Master'!$D$1="Sleeper",INDEX(Sleeper!$B$2:$B$201,MATCH('Rankings Master'!$A151,Sleeper!$A$2:$A$201,0)),"Need platform")))</f>
        <v>Caleb Douglas</v>
      </c>
      <c r="E151" t="str">
        <f>IF($D$1="ESPN",INDEX(Table2[Position],MATCH('Rankings Master'!$A151,Table2[Overall Rank],0)),IF('Rankings Master'!$D$1="NFL.com",INDEX(Table3[Position],MATCH('Rankings Master'!$A151,Table3[Rank],0)),INDEX(Sleeper!$C$2:$C$201,MATCH('Rankings Master'!A151,Sleeper!$A$2:$A$201,0))))</f>
        <v>WR</v>
      </c>
      <c r="F151">
        <f>INDEX(Table4[RK],MATCH('Rankings Master'!D151,Table4[PLAYER NAME],0))</f>
        <v>230</v>
      </c>
      <c r="G151">
        <f t="shared" si="19"/>
        <v>-82</v>
      </c>
      <c r="H151">
        <f t="shared" si="20"/>
        <v>-0.35652173913043478</v>
      </c>
      <c r="I151" t="str">
        <f t="shared" si="23"/>
        <v>Pretty Overvalued</v>
      </c>
      <c r="J151" t="str">
        <f t="shared" si="22"/>
        <v/>
      </c>
      <c r="K151">
        <f t="shared" si="21"/>
        <v>3</v>
      </c>
      <c r="L151" t="str">
        <f>IF(J151="M",COUNTIFS($J$4:J151,"M",$E$4:E151,E151)&amp;" - "&amp;K151,"N/A")</f>
        <v>N/A</v>
      </c>
      <c r="M151" t="str">
        <f>IFERROR(INDEX(PlayerSummaryTable[Rushing Yds],MATCH('Rankings Master'!D151,PlayerSummaryTable[Player],0)),"")</f>
        <v/>
      </c>
      <c r="N151" t="str">
        <f>IFERROR(INDEX(PlayerSummaryTable[Receiving Yds],MATCH('Rankings Master'!D151,PlayerSummaryTable[Player],0)),"")</f>
        <v/>
      </c>
      <c r="O151" t="str">
        <f>IFERROR(INDEX(PlayerSummaryTable[Passing Yds],MATCH('Rankings Master'!D151,PlayerSummaryTable[Player],0)),"")</f>
        <v/>
      </c>
      <c r="U151" t="str">
        <f>IF(COUNTIF('Draft Log'!$B$2:$B$301,D151)&gt;0,"DRAFTED","")</f>
        <v/>
      </c>
      <c r="V151" t="str">
        <f>IFERROR(INDEX('Draft Log'!$A$2:$A$301,MATCH(D151,'Draft Log'!$B$2:$B$301,0)),"")</f>
        <v/>
      </c>
      <c r="W151" t="str">
        <f>IFERROR(INDEX('Draft Log'!$C$2:$C$301,MATCH(D151,'Draft Log'!$B$2:$B$301,0)),"")</f>
        <v/>
      </c>
    </row>
    <row r="152" spans="1:23">
      <c r="A152" s="1">
        <v>149</v>
      </c>
      <c r="B152" t="s">
        <v>794</v>
      </c>
      <c r="C152" t="s">
        <v>795</v>
      </c>
      <c r="D152" t="str">
        <f>IF($D$1="ESPN",INDEX(Table2[Mapped Name],MATCH('Rankings Master'!$A152,Table2[Overall Rank],0)),IF('Rankings Master'!$D$1="NFL.com",INDEX(Table3[Name Clean],MATCH('Rankings Master'!$A152,Table3[Rank],0)),IF('Rankings Master'!$D$1="Sleeper",INDEX(Sleeper!$B$2:$B$201,MATCH('Rankings Master'!$A152,Sleeper!$A$2:$A$201,0)),"Need platform")))</f>
        <v>Baker Mayfield</v>
      </c>
      <c r="E152" t="str">
        <f>IF($D$1="ESPN",INDEX(Table2[Position],MATCH('Rankings Master'!$A152,Table2[Overall Rank],0)),IF('Rankings Master'!$D$1="NFL.com",INDEX(Table3[Position],MATCH('Rankings Master'!$A152,Table3[Rank],0)),INDEX(Sleeper!$C$2:$C$201,MATCH('Rankings Master'!A152,Sleeper!$A$2:$A$201,0))))</f>
        <v>QB</v>
      </c>
      <c r="F152">
        <f>INDEX(Table4[RK],MATCH('Rankings Master'!D152,Table4[PLAYER NAME],0))</f>
        <v>120</v>
      </c>
      <c r="G152">
        <f t="shared" si="19"/>
        <v>29</v>
      </c>
      <c r="H152">
        <f t="shared" si="20"/>
        <v>0.24166666666666667</v>
      </c>
      <c r="I152" t="str">
        <f t="shared" si="23"/>
        <v>Pretty Undervalued</v>
      </c>
      <c r="J152" t="str">
        <f t="shared" si="22"/>
        <v>Y</v>
      </c>
      <c r="K152">
        <f t="shared" si="21"/>
        <v>1</v>
      </c>
      <c r="L152" t="str">
        <f>IF(J152="M",COUNTIFS($J$4:J152,"M",$E$4:E152,E152)&amp;" - "&amp;K152,"N/A")</f>
        <v>N/A</v>
      </c>
      <c r="M152" t="str">
        <f>IFERROR(INDEX(PlayerSummaryTable[Rushing Yds],MATCH('Rankings Master'!D152,PlayerSummaryTable[Player],0)),"")</f>
        <v>N/A</v>
      </c>
      <c r="N152" t="str">
        <f>IFERROR(INDEX(PlayerSummaryTable[Receiving Yds],MATCH('Rankings Master'!D152,PlayerSummaryTable[Player],0)),"")</f>
        <v>N/A</v>
      </c>
      <c r="O152">
        <f>IFERROR(INDEX(PlayerSummaryTable[Passing Yds],MATCH('Rankings Master'!D152,PlayerSummaryTable[Player],0)),"")</f>
        <v>3599.5</v>
      </c>
      <c r="U152" t="str">
        <f>IF(COUNTIF('Draft Log'!$B$2:$B$301,D152)&gt;0,"DRAFTED","")</f>
        <v>DRAFTED</v>
      </c>
      <c r="V152">
        <f>IFERROR(INDEX('Draft Log'!$A$2:$A$301,MATCH(D152,'Draft Log'!$B$2:$B$301,0)),"")</f>
        <v>147</v>
      </c>
      <c r="W152" t="str">
        <f>IFERROR(INDEX('Draft Log'!$C$2:$C$301,MATCH(D152,'Draft Log'!$B$2:$B$301,0)),"")</f>
        <v>Eight Bell Tolls</v>
      </c>
    </row>
    <row r="153" spans="1:23">
      <c r="A153" s="1">
        <v>150</v>
      </c>
      <c r="B153" t="s">
        <v>796</v>
      </c>
      <c r="C153" t="s">
        <v>592</v>
      </c>
      <c r="D153" t="str">
        <f>IF($D$1="ESPN",INDEX(Table2[Mapped Name],MATCH('Rankings Master'!$A153,Table2[Overall Rank],0)),IF('Rankings Master'!$D$1="NFL.com",INDEX(Table3[Name Clean],MATCH('Rankings Master'!$A153,Table3[Rank],0)),IF('Rankings Master'!$D$1="Sleeper",INDEX(Sleeper!$B$2:$B$201,MATCH('Rankings Master'!$A153,Sleeper!$A$2:$A$201,0)),"Need platform")))</f>
        <v>Malik Willis</v>
      </c>
      <c r="E153" t="str">
        <f>IF($D$1="ESPN",INDEX(Table2[Position],MATCH('Rankings Master'!$A153,Table2[Overall Rank],0)),IF('Rankings Master'!$D$1="NFL.com",INDEX(Table3[Position],MATCH('Rankings Master'!$A153,Table3[Rank],0)),INDEX(Sleeper!$C$2:$C$201,MATCH('Rankings Master'!A153,Sleeper!$A$2:$A$201,0))))</f>
        <v>QB</v>
      </c>
      <c r="F153">
        <f>INDEX(Table4[RK],MATCH('Rankings Master'!D153,Table4[PLAYER NAME],0))</f>
        <v>132</v>
      </c>
      <c r="G153">
        <f t="shared" si="19"/>
        <v>18</v>
      </c>
      <c r="H153">
        <f t="shared" si="20"/>
        <v>0.13636363636363635</v>
      </c>
      <c r="I153" t="str">
        <f t="shared" si="23"/>
        <v>Slightly Undervalued</v>
      </c>
      <c r="J153" t="str">
        <f t="shared" si="22"/>
        <v/>
      </c>
      <c r="K153">
        <f t="shared" si="21"/>
        <v>1</v>
      </c>
      <c r="L153" t="str">
        <f>IF(J153="M",COUNTIFS($J$4:J153,"M",$E$4:E153,E153)&amp;" - "&amp;K153,"N/A")</f>
        <v>N/A</v>
      </c>
      <c r="M153">
        <f>IFERROR(INDEX(PlayerSummaryTable[Rushing Yds],MATCH('Rankings Master'!D153,PlayerSummaryTable[Player],0)),"")</f>
        <v>549.5</v>
      </c>
      <c r="N153" t="str">
        <f>IFERROR(INDEX(PlayerSummaryTable[Receiving Yds],MATCH('Rankings Master'!D153,PlayerSummaryTable[Player],0)),"")</f>
        <v>N/A</v>
      </c>
      <c r="O153">
        <f>IFERROR(INDEX(PlayerSummaryTable[Passing Yds],MATCH('Rankings Master'!D153,PlayerSummaryTable[Player],0)),"")</f>
        <v>2949.5</v>
      </c>
      <c r="U153" t="str">
        <f>IF(COUNTIF('Draft Log'!$B$2:$B$301,D153)&gt;0,"DRAFTED","")</f>
        <v/>
      </c>
      <c r="V153" t="str">
        <f>IFERROR(INDEX('Draft Log'!$A$2:$A$301,MATCH(D153,'Draft Log'!$B$2:$B$301,0)),"")</f>
        <v/>
      </c>
      <c r="W153" t="str">
        <f>IFERROR(INDEX('Draft Log'!$C$2:$C$301,MATCH(D153,'Draft Log'!$B$2:$B$301,0)),"")</f>
        <v/>
      </c>
    </row>
    <row r="154" spans="1:23">
      <c r="A154" s="1">
        <v>151</v>
      </c>
      <c r="B154" t="s">
        <v>797</v>
      </c>
      <c r="C154" t="s">
        <v>798</v>
      </c>
      <c r="D154" t="str">
        <f>IF($D$1="ESPN",INDEX(Table2[Mapped Name],MATCH('Rankings Master'!$A154,Table2[Overall Rank],0)),IF('Rankings Master'!$D$1="NFL.com",INDEX(Table3[Name Clean],MATCH('Rankings Master'!$A154,Table3[Rank],0)),IF('Rankings Master'!$D$1="Sleeper",INDEX(Sleeper!$B$2:$B$201,MATCH('Rankings Master'!$A154,Sleeper!$A$2:$A$201,0)),"Need platform")))</f>
        <v>Jordyn Tyson</v>
      </c>
      <c r="E154" t="str">
        <f>IF($D$1="ESPN",INDEX(Table2[Position],MATCH('Rankings Master'!$A154,Table2[Overall Rank],0)),IF('Rankings Master'!$D$1="NFL.com",INDEX(Table3[Position],MATCH('Rankings Master'!$A154,Table3[Rank],0)),INDEX(Sleeper!$C$2:$C$201,MATCH('Rankings Master'!A154,Sleeper!$A$2:$A$201,0))))</f>
        <v>WR</v>
      </c>
      <c r="F154">
        <f>INDEX(Table4[RK],MATCH('Rankings Master'!D154,Table4[PLAYER NAME],0))</f>
        <v>142</v>
      </c>
      <c r="G154">
        <f t="shared" si="19"/>
        <v>9</v>
      </c>
      <c r="H154">
        <f t="shared" si="20"/>
        <v>6.3380281690140844E-2</v>
      </c>
      <c r="I154" t="str">
        <f t="shared" si="23"/>
        <v>Slightly Undervalued</v>
      </c>
      <c r="J154" t="str">
        <f t="shared" si="22"/>
        <v>Y</v>
      </c>
      <c r="K154">
        <f t="shared" si="21"/>
        <v>3</v>
      </c>
      <c r="L154" t="str">
        <f>IF(J154="M",COUNTIFS($J$4:J154,"M",$E$4:E154,E154)&amp;" - "&amp;K154,"N/A")</f>
        <v>N/A</v>
      </c>
      <c r="M154" t="str">
        <f>IFERROR(INDEX(PlayerSummaryTable[Rushing Yds],MATCH('Rankings Master'!D154,PlayerSummaryTable[Player],0)),"")</f>
        <v>N/A</v>
      </c>
      <c r="N154">
        <f>IFERROR(INDEX(PlayerSummaryTable[Receiving Yds],MATCH('Rankings Master'!D154,PlayerSummaryTable[Player],0)),"")</f>
        <v>774.5</v>
      </c>
      <c r="O154" t="str">
        <f>IFERROR(INDEX(PlayerSummaryTable[Passing Yds],MATCH('Rankings Master'!D154,PlayerSummaryTable[Player],0)),"")</f>
        <v>N/A</v>
      </c>
      <c r="U154" t="str">
        <f>IF(COUNTIF('Draft Log'!$B$2:$B$301,D154)&gt;0,"DRAFTED","")</f>
        <v>DRAFTED</v>
      </c>
      <c r="V154">
        <f>IFERROR(INDEX('Draft Log'!$A$2:$A$301,MATCH(D154,'Draft Log'!$B$2:$B$301,0)),"")</f>
        <v>120</v>
      </c>
      <c r="W154" t="str">
        <f>IFERROR(INDEX('Draft Log'!$C$2:$C$301,MATCH(D154,'Draft Log'!$B$2:$B$301,0)),"")</f>
        <v>Team Afeef</v>
      </c>
    </row>
    <row r="155" spans="1:23">
      <c r="A155" s="1">
        <v>152</v>
      </c>
      <c r="B155" t="s">
        <v>799</v>
      </c>
      <c r="C155" t="s">
        <v>800</v>
      </c>
      <c r="D155" t="str">
        <f>IF($D$1="ESPN",INDEX(Table2[Mapped Name],MATCH('Rankings Master'!$A155,Table2[Overall Rank],0)),IF('Rankings Master'!$D$1="NFL.com",INDEX(Table3[Name Clean],MATCH('Rankings Master'!$A155,Table3[Rank],0)),IF('Rankings Master'!$D$1="Sleeper",INDEX(Sleeper!$B$2:$B$201,MATCH('Rankings Master'!$A155,Sleeper!$A$2:$A$201,0)),"Need platform")))</f>
        <v>Tre Tucker</v>
      </c>
      <c r="E155" t="str">
        <f>IF($D$1="ESPN",INDEX(Table2[Position],MATCH('Rankings Master'!$A155,Table2[Overall Rank],0)),IF('Rankings Master'!$D$1="NFL.com",INDEX(Table3[Position],MATCH('Rankings Master'!$A155,Table3[Rank],0)),INDEX(Sleeper!$C$2:$C$201,MATCH('Rankings Master'!A155,Sleeper!$A$2:$A$201,0))))</f>
        <v>WR</v>
      </c>
      <c r="F155">
        <f>INDEX(Table4[RK],MATCH('Rankings Master'!D155,Table4[PLAYER NAME],0))</f>
        <v>155</v>
      </c>
      <c r="G155">
        <f t="shared" si="19"/>
        <v>-3</v>
      </c>
      <c r="H155">
        <f t="shared" si="20"/>
        <v>-1.935483870967742E-2</v>
      </c>
      <c r="I155" t="str">
        <f t="shared" si="23"/>
        <v>Slightly Overvalued</v>
      </c>
      <c r="J155" t="str">
        <f t="shared" si="22"/>
        <v/>
      </c>
      <c r="K155">
        <f t="shared" si="21"/>
        <v>3</v>
      </c>
      <c r="L155" t="str">
        <f>IF(J155="M",COUNTIFS($J$4:J155,"M",$E$4:E155,E155)&amp;" - "&amp;K155,"N/A")</f>
        <v>N/A</v>
      </c>
      <c r="M155" t="str">
        <f>IFERROR(INDEX(PlayerSummaryTable[Rushing Yds],MATCH('Rankings Master'!D155,PlayerSummaryTable[Player],0)),"")</f>
        <v>N/A</v>
      </c>
      <c r="N155">
        <f>IFERROR(INDEX(PlayerSummaryTable[Receiving Yds],MATCH('Rankings Master'!D155,PlayerSummaryTable[Player],0)),"")</f>
        <v>574.5</v>
      </c>
      <c r="O155" t="str">
        <f>IFERROR(INDEX(PlayerSummaryTable[Passing Yds],MATCH('Rankings Master'!D155,PlayerSummaryTable[Player],0)),"")</f>
        <v>N/A</v>
      </c>
      <c r="U155" t="str">
        <f>IF(COUNTIF('Draft Log'!$B$2:$B$301,D155)&gt;0,"DRAFTED","")</f>
        <v/>
      </c>
      <c r="V155" t="str">
        <f>IFERROR(INDEX('Draft Log'!$A$2:$A$301,MATCH(D155,'Draft Log'!$B$2:$B$301,0)),"")</f>
        <v/>
      </c>
      <c r="W155" t="str">
        <f>IFERROR(INDEX('Draft Log'!$C$2:$C$301,MATCH(D155,'Draft Log'!$B$2:$B$301,0)),"")</f>
        <v/>
      </c>
    </row>
    <row r="156" spans="1:23">
      <c r="A156" s="1">
        <v>153</v>
      </c>
      <c r="B156" t="s">
        <v>801</v>
      </c>
      <c r="C156" t="s">
        <v>547</v>
      </c>
      <c r="D156" t="str">
        <f>IF($D$1="ESPN",INDEX(Table2[Mapped Name],MATCH('Rankings Master'!$A156,Table2[Overall Rank],0)),IF('Rankings Master'!$D$1="NFL.com",INDEX(Table3[Name Clean],MATCH('Rankings Master'!$A156,Table3[Rank],0)),IF('Rankings Master'!$D$1="Sleeper",INDEX(Sleeper!$B$2:$B$201,MATCH('Rankings Master'!$A156,Sleeper!$A$2:$A$201,0)),"Need platform")))</f>
        <v>Jalen Nailor</v>
      </c>
      <c r="E156" t="str">
        <f>IF($D$1="ESPN",INDEX(Table2[Position],MATCH('Rankings Master'!$A156,Table2[Overall Rank],0)),IF('Rankings Master'!$D$1="NFL.com",INDEX(Table3[Position],MATCH('Rankings Master'!$A156,Table3[Rank],0)),INDEX(Sleeper!$C$2:$C$201,MATCH('Rankings Master'!A156,Sleeper!$A$2:$A$201,0))))</f>
        <v>WR</v>
      </c>
      <c r="F156">
        <f>INDEX(Table4[RK],MATCH('Rankings Master'!D156,Table4[PLAYER NAME],0))</f>
        <v>177</v>
      </c>
      <c r="G156">
        <f t="shared" si="19"/>
        <v>-24</v>
      </c>
      <c r="H156">
        <f t="shared" si="20"/>
        <v>-0.13559322033898305</v>
      </c>
      <c r="I156" t="str">
        <f t="shared" si="23"/>
        <v>Slightly Overvalued</v>
      </c>
      <c r="J156" t="str">
        <f t="shared" si="22"/>
        <v/>
      </c>
      <c r="K156">
        <f t="shared" si="21"/>
        <v>3</v>
      </c>
      <c r="L156" t="str">
        <f>IF(J156="M",COUNTIFS($J$4:J156,"M",$E$4:E156,E156)&amp;" - "&amp;K156,"N/A")</f>
        <v>N/A</v>
      </c>
      <c r="M156" t="str">
        <f>IFERROR(INDEX(PlayerSummaryTable[Rushing Yds],MATCH('Rankings Master'!D156,PlayerSummaryTable[Player],0)),"")</f>
        <v/>
      </c>
      <c r="N156" t="str">
        <f>IFERROR(INDEX(PlayerSummaryTable[Receiving Yds],MATCH('Rankings Master'!D156,PlayerSummaryTable[Player],0)),"")</f>
        <v/>
      </c>
      <c r="O156" t="str">
        <f>IFERROR(INDEX(PlayerSummaryTable[Passing Yds],MATCH('Rankings Master'!D156,PlayerSummaryTable[Player],0)),"")</f>
        <v/>
      </c>
      <c r="U156" t="str">
        <f>IF(COUNTIF('Draft Log'!$B$2:$B$301,D156)&gt;0,"DRAFTED","")</f>
        <v/>
      </c>
      <c r="V156" t="str">
        <f>IFERROR(INDEX('Draft Log'!$A$2:$A$301,MATCH(D156,'Draft Log'!$B$2:$B$301,0)),"")</f>
        <v/>
      </c>
      <c r="W156" t="str">
        <f>IFERROR(INDEX('Draft Log'!$C$2:$C$301,MATCH(D156,'Draft Log'!$B$2:$B$301,0)),"")</f>
        <v/>
      </c>
    </row>
    <row r="157" spans="1:23">
      <c r="A157" s="1">
        <v>154</v>
      </c>
      <c r="B157" t="s">
        <v>697</v>
      </c>
      <c r="C157" t="s">
        <v>802</v>
      </c>
      <c r="D157" t="str">
        <f>IF($D$1="ESPN",INDEX(Table2[Mapped Name],MATCH('Rankings Master'!$A157,Table2[Overall Rank],0)),IF('Rankings Master'!$D$1="NFL.com",INDEX(Table3[Name Clean],MATCH('Rankings Master'!$A157,Table3[Rank],0)),IF('Rankings Master'!$D$1="Sleeper",INDEX(Sleeper!$B$2:$B$201,MATCH('Rankings Master'!$A157,Sleeper!$A$2:$A$201,0)),"Need platform")))</f>
        <v>Tyler Allgeier</v>
      </c>
      <c r="E157" t="str">
        <f>IF($D$1="ESPN",INDEX(Table2[Position],MATCH('Rankings Master'!$A157,Table2[Overall Rank],0)),IF('Rankings Master'!$D$1="NFL.com",INDEX(Table3[Position],MATCH('Rankings Master'!$A157,Table3[Rank],0)),INDEX(Sleeper!$C$2:$C$201,MATCH('Rankings Master'!A157,Sleeper!$A$2:$A$201,0))))</f>
        <v>RB</v>
      </c>
      <c r="F157">
        <f>INDEX(Table4[RK],MATCH('Rankings Master'!D157,Table4[PLAYER NAME],0))</f>
        <v>129</v>
      </c>
      <c r="G157">
        <f t="shared" si="19"/>
        <v>25</v>
      </c>
      <c r="H157">
        <f t="shared" si="20"/>
        <v>0.19379844961240311</v>
      </c>
      <c r="I157" t="str">
        <f t="shared" si="23"/>
        <v>Pretty Undervalued</v>
      </c>
      <c r="J157" t="str">
        <f t="shared" si="22"/>
        <v>M</v>
      </c>
      <c r="K157">
        <f t="shared" si="21"/>
        <v>2</v>
      </c>
      <c r="L157" t="str">
        <f>IF(J157="M",COUNTIFS($J$4:J157,"M",$E$4:E157,E157)&amp;" - "&amp;K157,"N/A")</f>
        <v>6 - 2</v>
      </c>
      <c r="M157" t="str">
        <f>IFERROR(INDEX(PlayerSummaryTable[Rushing Yds],MATCH('Rankings Master'!D157,PlayerSummaryTable[Player],0)),"")</f>
        <v/>
      </c>
      <c r="N157" t="str">
        <f>IFERROR(INDEX(PlayerSummaryTable[Receiving Yds],MATCH('Rankings Master'!D157,PlayerSummaryTable[Player],0)),"")</f>
        <v/>
      </c>
      <c r="O157" t="str">
        <f>IFERROR(INDEX(PlayerSummaryTable[Passing Yds],MATCH('Rankings Master'!D157,PlayerSummaryTable[Player],0)),"")</f>
        <v/>
      </c>
      <c r="U157" t="str">
        <f>IF(COUNTIF('Draft Log'!$B$2:$B$301,D157)&gt;0,"DRAFTED","")</f>
        <v>DRAFTED</v>
      </c>
      <c r="V157">
        <f>IFERROR(INDEX('Draft Log'!$A$2:$A$301,MATCH(D157,'Draft Log'!$B$2:$B$301,0)),"")</f>
        <v>148</v>
      </c>
      <c r="W157" t="str">
        <f>IFERROR(INDEX('Draft Log'!$C$2:$C$301,MATCH(D157,'Draft Log'!$B$2:$B$301,0)),"")</f>
        <v>Mustafa is Not Like Us</v>
      </c>
    </row>
    <row r="158" spans="1:23">
      <c r="A158" s="1">
        <v>155</v>
      </c>
      <c r="B158" t="s">
        <v>613</v>
      </c>
      <c r="C158" t="s">
        <v>803</v>
      </c>
      <c r="D158" t="str">
        <f>IF($D$1="ESPN",INDEX(Table2[Mapped Name],MATCH('Rankings Master'!$A158,Table2[Overall Rank],0)),IF('Rankings Master'!$D$1="NFL.com",INDEX(Table3[Name Clean],MATCH('Rankings Master'!$A158,Table3[Rank],0)),IF('Rankings Master'!$D$1="Sleeper",INDEX(Sleeper!$B$2:$B$201,MATCH('Rankings Master'!$A158,Sleeper!$A$2:$A$201,0)),"Need platform")))</f>
        <v>Keaton Mitchell</v>
      </c>
      <c r="E158" t="str">
        <f>IF($D$1="ESPN",INDEX(Table2[Position],MATCH('Rankings Master'!$A158,Table2[Overall Rank],0)),IF('Rankings Master'!$D$1="NFL.com",INDEX(Table3[Position],MATCH('Rankings Master'!$A158,Table3[Rank],0)),INDEX(Sleeper!$C$2:$C$201,MATCH('Rankings Master'!A158,Sleeper!$A$2:$A$201,0))))</f>
        <v>RB</v>
      </c>
      <c r="F158">
        <f>INDEX(Table4[RK],MATCH('Rankings Master'!D158,Table4[PLAYER NAME],0))</f>
        <v>143</v>
      </c>
      <c r="G158">
        <f t="shared" si="19"/>
        <v>12</v>
      </c>
      <c r="H158">
        <f t="shared" si="20"/>
        <v>8.3916083916083919E-2</v>
      </c>
      <c r="I158" t="str">
        <f t="shared" si="23"/>
        <v>Slightly Undervalued</v>
      </c>
      <c r="J158" t="str">
        <f t="shared" si="22"/>
        <v>Y</v>
      </c>
      <c r="K158">
        <f t="shared" si="21"/>
        <v>2</v>
      </c>
      <c r="L158" t="str">
        <f>IF(J158="M",COUNTIFS($J$4:J158,"M",$E$4:E158,E158)&amp;" - "&amp;K158,"N/A")</f>
        <v>N/A</v>
      </c>
      <c r="M158" t="str">
        <f>IFERROR(INDEX(PlayerSummaryTable[Rushing Yds],MATCH('Rankings Master'!D158,PlayerSummaryTable[Player],0)),"")</f>
        <v/>
      </c>
      <c r="N158" t="str">
        <f>IFERROR(INDEX(PlayerSummaryTable[Receiving Yds],MATCH('Rankings Master'!D158,PlayerSummaryTable[Player],0)),"")</f>
        <v/>
      </c>
      <c r="O158" t="str">
        <f>IFERROR(INDEX(PlayerSummaryTable[Passing Yds],MATCH('Rankings Master'!D158,PlayerSummaryTable[Player],0)),"")</f>
        <v/>
      </c>
      <c r="U158" t="str">
        <f>IF(COUNTIF('Draft Log'!$B$2:$B$301,D158)&gt;0,"DRAFTED","")</f>
        <v>DRAFTED</v>
      </c>
      <c r="V158">
        <f>IFERROR(INDEX('Draft Log'!$A$2:$A$301,MATCH(D158,'Draft Log'!$B$2:$B$301,0)),"")</f>
        <v>107</v>
      </c>
      <c r="W158" t="str">
        <f>IFERROR(INDEX('Draft Log'!$C$2:$C$301,MATCH(D158,'Draft Log'!$B$2:$B$301,0)),"")</f>
        <v>Eight Bell Tolls</v>
      </c>
    </row>
    <row r="159" spans="1:23">
      <c r="A159" s="1">
        <v>156</v>
      </c>
      <c r="B159" t="s">
        <v>561</v>
      </c>
      <c r="C159" t="s">
        <v>804</v>
      </c>
      <c r="D159" t="str">
        <f>IF($D$1="ESPN",INDEX(Table2[Mapped Name],MATCH('Rankings Master'!$A159,Table2[Overall Rank],0)),IF('Rankings Master'!$D$1="NFL.com",INDEX(Table3[Name Clean],MATCH('Rankings Master'!$A159,Table3[Rank],0)),IF('Rankings Master'!$D$1="Sleeper",INDEX(Sleeper!$B$2:$B$201,MATCH('Rankings Master'!$A159,Sleeper!$A$2:$A$201,0)),"Need platform")))</f>
        <v>Jonah Coleman</v>
      </c>
      <c r="E159" t="str">
        <f>IF($D$1="ESPN",INDEX(Table2[Position],MATCH('Rankings Master'!$A159,Table2[Overall Rank],0)),IF('Rankings Master'!$D$1="NFL.com",INDEX(Table3[Position],MATCH('Rankings Master'!$A159,Table3[Rank],0)),INDEX(Sleeper!$C$2:$C$201,MATCH('Rankings Master'!A159,Sleeper!$A$2:$A$201,0))))</f>
        <v>RB</v>
      </c>
      <c r="F159">
        <f>INDEX(Table4[RK],MATCH('Rankings Master'!D159,Table4[PLAYER NAME],0))</f>
        <v>136</v>
      </c>
      <c r="G159">
        <f t="shared" si="19"/>
        <v>20</v>
      </c>
      <c r="H159">
        <f t="shared" si="20"/>
        <v>0.14705882352941177</v>
      </c>
      <c r="I159" t="str">
        <f t="shared" si="23"/>
        <v>Slightly Undervalued</v>
      </c>
      <c r="J159" t="str">
        <f t="shared" si="22"/>
        <v>M</v>
      </c>
      <c r="K159">
        <f t="shared" si="21"/>
        <v>2</v>
      </c>
      <c r="L159" t="str">
        <f>IF(J159="M",COUNTIFS($J$4:J159,"M",$E$4:E159,E159)&amp;" - "&amp;K159,"N/A")</f>
        <v>7 - 2</v>
      </c>
      <c r="M159" t="str">
        <f>IFERROR(INDEX(PlayerSummaryTable[Rushing Yds],MATCH('Rankings Master'!D159,PlayerSummaryTable[Player],0)),"")</f>
        <v/>
      </c>
      <c r="N159" t="str">
        <f>IFERROR(INDEX(PlayerSummaryTable[Receiving Yds],MATCH('Rankings Master'!D159,PlayerSummaryTable[Player],0)),"")</f>
        <v/>
      </c>
      <c r="O159" t="str">
        <f>IFERROR(INDEX(PlayerSummaryTable[Passing Yds],MATCH('Rankings Master'!D159,PlayerSummaryTable[Player],0)),"")</f>
        <v/>
      </c>
      <c r="U159" t="str">
        <f>IF(COUNTIF('Draft Log'!$B$2:$B$301,D159)&gt;0,"DRAFTED","")</f>
        <v>DRAFTED</v>
      </c>
      <c r="V159">
        <f>IFERROR(INDEX('Draft Log'!$A$2:$A$301,MATCH(D159,'Draft Log'!$B$2:$B$301,0)),"")</f>
        <v>128</v>
      </c>
      <c r="W159" t="str">
        <f>IFERROR(INDEX('Draft Log'!$C$2:$C$301,MATCH(D159,'Draft Log'!$B$2:$B$301,0)),"")</f>
        <v>Mustafa is Not Like Us</v>
      </c>
    </row>
    <row r="160" spans="1:23">
      <c r="A160" s="1">
        <v>157</v>
      </c>
      <c r="B160" t="s">
        <v>805</v>
      </c>
      <c r="C160" t="s">
        <v>806</v>
      </c>
      <c r="D160" t="str">
        <f>IF($D$1="ESPN",INDEX(Table2[Mapped Name],MATCH('Rankings Master'!$A160,Table2[Overall Rank],0)),IF('Rankings Master'!$D$1="NFL.com",INDEX(Table3[Name Clean],MATCH('Rankings Master'!$A160,Table3[Rank],0)),IF('Rankings Master'!$D$1="Sleeper",INDEX(Sleeper!$B$2:$B$201,MATCH('Rankings Master'!$A160,Sleeper!$A$2:$A$201,0)),"Need platform")))</f>
        <v>Braelon Allen</v>
      </c>
      <c r="E160" t="str">
        <f>IF($D$1="ESPN",INDEX(Table2[Position],MATCH('Rankings Master'!$A160,Table2[Overall Rank],0)),IF('Rankings Master'!$D$1="NFL.com",INDEX(Table3[Position],MATCH('Rankings Master'!$A160,Table3[Rank],0)),INDEX(Sleeper!$C$2:$C$201,MATCH('Rankings Master'!A160,Sleeper!$A$2:$A$201,0))))</f>
        <v>RB</v>
      </c>
      <c r="F160">
        <f>INDEX(Table4[RK],MATCH('Rankings Master'!D160,Table4[PLAYER NAME],0))</f>
        <v>152</v>
      </c>
      <c r="G160">
        <f t="shared" si="19"/>
        <v>5</v>
      </c>
      <c r="H160">
        <f t="shared" si="20"/>
        <v>3.2894736842105261E-2</v>
      </c>
      <c r="I160" t="str">
        <f t="shared" si="23"/>
        <v>Slightly Undervalued</v>
      </c>
      <c r="J160" t="str">
        <f t="shared" si="22"/>
        <v/>
      </c>
      <c r="K160">
        <f t="shared" si="21"/>
        <v>2</v>
      </c>
      <c r="L160" t="str">
        <f>IF(J160="M",COUNTIFS($J$4:J160,"M",$E$4:E160,E160)&amp;" - "&amp;K160,"N/A")</f>
        <v>N/A</v>
      </c>
      <c r="M160" t="str">
        <f>IFERROR(INDEX(PlayerSummaryTable[Rushing Yds],MATCH('Rankings Master'!D160,PlayerSummaryTable[Player],0)),"")</f>
        <v/>
      </c>
      <c r="N160" t="str">
        <f>IFERROR(INDEX(PlayerSummaryTable[Receiving Yds],MATCH('Rankings Master'!D160,PlayerSummaryTable[Player],0)),"")</f>
        <v/>
      </c>
      <c r="O160" t="str">
        <f>IFERROR(INDEX(PlayerSummaryTable[Passing Yds],MATCH('Rankings Master'!D160,PlayerSummaryTable[Player],0)),"")</f>
        <v/>
      </c>
      <c r="U160" t="str">
        <f>IF(COUNTIF('Draft Log'!$B$2:$B$301,D160)&gt;0,"DRAFTED","")</f>
        <v/>
      </c>
      <c r="V160" t="str">
        <f>IFERROR(INDEX('Draft Log'!$A$2:$A$301,MATCH(D160,'Draft Log'!$B$2:$B$301,0)),"")</f>
        <v/>
      </c>
      <c r="W160" t="str">
        <f>IFERROR(INDEX('Draft Log'!$C$2:$C$301,MATCH(D160,'Draft Log'!$B$2:$B$301,0)),"")</f>
        <v/>
      </c>
    </row>
    <row r="161" spans="1:23">
      <c r="A161" s="1">
        <v>158</v>
      </c>
      <c r="B161" t="s">
        <v>807</v>
      </c>
      <c r="C161" t="s">
        <v>808</v>
      </c>
      <c r="D161" t="str">
        <f>IF($D$1="ESPN",INDEX(Table2[Mapped Name],MATCH('Rankings Master'!$A161,Table2[Overall Rank],0)),IF('Rankings Master'!$D$1="NFL.com",INDEX(Table3[Name Clean],MATCH('Rankings Master'!$A161,Table3[Rank],0)),IF('Rankings Master'!$D$1="Sleeper",INDEX(Sleeper!$B$2:$B$201,MATCH('Rankings Master'!$A161,Sleeper!$A$2:$A$201,0)),"Need platform")))</f>
        <v>Tank Bigsby</v>
      </c>
      <c r="E161" t="str">
        <f>IF($D$1="ESPN",INDEX(Table2[Position],MATCH('Rankings Master'!$A161,Table2[Overall Rank],0)),IF('Rankings Master'!$D$1="NFL.com",INDEX(Table3[Position],MATCH('Rankings Master'!$A161,Table3[Rank],0)),INDEX(Sleeper!$C$2:$C$201,MATCH('Rankings Master'!A161,Sleeper!$A$2:$A$201,0))))</f>
        <v>RB</v>
      </c>
      <c r="F161">
        <f>INDEX(Table4[RK],MATCH('Rankings Master'!D161,Table4[PLAYER NAME],0))</f>
        <v>141</v>
      </c>
      <c r="G161">
        <f t="shared" si="19"/>
        <v>17</v>
      </c>
      <c r="H161">
        <f t="shared" si="20"/>
        <v>0.12056737588652482</v>
      </c>
      <c r="I161" t="str">
        <f t="shared" si="23"/>
        <v>Slightly Undervalued</v>
      </c>
      <c r="J161" t="str">
        <f t="shared" si="22"/>
        <v>Y</v>
      </c>
      <c r="K161">
        <f t="shared" si="21"/>
        <v>2</v>
      </c>
      <c r="L161" t="str">
        <f>IF(J161="M",COUNTIFS($J$4:J161,"M",$E$4:E161,E161)&amp;" - "&amp;K161,"N/A")</f>
        <v>N/A</v>
      </c>
      <c r="M161" t="str">
        <f>IFERROR(INDEX(PlayerSummaryTable[Rushing Yds],MATCH('Rankings Master'!D161,PlayerSummaryTable[Player],0)),"")</f>
        <v/>
      </c>
      <c r="N161" t="str">
        <f>IFERROR(INDEX(PlayerSummaryTable[Receiving Yds],MATCH('Rankings Master'!D161,PlayerSummaryTable[Player],0)),"")</f>
        <v/>
      </c>
      <c r="O161" t="str">
        <f>IFERROR(INDEX(PlayerSummaryTable[Passing Yds],MATCH('Rankings Master'!D161,PlayerSummaryTable[Player],0)),"")</f>
        <v/>
      </c>
      <c r="U161" t="str">
        <f>IF(COUNTIF('Draft Log'!$B$2:$B$301,D161)&gt;0,"DRAFTED","")</f>
        <v>DRAFTED</v>
      </c>
      <c r="V161">
        <f>IFERROR(INDEX('Draft Log'!$A$2:$A$301,MATCH(D161,'Draft Log'!$B$2:$B$301,0)),"")</f>
        <v>136</v>
      </c>
      <c r="W161" t="str">
        <f>IFERROR(INDEX('Draft Log'!$C$2:$C$301,MATCH(D161,'Draft Log'!$B$2:$B$301,0)),"")</f>
        <v>JJetts Skatt Hurts</v>
      </c>
    </row>
    <row r="162" spans="1:23">
      <c r="A162" s="1">
        <v>159</v>
      </c>
      <c r="B162" t="s">
        <v>809</v>
      </c>
      <c r="C162" t="s">
        <v>810</v>
      </c>
      <c r="D162" t="str">
        <f>IF($D$1="ESPN",INDEX(Table2[Mapped Name],MATCH('Rankings Master'!$A162,Table2[Overall Rank],0)),IF('Rankings Master'!$D$1="NFL.com",INDEX(Table3[Name Clean],MATCH('Rankings Master'!$A162,Table3[Rank],0)),IF('Rankings Master'!$D$1="Sleeper",INDEX(Sleeper!$B$2:$B$201,MATCH('Rankings Master'!$A162,Sleeper!$A$2:$A$201,0)),"Need platform")))</f>
        <v>T.J. Hockenson</v>
      </c>
      <c r="E162" t="str">
        <f>IF($D$1="ESPN",INDEX(Table2[Position],MATCH('Rankings Master'!$A162,Table2[Overall Rank],0)),IF('Rankings Master'!$D$1="NFL.com",INDEX(Table3[Position],MATCH('Rankings Master'!$A162,Table3[Rank],0)),INDEX(Sleeper!$C$2:$C$201,MATCH('Rankings Master'!A162,Sleeper!$A$2:$A$201,0))))</f>
        <v>TE</v>
      </c>
      <c r="F162">
        <f>INDEX(Table4[RK],MATCH('Rankings Master'!D162,Table4[PLAYER NAME],0))</f>
        <v>208</v>
      </c>
      <c r="G162">
        <f t="shared" si="19"/>
        <v>-49</v>
      </c>
      <c r="H162">
        <f t="shared" si="20"/>
        <v>-0.23557692307692307</v>
      </c>
      <c r="I162" t="str">
        <f t="shared" si="23"/>
        <v>Pretty Overvalued</v>
      </c>
      <c r="J162" t="str">
        <f t="shared" si="22"/>
        <v>Y</v>
      </c>
      <c r="K162">
        <f t="shared" si="21"/>
        <v>4</v>
      </c>
      <c r="L162" t="str">
        <f>IF(J162="M",COUNTIFS($J$4:J162,"M",$E$4:E162,E162)&amp;" - "&amp;K162,"N/A")</f>
        <v>N/A</v>
      </c>
      <c r="M162" t="str">
        <f>IFERROR(INDEX(PlayerSummaryTable[Rushing Yds],MATCH('Rankings Master'!D162,PlayerSummaryTable[Player],0)),"")</f>
        <v/>
      </c>
      <c r="N162" t="str">
        <f>IFERROR(INDEX(PlayerSummaryTable[Receiving Yds],MATCH('Rankings Master'!D162,PlayerSummaryTable[Player],0)),"")</f>
        <v/>
      </c>
      <c r="O162" t="str">
        <f>IFERROR(INDEX(PlayerSummaryTable[Passing Yds],MATCH('Rankings Master'!D162,PlayerSummaryTable[Player],0)),"")</f>
        <v/>
      </c>
      <c r="U162" t="str">
        <f>IF(COUNTIF('Draft Log'!$B$2:$B$301,D162)&gt;0,"DRAFTED","")</f>
        <v>DRAFTED</v>
      </c>
      <c r="V162">
        <f>IFERROR(INDEX('Draft Log'!$A$2:$A$301,MATCH(D162,'Draft Log'!$B$2:$B$301,0)),"")</f>
        <v>157</v>
      </c>
      <c r="W162" t="str">
        <f>IFERROR(INDEX('Draft Log'!$C$2:$C$301,MATCH(D162,'Draft Log'!$B$2:$B$301,0)),"")</f>
        <v>Cut to the Chase</v>
      </c>
    </row>
    <row r="163" spans="1:23">
      <c r="A163" s="1">
        <v>160</v>
      </c>
      <c r="B163" t="s">
        <v>811</v>
      </c>
      <c r="C163" t="s">
        <v>677</v>
      </c>
      <c r="D163" t="str">
        <f>IF($D$1="ESPN",INDEX(Table2[Mapped Name],MATCH('Rankings Master'!$A163,Table2[Overall Rank],0)),IF('Rankings Master'!$D$1="NFL.com",INDEX(Table3[Name Clean],MATCH('Rankings Master'!$A163,Table3[Rank],0)),IF('Rankings Master'!$D$1="Sleeper",INDEX(Sleeper!$B$2:$B$201,MATCH('Rankings Master'!$A163,Sleeper!$A$2:$A$201,0)),"Need platform")))</f>
        <v>Brenton Strange</v>
      </c>
      <c r="E163" t="str">
        <f>IF($D$1="ESPN",INDEX(Table2[Position],MATCH('Rankings Master'!$A163,Table2[Overall Rank],0)),IF('Rankings Master'!$D$1="NFL.com",INDEX(Table3[Position],MATCH('Rankings Master'!$A163,Table3[Rank],0)),INDEX(Sleeper!$C$2:$C$201,MATCH('Rankings Master'!A163,Sleeper!$A$2:$A$201,0))))</f>
        <v>TE</v>
      </c>
      <c r="F163">
        <f>INDEX(Table4[RK],MATCH('Rankings Master'!D163,Table4[PLAYER NAME],0))</f>
        <v>151</v>
      </c>
      <c r="G163">
        <f t="shared" si="19"/>
        <v>9</v>
      </c>
      <c r="H163">
        <f t="shared" si="20"/>
        <v>5.9602649006622516E-2</v>
      </c>
      <c r="I163" t="str">
        <f t="shared" si="23"/>
        <v>Slightly Undervalued</v>
      </c>
      <c r="J163" t="str">
        <f t="shared" si="22"/>
        <v/>
      </c>
      <c r="K163">
        <f t="shared" si="21"/>
        <v>4</v>
      </c>
      <c r="L163" t="str">
        <f>IF(J163="M",COUNTIFS($J$4:J163,"M",$E$4:E163,E163)&amp;" - "&amp;K163,"N/A")</f>
        <v>N/A</v>
      </c>
      <c r="M163" t="str">
        <f>IFERROR(INDEX(PlayerSummaryTable[Rushing Yds],MATCH('Rankings Master'!D163,PlayerSummaryTable[Player],0)),"")</f>
        <v/>
      </c>
      <c r="N163" t="str">
        <f>IFERROR(INDEX(PlayerSummaryTable[Receiving Yds],MATCH('Rankings Master'!D163,PlayerSummaryTable[Player],0)),"")</f>
        <v/>
      </c>
      <c r="O163" t="str">
        <f>IFERROR(INDEX(PlayerSummaryTable[Passing Yds],MATCH('Rankings Master'!D163,PlayerSummaryTable[Player],0)),"")</f>
        <v/>
      </c>
      <c r="U163" t="str">
        <f>IF(COUNTIF('Draft Log'!$B$2:$B$301,D163)&gt;0,"DRAFTED","")</f>
        <v/>
      </c>
      <c r="V163" t="str">
        <f>IFERROR(INDEX('Draft Log'!$A$2:$A$301,MATCH(D163,'Draft Log'!$B$2:$B$301,0)),"")</f>
        <v/>
      </c>
      <c r="W163" t="str">
        <f>IFERROR(INDEX('Draft Log'!$C$2:$C$301,MATCH(D163,'Draft Log'!$B$2:$B$301,0)),"")</f>
        <v/>
      </c>
    </row>
    <row r="164" spans="1:23">
      <c r="A164" s="1">
        <v>161</v>
      </c>
      <c r="B164" t="s">
        <v>812</v>
      </c>
      <c r="C164" t="s">
        <v>723</v>
      </c>
      <c r="D164" t="str">
        <f>IF($D$1="ESPN",INDEX(Table2[Mapped Name],MATCH('Rankings Master'!$A164,Table2[Overall Rank],0)),IF('Rankings Master'!$D$1="NFL.com",INDEX(Table3[Name Clean],MATCH('Rankings Master'!$A164,Table3[Rank],0)),IF('Rankings Master'!$D$1="Sleeper",INDEX(Sleeper!$B$2:$B$201,MATCH('Rankings Master'!$A164,Sleeper!$A$2:$A$201,0)),"Need platform")))</f>
        <v>Keenan Allen</v>
      </c>
      <c r="E164" t="str">
        <f>IF($D$1="ESPN",INDEX(Table2[Position],MATCH('Rankings Master'!$A164,Table2[Overall Rank],0)),IF('Rankings Master'!$D$1="NFL.com",INDEX(Table3[Position],MATCH('Rankings Master'!$A164,Table3[Rank],0)),INDEX(Sleeper!$C$2:$C$201,MATCH('Rankings Master'!A164,Sleeper!$A$2:$A$201,0))))</f>
        <v>WR</v>
      </c>
      <c r="F164">
        <f>INDEX(Table4[RK],MATCH('Rankings Master'!D164,Table4[PLAYER NAME],0))</f>
        <v>194</v>
      </c>
      <c r="G164">
        <f t="shared" ref="G164:G195" si="24">A164-F164</f>
        <v>-33</v>
      </c>
      <c r="H164">
        <f t="shared" ref="H164:H195" si="25">G164/F164</f>
        <v>-0.17010309278350516</v>
      </c>
      <c r="I164" t="str">
        <f t="shared" si="23"/>
        <v>Pretty Overvalued</v>
      </c>
      <c r="J164" t="str">
        <f t="shared" si="22"/>
        <v/>
      </c>
      <c r="K164">
        <f t="shared" ref="K164:K195" si="26">IF(E164="QB",1,IF(E164="RB",2,IF(E164="WR",3,IF(E164="TE",4,IF(E164="K",5,"Check")))))</f>
        <v>3</v>
      </c>
      <c r="L164" t="str">
        <f>IF(J164="M",COUNTIFS($J$4:J164,"M",$E$4:E164,E164)&amp;" - "&amp;K164,"N/A")</f>
        <v>N/A</v>
      </c>
      <c r="M164" t="str">
        <f>IFERROR(INDEX(PlayerSummaryTable[Rushing Yds],MATCH('Rankings Master'!D164,PlayerSummaryTable[Player],0)),"")</f>
        <v/>
      </c>
      <c r="N164" t="str">
        <f>IFERROR(INDEX(PlayerSummaryTable[Receiving Yds],MATCH('Rankings Master'!D164,PlayerSummaryTable[Player],0)),"")</f>
        <v/>
      </c>
      <c r="O164" t="str">
        <f>IFERROR(INDEX(PlayerSummaryTable[Passing Yds],MATCH('Rankings Master'!D164,PlayerSummaryTable[Player],0)),"")</f>
        <v/>
      </c>
      <c r="U164" t="str">
        <f>IF(COUNTIF('Draft Log'!$B$2:$B$301,D164)&gt;0,"DRAFTED","")</f>
        <v/>
      </c>
      <c r="V164" t="str">
        <f>IFERROR(INDEX('Draft Log'!$A$2:$A$301,MATCH(D164,'Draft Log'!$B$2:$B$301,0)),"")</f>
        <v/>
      </c>
      <c r="W164" t="str">
        <f>IFERROR(INDEX('Draft Log'!$C$2:$C$301,MATCH(D164,'Draft Log'!$B$2:$B$301,0)),"")</f>
        <v/>
      </c>
    </row>
    <row r="165" spans="1:23">
      <c r="A165" s="1">
        <v>162</v>
      </c>
      <c r="B165" t="s">
        <v>813</v>
      </c>
      <c r="C165" t="s">
        <v>814</v>
      </c>
      <c r="D165" t="str">
        <f>IF($D$1="ESPN",INDEX(Table2[Mapped Name],MATCH('Rankings Master'!$A165,Table2[Overall Rank],0)),IF('Rankings Master'!$D$1="NFL.com",INDEX(Table3[Name Clean],MATCH('Rankings Master'!$A165,Table3[Rank],0)),IF('Rankings Master'!$D$1="Sleeper",INDEX(Sleeper!$B$2:$B$201,MATCH('Rankings Master'!$A165,Sleeper!$A$2:$A$201,0)),"Need platform")))</f>
        <v>Rashod Bateman</v>
      </c>
      <c r="E165" t="str">
        <f>IF($D$1="ESPN",INDEX(Table2[Position],MATCH('Rankings Master'!$A165,Table2[Overall Rank],0)),IF('Rankings Master'!$D$1="NFL.com",INDEX(Table3[Position],MATCH('Rankings Master'!$A165,Table3[Rank],0)),INDEX(Sleeper!$C$2:$C$201,MATCH('Rankings Master'!A165,Sleeper!$A$2:$A$201,0))))</f>
        <v>WR</v>
      </c>
      <c r="F165">
        <f>INDEX(Table4[RK],MATCH('Rankings Master'!D165,Table4[PLAYER NAME],0))</f>
        <v>209</v>
      </c>
      <c r="G165">
        <f t="shared" si="24"/>
        <v>-47</v>
      </c>
      <c r="H165">
        <f t="shared" si="25"/>
        <v>-0.22488038277511962</v>
      </c>
      <c r="I165" t="str">
        <f t="shared" si="23"/>
        <v>Pretty Overvalued</v>
      </c>
      <c r="J165" t="str">
        <f t="shared" si="22"/>
        <v/>
      </c>
      <c r="K165">
        <f t="shared" si="26"/>
        <v>3</v>
      </c>
      <c r="L165" t="str">
        <f>IF(J165="M",COUNTIFS($J$4:J165,"M",$E$4:E165,E165)&amp;" - "&amp;K165,"N/A")</f>
        <v>N/A</v>
      </c>
      <c r="M165" t="str">
        <f>IFERROR(INDEX(PlayerSummaryTable[Rushing Yds],MATCH('Rankings Master'!D165,PlayerSummaryTable[Player],0)),"")</f>
        <v/>
      </c>
      <c r="N165" t="str">
        <f>IFERROR(INDEX(PlayerSummaryTable[Receiving Yds],MATCH('Rankings Master'!D165,PlayerSummaryTable[Player],0)),"")</f>
        <v/>
      </c>
      <c r="O165" t="str">
        <f>IFERROR(INDEX(PlayerSummaryTable[Passing Yds],MATCH('Rankings Master'!D165,PlayerSummaryTable[Player],0)),"")</f>
        <v/>
      </c>
      <c r="U165" t="str">
        <f>IF(COUNTIF('Draft Log'!$B$2:$B$301,D165)&gt;0,"DRAFTED","")</f>
        <v/>
      </c>
      <c r="V165" t="str">
        <f>IFERROR(INDEX('Draft Log'!$A$2:$A$301,MATCH(D165,'Draft Log'!$B$2:$B$301,0)),"")</f>
        <v/>
      </c>
      <c r="W165" t="str">
        <f>IFERROR(INDEX('Draft Log'!$C$2:$C$301,MATCH(D165,'Draft Log'!$B$2:$B$301,0)),"")</f>
        <v/>
      </c>
    </row>
    <row r="166" spans="1:23">
      <c r="A166" s="1">
        <v>163</v>
      </c>
      <c r="B166" t="s">
        <v>815</v>
      </c>
      <c r="C166" t="s">
        <v>816</v>
      </c>
      <c r="D166" t="str">
        <f>IF($D$1="ESPN",INDEX(Table2[Mapped Name],MATCH('Rankings Master'!$A166,Table2[Overall Rank],0)),IF('Rankings Master'!$D$1="NFL.com",INDEX(Table3[Name Clean],MATCH('Rankings Master'!$A166,Table3[Rank],0)),IF('Rankings Master'!$D$1="Sleeper",INDEX(Sleeper!$B$2:$B$201,MATCH('Rankings Master'!$A166,Sleeper!$A$2:$A$201,0)),"Need platform")))</f>
        <v>Dontayvion Wicks</v>
      </c>
      <c r="E166" t="str">
        <f>IF($D$1="ESPN",INDEX(Table2[Position],MATCH('Rankings Master'!$A166,Table2[Overall Rank],0)),IF('Rankings Master'!$D$1="NFL.com",INDEX(Table3[Position],MATCH('Rankings Master'!$A166,Table3[Rank],0)),INDEX(Sleeper!$C$2:$C$201,MATCH('Rankings Master'!A166,Sleeper!$A$2:$A$201,0))))</f>
        <v>WR</v>
      </c>
      <c r="F166">
        <f>INDEX(Table4[RK],MATCH('Rankings Master'!D166,Table4[PLAYER NAME],0))</f>
        <v>174</v>
      </c>
      <c r="G166">
        <f t="shared" si="24"/>
        <v>-11</v>
      </c>
      <c r="H166">
        <f t="shared" si="25"/>
        <v>-6.3218390804597707E-2</v>
      </c>
      <c r="I166" t="str">
        <f t="shared" si="23"/>
        <v>Slightly Overvalued</v>
      </c>
      <c r="J166" t="str">
        <f t="shared" si="22"/>
        <v/>
      </c>
      <c r="K166">
        <f t="shared" si="26"/>
        <v>3</v>
      </c>
      <c r="L166" t="str">
        <f>IF(J166="M",COUNTIFS($J$4:J166,"M",$E$4:E166,E166)&amp;" - "&amp;K166,"N/A")</f>
        <v>N/A</v>
      </c>
      <c r="M166" t="str">
        <f>IFERROR(INDEX(PlayerSummaryTable[Rushing Yds],MATCH('Rankings Master'!D166,PlayerSummaryTable[Player],0)),"")</f>
        <v>N/A</v>
      </c>
      <c r="N166">
        <f>IFERROR(INDEX(PlayerSummaryTable[Receiving Yds],MATCH('Rankings Master'!D166,PlayerSummaryTable[Player],0)),"")</f>
        <v>599.5</v>
      </c>
      <c r="O166" t="str">
        <f>IFERROR(INDEX(PlayerSummaryTable[Passing Yds],MATCH('Rankings Master'!D166,PlayerSummaryTable[Player],0)),"")</f>
        <v>N/A</v>
      </c>
      <c r="U166" t="str">
        <f>IF(COUNTIF('Draft Log'!$B$2:$B$301,D166)&gt;0,"DRAFTED","")</f>
        <v/>
      </c>
      <c r="V166" t="str">
        <f>IFERROR(INDEX('Draft Log'!$A$2:$A$301,MATCH(D166,'Draft Log'!$B$2:$B$301,0)),"")</f>
        <v/>
      </c>
      <c r="W166" t="str">
        <f>IFERROR(INDEX('Draft Log'!$C$2:$C$301,MATCH(D166,'Draft Log'!$B$2:$B$301,0)),"")</f>
        <v/>
      </c>
    </row>
    <row r="167" spans="1:23">
      <c r="A167" s="1">
        <v>164</v>
      </c>
      <c r="B167" t="s">
        <v>531</v>
      </c>
      <c r="C167" t="s">
        <v>817</v>
      </c>
      <c r="D167" t="str">
        <f>IF($D$1="ESPN",INDEX(Table2[Mapped Name],MATCH('Rankings Master'!$A167,Table2[Overall Rank],0)),IF('Rankings Master'!$D$1="NFL.com",INDEX(Table3[Name Clean],MATCH('Rankings Master'!$A167,Table3[Rank],0)),IF('Rankings Master'!$D$1="Sleeper",INDEX(Sleeper!$B$2:$B$201,MATCH('Rankings Master'!$A167,Sleeper!$A$2:$A$201,0)),"Need platform")))</f>
        <v>Devaughn Vele</v>
      </c>
      <c r="E167" t="str">
        <f>IF($D$1="ESPN",INDEX(Table2[Position],MATCH('Rankings Master'!$A167,Table2[Overall Rank],0)),IF('Rankings Master'!$D$1="NFL.com",INDEX(Table3[Position],MATCH('Rankings Master'!$A167,Table3[Rank],0)),INDEX(Sleeper!$C$2:$C$201,MATCH('Rankings Master'!A167,Sleeper!$A$2:$A$201,0))))</f>
        <v>WR</v>
      </c>
      <c r="F167">
        <f>INDEX(Table4[RK],MATCH('Rankings Master'!D167,Table4[PLAYER NAME],0))</f>
        <v>255</v>
      </c>
      <c r="G167">
        <f t="shared" si="24"/>
        <v>-91</v>
      </c>
      <c r="H167">
        <f t="shared" si="25"/>
        <v>-0.35686274509803922</v>
      </c>
      <c r="I167" t="str">
        <f t="shared" si="23"/>
        <v>Pretty Overvalued</v>
      </c>
      <c r="J167" t="str">
        <f t="shared" si="22"/>
        <v/>
      </c>
      <c r="K167">
        <f t="shared" si="26"/>
        <v>3</v>
      </c>
      <c r="L167" t="str">
        <f>IF(J167="M",COUNTIFS($J$4:J167,"M",$E$4:E167,E167)&amp;" - "&amp;K167,"N/A")</f>
        <v>N/A</v>
      </c>
      <c r="M167" t="str">
        <f>IFERROR(INDEX(PlayerSummaryTable[Rushing Yds],MATCH('Rankings Master'!D167,PlayerSummaryTable[Player],0)),"")</f>
        <v/>
      </c>
      <c r="N167" t="str">
        <f>IFERROR(INDEX(PlayerSummaryTable[Receiving Yds],MATCH('Rankings Master'!D167,PlayerSummaryTable[Player],0)),"")</f>
        <v/>
      </c>
      <c r="O167" t="str">
        <f>IFERROR(INDEX(PlayerSummaryTable[Passing Yds],MATCH('Rankings Master'!D167,PlayerSummaryTable[Player],0)),"")</f>
        <v/>
      </c>
      <c r="U167" t="str">
        <f>IF(COUNTIF('Draft Log'!$B$2:$B$301,D167)&gt;0,"DRAFTED","")</f>
        <v/>
      </c>
      <c r="V167" t="str">
        <f>IFERROR(INDEX('Draft Log'!$A$2:$A$301,MATCH(D167,'Draft Log'!$B$2:$B$301,0)),"")</f>
        <v/>
      </c>
      <c r="W167" t="str">
        <f>IFERROR(INDEX('Draft Log'!$C$2:$C$301,MATCH(D167,'Draft Log'!$B$2:$B$301,0)),"")</f>
        <v/>
      </c>
    </row>
    <row r="168" spans="1:23">
      <c r="A168" s="1">
        <v>165</v>
      </c>
      <c r="B168" t="s">
        <v>818</v>
      </c>
      <c r="C168" t="s">
        <v>819</v>
      </c>
      <c r="D168" t="str">
        <f>IF($D$1="ESPN",INDEX(Table2[Mapped Name],MATCH('Rankings Master'!$A168,Table2[Overall Rank],0)),IF('Rankings Master'!$D$1="NFL.com",INDEX(Table3[Name Clean],MATCH('Rankings Master'!$A168,Table3[Rank],0)),IF('Rankings Master'!$D$1="Sleeper",INDEX(Sleeper!$B$2:$B$201,MATCH('Rankings Master'!$A168,Sleeper!$A$2:$A$201,0)),"Need platform")))</f>
        <v>Jaylin Noel</v>
      </c>
      <c r="E168" t="str">
        <f>IF($D$1="ESPN",INDEX(Table2[Position],MATCH('Rankings Master'!$A168,Table2[Overall Rank],0)),IF('Rankings Master'!$D$1="NFL.com",INDEX(Table3[Position],MATCH('Rankings Master'!$A168,Table3[Rank],0)),INDEX(Sleeper!$C$2:$C$201,MATCH('Rankings Master'!A168,Sleeper!$A$2:$A$201,0))))</f>
        <v>WR</v>
      </c>
      <c r="F168">
        <f>INDEX(Table4[RK],MATCH('Rankings Master'!D168,Table4[PLAYER NAME],0))</f>
        <v>210</v>
      </c>
      <c r="G168">
        <f t="shared" si="24"/>
        <v>-45</v>
      </c>
      <c r="H168">
        <f t="shared" si="25"/>
        <v>-0.21428571428571427</v>
      </c>
      <c r="I168" t="str">
        <f t="shared" si="23"/>
        <v>Pretty Overvalued</v>
      </c>
      <c r="J168" t="str">
        <f t="shared" si="22"/>
        <v/>
      </c>
      <c r="K168">
        <f t="shared" si="26"/>
        <v>3</v>
      </c>
      <c r="L168" t="str">
        <f>IF(J168="M",COUNTIFS($J$4:J168,"M",$E$4:E168,E168)&amp;" - "&amp;K168,"N/A")</f>
        <v>N/A</v>
      </c>
      <c r="M168" t="str">
        <f>IFERROR(INDEX(PlayerSummaryTable[Rushing Yds],MATCH('Rankings Master'!D168,PlayerSummaryTable[Player],0)),"")</f>
        <v/>
      </c>
      <c r="N168" t="str">
        <f>IFERROR(INDEX(PlayerSummaryTable[Receiving Yds],MATCH('Rankings Master'!D168,PlayerSummaryTable[Player],0)),"")</f>
        <v/>
      </c>
      <c r="O168" t="str">
        <f>IFERROR(INDEX(PlayerSummaryTable[Passing Yds],MATCH('Rankings Master'!D168,PlayerSummaryTable[Player],0)),"")</f>
        <v/>
      </c>
      <c r="U168" t="str">
        <f>IF(COUNTIF('Draft Log'!$B$2:$B$301,D168)&gt;0,"DRAFTED","")</f>
        <v/>
      </c>
      <c r="V168" t="str">
        <f>IFERROR(INDEX('Draft Log'!$A$2:$A$301,MATCH(D168,'Draft Log'!$B$2:$B$301,0)),"")</f>
        <v/>
      </c>
      <c r="W168" t="str">
        <f>IFERROR(INDEX('Draft Log'!$C$2:$C$301,MATCH(D168,'Draft Log'!$B$2:$B$301,0)),"")</f>
        <v/>
      </c>
    </row>
    <row r="169" spans="1:23">
      <c r="A169" s="1">
        <v>166</v>
      </c>
      <c r="B169" t="s">
        <v>820</v>
      </c>
      <c r="C169" t="s">
        <v>821</v>
      </c>
      <c r="D169" t="str">
        <f>IF($D$1="ESPN",INDEX(Table2[Mapped Name],MATCH('Rankings Master'!$A169,Table2[Overall Rank],0)),IF('Rankings Master'!$D$1="NFL.com",INDEX(Table3[Name Clean],MATCH('Rankings Master'!$A169,Table3[Rank],0)),IF('Rankings Master'!$D$1="Sleeper",INDEX(Sleeper!$B$2:$B$201,MATCH('Rankings Master'!$A169,Sleeper!$A$2:$A$201,0)),"Need platform")))</f>
        <v>Ray Davis</v>
      </c>
      <c r="E169" t="str">
        <f>IF($D$1="ESPN",INDEX(Table2[Position],MATCH('Rankings Master'!$A169,Table2[Overall Rank],0)),IF('Rankings Master'!$D$1="NFL.com",INDEX(Table3[Position],MATCH('Rankings Master'!$A169,Table3[Rank],0)),INDEX(Sleeper!$C$2:$C$201,MATCH('Rankings Master'!A169,Sleeper!$A$2:$A$201,0))))</f>
        <v>RB</v>
      </c>
      <c r="F169">
        <f>INDEX(Table4[RK],MATCH('Rankings Master'!D169,Table4[PLAYER NAME],0))</f>
        <v>175</v>
      </c>
      <c r="G169">
        <f t="shared" si="24"/>
        <v>-9</v>
      </c>
      <c r="H169">
        <f t="shared" si="25"/>
        <v>-5.1428571428571428E-2</v>
      </c>
      <c r="I169" t="str">
        <f t="shared" si="23"/>
        <v>Slightly Overvalued</v>
      </c>
      <c r="J169" t="str">
        <f t="shared" si="22"/>
        <v>Y</v>
      </c>
      <c r="K169">
        <f t="shared" si="26"/>
        <v>2</v>
      </c>
      <c r="L169" t="str">
        <f>IF(J169="M",COUNTIFS($J$4:J169,"M",$E$4:E169,E169)&amp;" - "&amp;K169,"N/A")</f>
        <v>N/A</v>
      </c>
      <c r="M169" t="str">
        <f>IFERROR(INDEX(PlayerSummaryTable[Rushing Yds],MATCH('Rankings Master'!D169,PlayerSummaryTable[Player],0)),"")</f>
        <v/>
      </c>
      <c r="N169" t="str">
        <f>IFERROR(INDEX(PlayerSummaryTable[Receiving Yds],MATCH('Rankings Master'!D169,PlayerSummaryTable[Player],0)),"")</f>
        <v/>
      </c>
      <c r="O169" t="str">
        <f>IFERROR(INDEX(PlayerSummaryTable[Passing Yds],MATCH('Rankings Master'!D169,PlayerSummaryTable[Player],0)),"")</f>
        <v/>
      </c>
      <c r="U169" t="str">
        <f>IF(COUNTIF('Draft Log'!$B$2:$B$301,D169)&gt;0,"DRAFTED","")</f>
        <v>DRAFTED</v>
      </c>
      <c r="V169">
        <f>IFERROR(INDEX('Draft Log'!$A$2:$A$301,MATCH(D169,'Draft Log'!$B$2:$B$301,0)),"")</f>
        <v>149</v>
      </c>
      <c r="W169" t="str">
        <f>IFERROR(INDEX('Draft Log'!$C$2:$C$301,MATCH(D169,'Draft Log'!$B$2:$B$301,0)),"")</f>
        <v>The Good, Bad and Ugly</v>
      </c>
    </row>
    <row r="170" spans="1:23">
      <c r="A170" s="1">
        <v>167</v>
      </c>
      <c r="B170" t="s">
        <v>822</v>
      </c>
      <c r="C170" t="s">
        <v>823</v>
      </c>
      <c r="D170" t="str">
        <f>IF($D$1="ESPN",INDEX(Table2[Mapped Name],MATCH('Rankings Master'!$A170,Table2[Overall Rank],0)),IF('Rankings Master'!$D$1="NFL.com",INDEX(Table3[Name Clean],MATCH('Rankings Master'!$A170,Table3[Rank],0)),IF('Rankings Master'!$D$1="Sleeper",INDEX(Sleeper!$B$2:$B$201,MATCH('Rankings Master'!$A170,Sleeper!$A$2:$A$201,0)),"Need platform")))</f>
        <v>Dylan Sampson</v>
      </c>
      <c r="E170" t="str">
        <f>IF($D$1="ESPN",INDEX(Table2[Position],MATCH('Rankings Master'!$A170,Table2[Overall Rank],0)),IF('Rankings Master'!$D$1="NFL.com",INDEX(Table3[Position],MATCH('Rankings Master'!$A170,Table3[Rank],0)),INDEX(Sleeper!$C$2:$C$201,MATCH('Rankings Master'!A170,Sleeper!$A$2:$A$201,0))))</f>
        <v>RB</v>
      </c>
      <c r="F170">
        <f>INDEX(Table4[RK],MATCH('Rankings Master'!D170,Table4[PLAYER NAME],0))</f>
        <v>157</v>
      </c>
      <c r="G170">
        <f t="shared" si="24"/>
        <v>10</v>
      </c>
      <c r="H170">
        <f t="shared" si="25"/>
        <v>6.3694267515923567E-2</v>
      </c>
      <c r="I170" t="str">
        <f t="shared" si="23"/>
        <v>Slightly Undervalued</v>
      </c>
      <c r="J170" t="str">
        <f t="shared" si="22"/>
        <v/>
      </c>
      <c r="K170">
        <f t="shared" si="26"/>
        <v>2</v>
      </c>
      <c r="L170" t="str">
        <f>IF(J170="M",COUNTIFS($J$4:J170,"M",$E$4:E170,E170)&amp;" - "&amp;K170,"N/A")</f>
        <v>N/A</v>
      </c>
      <c r="M170" t="str">
        <f>IFERROR(INDEX(PlayerSummaryTable[Rushing Yds],MATCH('Rankings Master'!D170,PlayerSummaryTable[Player],0)),"")</f>
        <v/>
      </c>
      <c r="N170" t="str">
        <f>IFERROR(INDEX(PlayerSummaryTable[Receiving Yds],MATCH('Rankings Master'!D170,PlayerSummaryTable[Player],0)),"")</f>
        <v/>
      </c>
      <c r="O170" t="str">
        <f>IFERROR(INDEX(PlayerSummaryTable[Passing Yds],MATCH('Rankings Master'!D170,PlayerSummaryTable[Player],0)),"")</f>
        <v/>
      </c>
      <c r="U170" t="str">
        <f>IF(COUNTIF('Draft Log'!$B$2:$B$301,D170)&gt;0,"DRAFTED","")</f>
        <v/>
      </c>
      <c r="V170" t="str">
        <f>IFERROR(INDEX('Draft Log'!$A$2:$A$301,MATCH(D170,'Draft Log'!$B$2:$B$301,0)),"")</f>
        <v/>
      </c>
      <c r="W170" t="str">
        <f>IFERROR(INDEX('Draft Log'!$C$2:$C$301,MATCH(D170,'Draft Log'!$B$2:$B$301,0)),"")</f>
        <v/>
      </c>
    </row>
    <row r="171" spans="1:23">
      <c r="A171" s="1">
        <v>168</v>
      </c>
      <c r="B171" t="s">
        <v>577</v>
      </c>
      <c r="C171" t="s">
        <v>824</v>
      </c>
      <c r="D171" t="str">
        <f>IF($D$1="ESPN",INDEX(Table2[Mapped Name],MATCH('Rankings Master'!$A171,Table2[Overall Rank],0)),IF('Rankings Master'!$D$1="NFL.com",INDEX(Table3[Name Clean],MATCH('Rankings Master'!$A171,Table3[Rank],0)),IF('Rankings Master'!$D$1="Sleeper",INDEX(Sleeper!$B$2:$B$201,MATCH('Rankings Master'!$A171,Sleeper!$A$2:$A$201,0)),"Need platform")))</f>
        <v>Najee Harris</v>
      </c>
      <c r="E171" t="str">
        <f>IF($D$1="ESPN",INDEX(Table2[Position],MATCH('Rankings Master'!$A171,Table2[Overall Rank],0)),IF('Rankings Master'!$D$1="NFL.com",INDEX(Table3[Position],MATCH('Rankings Master'!$A171,Table3[Rank],0)),INDEX(Sleeper!$C$2:$C$201,MATCH('Rankings Master'!A171,Sleeper!$A$2:$A$201,0))))</f>
        <v>RB</v>
      </c>
      <c r="F171">
        <f>INDEX(Table4[RK],MATCH('Rankings Master'!D171,Table4[PLAYER NAME],0))</f>
        <v>218</v>
      </c>
      <c r="G171">
        <f t="shared" si="24"/>
        <v>-50</v>
      </c>
      <c r="H171">
        <f t="shared" si="25"/>
        <v>-0.22935779816513763</v>
      </c>
      <c r="I171" t="str">
        <f t="shared" si="23"/>
        <v>Pretty Overvalued</v>
      </c>
      <c r="J171" t="str">
        <f t="shared" si="22"/>
        <v/>
      </c>
      <c r="K171">
        <f t="shared" si="26"/>
        <v>2</v>
      </c>
      <c r="L171" t="str">
        <f>IF(J171="M",COUNTIFS($J$4:J171,"M",$E$4:E171,E171)&amp;" - "&amp;K171,"N/A")</f>
        <v>N/A</v>
      </c>
      <c r="M171" t="str">
        <f>IFERROR(INDEX(PlayerSummaryTable[Rushing Yds],MATCH('Rankings Master'!D171,PlayerSummaryTable[Player],0)),"")</f>
        <v/>
      </c>
      <c r="N171" t="str">
        <f>IFERROR(INDEX(PlayerSummaryTable[Receiving Yds],MATCH('Rankings Master'!D171,PlayerSummaryTable[Player],0)),"")</f>
        <v/>
      </c>
      <c r="O171" t="str">
        <f>IFERROR(INDEX(PlayerSummaryTable[Passing Yds],MATCH('Rankings Master'!D171,PlayerSummaryTable[Player],0)),"")</f>
        <v/>
      </c>
      <c r="U171" t="str">
        <f>IF(COUNTIF('Draft Log'!$B$2:$B$301,D171)&gt;0,"DRAFTED","")</f>
        <v/>
      </c>
      <c r="V171" t="str">
        <f>IFERROR(INDEX('Draft Log'!$A$2:$A$301,MATCH(D171,'Draft Log'!$B$2:$B$301,0)),"")</f>
        <v/>
      </c>
      <c r="W171" t="str">
        <f>IFERROR(INDEX('Draft Log'!$C$2:$C$301,MATCH(D171,'Draft Log'!$B$2:$B$301,0)),"")</f>
        <v/>
      </c>
    </row>
    <row r="172" spans="1:23">
      <c r="A172" s="1">
        <v>169</v>
      </c>
      <c r="B172" t="s">
        <v>703</v>
      </c>
      <c r="C172" t="s">
        <v>825</v>
      </c>
      <c r="D172" t="str">
        <f>IF($D$1="ESPN",INDEX(Table2[Mapped Name],MATCH('Rankings Master'!$A172,Table2[Overall Rank],0)),IF('Rankings Master'!$D$1="NFL.com",INDEX(Table3[Name Clean],MATCH('Rankings Master'!$A172,Table3[Rank],0)),IF('Rankings Master'!$D$1="Sleeper",INDEX(Sleeper!$B$2:$B$201,MATCH('Rankings Master'!$A172,Sleeper!$A$2:$A$201,0)),"Need platform")))</f>
        <v>Houston Texans</v>
      </c>
      <c r="E172" t="str">
        <f>IF($D$1="ESPN",INDEX(Table2[Position],MATCH('Rankings Master'!$A172,Table2[Overall Rank],0)),IF('Rankings Master'!$D$1="NFL.com",INDEX(Table3[Position],MATCH('Rankings Master'!$A172,Table3[Rank],0)),INDEX(Sleeper!$C$2:$C$201,MATCH('Rankings Master'!A172,Sleeper!$A$2:$A$201,0))))</f>
        <v>DST</v>
      </c>
      <c r="F172">
        <f>INDEX(Table4[RK],MATCH('Rankings Master'!D172,Table4[PLAYER NAME],0))</f>
        <v>154</v>
      </c>
      <c r="G172">
        <f t="shared" si="24"/>
        <v>15</v>
      </c>
      <c r="H172">
        <f t="shared" si="25"/>
        <v>9.7402597402597407E-2</v>
      </c>
      <c r="I172" t="str">
        <f t="shared" si="23"/>
        <v>Slightly Undervalued</v>
      </c>
      <c r="J172" t="str">
        <f t="shared" si="22"/>
        <v/>
      </c>
      <c r="K172" t="str">
        <f t="shared" si="26"/>
        <v>Check</v>
      </c>
      <c r="L172" t="str">
        <f>IF(J172="M",COUNTIFS($J$4:J172,"M",$E$4:E172,E172)&amp;" - "&amp;K172,"N/A")</f>
        <v>N/A</v>
      </c>
      <c r="M172" t="str">
        <f>IFERROR(INDEX(PlayerSummaryTable[Rushing Yds],MATCH('Rankings Master'!D172,PlayerSummaryTable[Player],0)),"")</f>
        <v/>
      </c>
      <c r="N172" t="str">
        <f>IFERROR(INDEX(PlayerSummaryTable[Receiving Yds],MATCH('Rankings Master'!D172,PlayerSummaryTable[Player],0)),"")</f>
        <v/>
      </c>
      <c r="O172" t="str">
        <f>IFERROR(INDEX(PlayerSummaryTable[Passing Yds],MATCH('Rankings Master'!D172,PlayerSummaryTable[Player],0)),"")</f>
        <v/>
      </c>
      <c r="U172" t="str">
        <f>IF(COUNTIF('Draft Log'!$B$2:$B$301,D172)&gt;0,"DRAFTED","")</f>
        <v/>
      </c>
      <c r="V172" t="str">
        <f>IFERROR(INDEX('Draft Log'!$A$2:$A$301,MATCH(D172,'Draft Log'!$B$2:$B$301,0)),"")</f>
        <v/>
      </c>
      <c r="W172" t="str">
        <f>IFERROR(INDEX('Draft Log'!$C$2:$C$301,MATCH(D172,'Draft Log'!$B$2:$B$301,0)),"")</f>
        <v/>
      </c>
    </row>
    <row r="173" spans="1:23">
      <c r="A173" s="1">
        <v>170</v>
      </c>
      <c r="B173" t="s">
        <v>826</v>
      </c>
      <c r="C173" t="s">
        <v>538</v>
      </c>
      <c r="D173" t="str">
        <f>IF($D$1="ESPN",INDEX(Table2[Mapped Name],MATCH('Rankings Master'!$A173,Table2[Overall Rank],0)),IF('Rankings Master'!$D$1="NFL.com",INDEX(Table3[Name Clean],MATCH('Rankings Master'!$A173,Table3[Rank],0)),IF('Rankings Master'!$D$1="Sleeper",INDEX(Sleeper!$B$2:$B$201,MATCH('Rankings Master'!$A173,Sleeper!$A$2:$A$201,0)),"Need platform")))</f>
        <v>Denver Broncos</v>
      </c>
      <c r="E173" t="str">
        <f>IF($D$1="ESPN",INDEX(Table2[Position],MATCH('Rankings Master'!$A173,Table2[Overall Rank],0)),IF('Rankings Master'!$D$1="NFL.com",INDEX(Table3[Position],MATCH('Rankings Master'!$A173,Table3[Rank],0)),INDEX(Sleeper!$C$2:$C$201,MATCH('Rankings Master'!A173,Sleeper!$A$2:$A$201,0))))</f>
        <v>DST</v>
      </c>
      <c r="F173">
        <f>INDEX(Table4[RK],MATCH('Rankings Master'!D173,Table4[PLAYER NAME],0))</f>
        <v>167</v>
      </c>
      <c r="G173">
        <f t="shared" si="24"/>
        <v>3</v>
      </c>
      <c r="H173">
        <f t="shared" si="25"/>
        <v>1.7964071856287425E-2</v>
      </c>
      <c r="I173" t="str">
        <f t="shared" si="23"/>
        <v>Slightly Undervalued</v>
      </c>
      <c r="J173" t="str">
        <f t="shared" si="22"/>
        <v/>
      </c>
      <c r="K173" t="str">
        <f t="shared" si="26"/>
        <v>Check</v>
      </c>
      <c r="L173" t="str">
        <f>IF(J173="M",COUNTIFS($J$4:J173,"M",$E$4:E173,E173)&amp;" - "&amp;K173,"N/A")</f>
        <v>N/A</v>
      </c>
      <c r="M173" t="str">
        <f>IFERROR(INDEX(PlayerSummaryTable[Rushing Yds],MATCH('Rankings Master'!D173,PlayerSummaryTable[Player],0)),"")</f>
        <v/>
      </c>
      <c r="N173" t="str">
        <f>IFERROR(INDEX(PlayerSummaryTable[Receiving Yds],MATCH('Rankings Master'!D173,PlayerSummaryTable[Player],0)),"")</f>
        <v/>
      </c>
      <c r="O173" t="str">
        <f>IFERROR(INDEX(PlayerSummaryTable[Passing Yds],MATCH('Rankings Master'!D173,PlayerSummaryTable[Player],0)),"")</f>
        <v/>
      </c>
      <c r="U173" t="str">
        <f>IF(COUNTIF('Draft Log'!$B$2:$B$301,D173)&gt;0,"DRAFTED","")</f>
        <v/>
      </c>
      <c r="V173" t="str">
        <f>IFERROR(INDEX('Draft Log'!$A$2:$A$301,MATCH(D173,'Draft Log'!$B$2:$B$301,0)),"")</f>
        <v/>
      </c>
      <c r="W173" t="str">
        <f>IFERROR(INDEX('Draft Log'!$C$2:$C$301,MATCH(D173,'Draft Log'!$B$2:$B$301,0)),"")</f>
        <v/>
      </c>
    </row>
    <row r="174" spans="1:23">
      <c r="A174" s="1">
        <v>171</v>
      </c>
      <c r="B174" t="s">
        <v>827</v>
      </c>
      <c r="C174" t="s">
        <v>828</v>
      </c>
      <c r="D174" t="str">
        <f>IF($D$1="ESPN",INDEX(Table2[Mapped Name],MATCH('Rankings Master'!$A174,Table2[Overall Rank],0)),IF('Rankings Master'!$D$1="NFL.com",INDEX(Table3[Name Clean],MATCH('Rankings Master'!$A174,Table3[Rank],0)),IF('Rankings Master'!$D$1="Sleeper",INDEX(Sleeper!$B$2:$B$201,MATCH('Rankings Master'!$A174,Sleeper!$A$2:$A$201,0)),"Need platform")))</f>
        <v>Pittsburgh Steelers</v>
      </c>
      <c r="E174" t="str">
        <f>IF($D$1="ESPN",INDEX(Table2[Position],MATCH('Rankings Master'!$A174,Table2[Overall Rank],0)),IF('Rankings Master'!$D$1="NFL.com",INDEX(Table3[Position],MATCH('Rankings Master'!$A174,Table3[Rank],0)),INDEX(Sleeper!$C$2:$C$201,MATCH('Rankings Master'!A174,Sleeper!$A$2:$A$201,0))))</f>
        <v>DST</v>
      </c>
      <c r="F174">
        <f>INDEX(Table4[RK],MATCH('Rankings Master'!D174,Table4[PLAYER NAME],0))</f>
        <v>184</v>
      </c>
      <c r="G174">
        <f t="shared" si="24"/>
        <v>-13</v>
      </c>
      <c r="H174">
        <f t="shared" si="25"/>
        <v>-7.0652173913043473E-2</v>
      </c>
      <c r="I174" t="str">
        <f t="shared" ref="I174:I237" si="27">IF(AND(H174 &gt; -1, H174 &lt;= -0.5), "Extremely Overvalued",
IF(AND(H174 &gt; -0.5, H174 &lt;= -0.15), "Pretty Overvalued",
IF(AND(H174 &gt; -0.15, H174 &lt; 0), "Slightly Overvalued",
IF(H174 = 0, "At ADP",
IF(AND(H174 &gt; 0, H174 &lt;= 0.15), "Slightly Undervalued",
IF(AND(H174 &gt; 0.15, H174 &lt;= 0.5), "Pretty Undervalued",
IF(AND(H174 &gt; 0.5, H174 &lt;= 1), "Extremely Undervalued", "")))))))</f>
        <v>Slightly Overvalued</v>
      </c>
      <c r="J174" t="str">
        <f t="shared" si="22"/>
        <v/>
      </c>
      <c r="K174" t="str">
        <f t="shared" si="26"/>
        <v>Check</v>
      </c>
      <c r="L174" t="str">
        <f>IF(J174="M",COUNTIFS($J$4:J174,"M",$E$4:E174,E174)&amp;" - "&amp;K174,"N/A")</f>
        <v>N/A</v>
      </c>
      <c r="M174" t="str">
        <f>IFERROR(INDEX(PlayerSummaryTable[Rushing Yds],MATCH('Rankings Master'!D174,PlayerSummaryTable[Player],0)),"")</f>
        <v/>
      </c>
      <c r="N174" t="str">
        <f>IFERROR(INDEX(PlayerSummaryTable[Receiving Yds],MATCH('Rankings Master'!D174,PlayerSummaryTable[Player],0)),"")</f>
        <v/>
      </c>
      <c r="O174" t="str">
        <f>IFERROR(INDEX(PlayerSummaryTable[Passing Yds],MATCH('Rankings Master'!D174,PlayerSummaryTable[Player],0)),"")</f>
        <v/>
      </c>
      <c r="U174" t="str">
        <f>IF(COUNTIF('Draft Log'!$B$2:$B$301,D174)&gt;0,"DRAFTED","")</f>
        <v/>
      </c>
      <c r="V174" t="str">
        <f>IFERROR(INDEX('Draft Log'!$A$2:$A$301,MATCH(D174,'Draft Log'!$B$2:$B$301,0)),"")</f>
        <v/>
      </c>
      <c r="W174" t="str">
        <f>IFERROR(INDEX('Draft Log'!$C$2:$C$301,MATCH(D174,'Draft Log'!$B$2:$B$301,0)),"")</f>
        <v/>
      </c>
    </row>
    <row r="175" spans="1:23">
      <c r="A175" s="1">
        <v>172</v>
      </c>
      <c r="B175" t="s">
        <v>829</v>
      </c>
      <c r="C175" t="s">
        <v>830</v>
      </c>
      <c r="D175" t="str">
        <f>IF($D$1="ESPN",INDEX(Table2[Mapped Name],MATCH('Rankings Master'!$A175,Table2[Overall Rank],0)),IF('Rankings Master'!$D$1="NFL.com",INDEX(Table3[Name Clean],MATCH('Rankings Master'!$A175,Table3[Rank],0)),IF('Rankings Master'!$D$1="Sleeper",INDEX(Sleeper!$B$2:$B$201,MATCH('Rankings Master'!$A175,Sleeper!$A$2:$A$201,0)),"Need platform")))</f>
        <v>Seattle Seahawks</v>
      </c>
      <c r="E175" t="str">
        <f>IF($D$1="ESPN",INDEX(Table2[Position],MATCH('Rankings Master'!$A175,Table2[Overall Rank],0)),IF('Rankings Master'!$D$1="NFL.com",INDEX(Table3[Position],MATCH('Rankings Master'!$A175,Table3[Rank],0)),INDEX(Sleeper!$C$2:$C$201,MATCH('Rankings Master'!A175,Sleeper!$A$2:$A$201,0))))</f>
        <v>DST</v>
      </c>
      <c r="F175">
        <f>INDEX(Table4[RK],MATCH('Rankings Master'!D175,Table4[PLAYER NAME],0))</f>
        <v>168</v>
      </c>
      <c r="G175">
        <f t="shared" si="24"/>
        <v>4</v>
      </c>
      <c r="H175">
        <f t="shared" si="25"/>
        <v>2.3809523809523808E-2</v>
      </c>
      <c r="I175" t="str">
        <f t="shared" si="27"/>
        <v>Slightly Undervalued</v>
      </c>
      <c r="J175" t="str">
        <f t="shared" si="22"/>
        <v/>
      </c>
      <c r="K175" t="str">
        <f t="shared" si="26"/>
        <v>Check</v>
      </c>
      <c r="L175" t="str">
        <f>IF(J175="M",COUNTIFS($J$4:J175,"M",$E$4:E175,E175)&amp;" - "&amp;K175,"N/A")</f>
        <v>N/A</v>
      </c>
      <c r="M175" t="str">
        <f>IFERROR(INDEX(PlayerSummaryTable[Rushing Yds],MATCH('Rankings Master'!D175,PlayerSummaryTable[Player],0)),"")</f>
        <v/>
      </c>
      <c r="N175" t="str">
        <f>IFERROR(INDEX(PlayerSummaryTable[Receiving Yds],MATCH('Rankings Master'!D175,PlayerSummaryTable[Player],0)),"")</f>
        <v/>
      </c>
      <c r="O175" t="str">
        <f>IFERROR(INDEX(PlayerSummaryTable[Passing Yds],MATCH('Rankings Master'!D175,PlayerSummaryTable[Player],0)),"")</f>
        <v/>
      </c>
      <c r="U175" t="str">
        <f>IF(COUNTIF('Draft Log'!$B$2:$B$301,D175)&gt;0,"DRAFTED","")</f>
        <v/>
      </c>
      <c r="V175" t="str">
        <f>IFERROR(INDEX('Draft Log'!$A$2:$A$301,MATCH(D175,'Draft Log'!$B$2:$B$301,0)),"")</f>
        <v/>
      </c>
      <c r="W175" t="str">
        <f>IFERROR(INDEX('Draft Log'!$C$2:$C$301,MATCH(D175,'Draft Log'!$B$2:$B$301,0)),"")</f>
        <v/>
      </c>
    </row>
    <row r="176" spans="1:23">
      <c r="A176" s="1">
        <v>173</v>
      </c>
      <c r="B176" t="s">
        <v>831</v>
      </c>
      <c r="C176" t="s">
        <v>832</v>
      </c>
      <c r="D176" t="str">
        <f>IF($D$1="ESPN",INDEX(Table2[Mapped Name],MATCH('Rankings Master'!$A176,Table2[Overall Rank],0)),IF('Rankings Master'!$D$1="NFL.com",INDEX(Table3[Name Clean],MATCH('Rankings Master'!$A176,Table3[Rank],0)),IF('Rankings Master'!$D$1="Sleeper",INDEX(Sleeper!$B$2:$B$201,MATCH('Rankings Master'!$A176,Sleeper!$A$2:$A$201,0)),"Need platform")))</f>
        <v>Los Angeles Rams</v>
      </c>
      <c r="E176" t="str">
        <f>IF($D$1="ESPN",INDEX(Table2[Position],MATCH('Rankings Master'!$A176,Table2[Overall Rank],0)),IF('Rankings Master'!$D$1="NFL.com",INDEX(Table3[Position],MATCH('Rankings Master'!$A176,Table3[Rank],0)),INDEX(Sleeper!$C$2:$C$201,MATCH('Rankings Master'!A176,Sleeper!$A$2:$A$201,0))))</f>
        <v>DST</v>
      </c>
      <c r="F176">
        <f>INDEX(Table4[RK],MATCH('Rankings Master'!D176,Table4[PLAYER NAME],0))</f>
        <v>165</v>
      </c>
      <c r="G176">
        <f t="shared" si="24"/>
        <v>8</v>
      </c>
      <c r="H176">
        <f t="shared" si="25"/>
        <v>4.8484848484848485E-2</v>
      </c>
      <c r="I176" t="str">
        <f t="shared" si="27"/>
        <v>Slightly Undervalued</v>
      </c>
      <c r="J176" t="str">
        <f t="shared" si="22"/>
        <v/>
      </c>
      <c r="K176" t="str">
        <f t="shared" si="26"/>
        <v>Check</v>
      </c>
      <c r="L176" t="str">
        <f>IF(J176="M",COUNTIFS($J$4:J176,"M",$E$4:E176,E176)&amp;" - "&amp;K176,"N/A")</f>
        <v>N/A</v>
      </c>
      <c r="M176" t="str">
        <f>IFERROR(INDEX(PlayerSummaryTable[Rushing Yds],MATCH('Rankings Master'!D176,PlayerSummaryTable[Player],0)),"")</f>
        <v/>
      </c>
      <c r="N176" t="str">
        <f>IFERROR(INDEX(PlayerSummaryTable[Receiving Yds],MATCH('Rankings Master'!D176,PlayerSummaryTable[Player],0)),"")</f>
        <v/>
      </c>
      <c r="O176" t="str">
        <f>IFERROR(INDEX(PlayerSummaryTable[Passing Yds],MATCH('Rankings Master'!D176,PlayerSummaryTable[Player],0)),"")</f>
        <v/>
      </c>
      <c r="U176" t="str">
        <f>IF(COUNTIF('Draft Log'!$B$2:$B$301,D176)&gt;0,"DRAFTED","")</f>
        <v/>
      </c>
      <c r="V176" t="str">
        <f>IFERROR(INDEX('Draft Log'!$A$2:$A$301,MATCH(D176,'Draft Log'!$B$2:$B$301,0)),"")</f>
        <v/>
      </c>
      <c r="W176" t="str">
        <f>IFERROR(INDEX('Draft Log'!$C$2:$C$301,MATCH(D176,'Draft Log'!$B$2:$B$301,0)),"")</f>
        <v/>
      </c>
    </row>
    <row r="177" spans="1:23">
      <c r="A177" s="1">
        <v>174</v>
      </c>
      <c r="B177" t="s">
        <v>701</v>
      </c>
      <c r="C177" t="s">
        <v>833</v>
      </c>
      <c r="D177" t="str">
        <f>IF($D$1="ESPN",INDEX(Table2[Mapped Name],MATCH('Rankings Master'!$A177,Table2[Overall Rank],0)),IF('Rankings Master'!$D$1="NFL.com",INDEX(Table3[Name Clean],MATCH('Rankings Master'!$A177,Table3[Rank],0)),IF('Rankings Master'!$D$1="Sleeper",INDEX(Sleeper!$B$2:$B$201,MATCH('Rankings Master'!$A177,Sleeper!$A$2:$A$201,0)),"Need platform")))</f>
        <v>Baltimore Ravens</v>
      </c>
      <c r="E177" t="str">
        <f>IF($D$1="ESPN",INDEX(Table2[Position],MATCH('Rankings Master'!$A177,Table2[Overall Rank],0)),IF('Rankings Master'!$D$1="NFL.com",INDEX(Table3[Position],MATCH('Rankings Master'!$A177,Table3[Rank],0)),INDEX(Sleeper!$C$2:$C$201,MATCH('Rankings Master'!A177,Sleeper!$A$2:$A$201,0))))</f>
        <v>DST</v>
      </c>
      <c r="F177">
        <f>INDEX(Table4[RK],MATCH('Rankings Master'!D177,Table4[PLAYER NAME],0))</f>
        <v>193</v>
      </c>
      <c r="G177">
        <f t="shared" si="24"/>
        <v>-19</v>
      </c>
      <c r="H177">
        <f t="shared" si="25"/>
        <v>-9.8445595854922283E-2</v>
      </c>
      <c r="I177" t="str">
        <f t="shared" si="27"/>
        <v>Slightly Overvalued</v>
      </c>
      <c r="J177" t="str">
        <f t="shared" si="22"/>
        <v/>
      </c>
      <c r="K177" t="str">
        <f t="shared" si="26"/>
        <v>Check</v>
      </c>
      <c r="L177" t="str">
        <f>IF(J177="M",COUNTIFS($J$4:J177,"M",$E$4:E177,E177)&amp;" - "&amp;K177,"N/A")</f>
        <v>N/A</v>
      </c>
      <c r="M177" t="str">
        <f>IFERROR(INDEX(PlayerSummaryTable[Rushing Yds],MATCH('Rankings Master'!D177,PlayerSummaryTable[Player],0)),"")</f>
        <v/>
      </c>
      <c r="N177" t="str">
        <f>IFERROR(INDEX(PlayerSummaryTable[Receiving Yds],MATCH('Rankings Master'!D177,PlayerSummaryTable[Player],0)),"")</f>
        <v/>
      </c>
      <c r="O177" t="str">
        <f>IFERROR(INDEX(PlayerSummaryTable[Passing Yds],MATCH('Rankings Master'!D177,PlayerSummaryTable[Player],0)),"")</f>
        <v/>
      </c>
      <c r="U177" t="str">
        <f>IF(COUNTIF('Draft Log'!$B$2:$B$301,D177)&gt;0,"DRAFTED","")</f>
        <v/>
      </c>
      <c r="V177" t="str">
        <f>IFERROR(INDEX('Draft Log'!$A$2:$A$301,MATCH(D177,'Draft Log'!$B$2:$B$301,0)),"")</f>
        <v/>
      </c>
      <c r="W177" t="str">
        <f>IFERROR(INDEX('Draft Log'!$C$2:$C$301,MATCH(D177,'Draft Log'!$B$2:$B$301,0)),"")</f>
        <v/>
      </c>
    </row>
    <row r="178" spans="1:23">
      <c r="A178" s="1">
        <v>175</v>
      </c>
      <c r="B178" t="s">
        <v>782</v>
      </c>
      <c r="C178" t="s">
        <v>834</v>
      </c>
      <c r="D178" t="str">
        <f>IF($D$1="ESPN",INDEX(Table2[Mapped Name],MATCH('Rankings Master'!$A178,Table2[Overall Rank],0)),IF('Rankings Master'!$D$1="NFL.com",INDEX(Table3[Name Clean],MATCH('Rankings Master'!$A178,Table3[Rank],0)),IF('Rankings Master'!$D$1="Sleeper",INDEX(Sleeper!$B$2:$B$201,MATCH('Rankings Master'!$A178,Sleeper!$A$2:$A$201,0)),"Need platform")))</f>
        <v>Philadelphia Eagles</v>
      </c>
      <c r="E178" t="str">
        <f>IF($D$1="ESPN",INDEX(Table2[Position],MATCH('Rankings Master'!$A178,Table2[Overall Rank],0)),IF('Rankings Master'!$D$1="NFL.com",INDEX(Table3[Position],MATCH('Rankings Master'!$A178,Table3[Rank],0)),INDEX(Sleeper!$C$2:$C$201,MATCH('Rankings Master'!A178,Sleeper!$A$2:$A$201,0))))</f>
        <v>DST</v>
      </c>
      <c r="F178">
        <f>INDEX(Table4[RK],MATCH('Rankings Master'!D178,Table4[PLAYER NAME],0))</f>
        <v>173</v>
      </c>
      <c r="G178">
        <f t="shared" si="24"/>
        <v>2</v>
      </c>
      <c r="H178">
        <f t="shared" si="25"/>
        <v>1.1560693641618497E-2</v>
      </c>
      <c r="I178" t="str">
        <f t="shared" si="27"/>
        <v>Slightly Undervalued</v>
      </c>
      <c r="J178" t="str">
        <f t="shared" si="22"/>
        <v/>
      </c>
      <c r="K178" t="str">
        <f t="shared" si="26"/>
        <v>Check</v>
      </c>
      <c r="L178" t="str">
        <f>IF(J178="M",COUNTIFS($J$4:J178,"M",$E$4:E178,E178)&amp;" - "&amp;K178,"N/A")</f>
        <v>N/A</v>
      </c>
      <c r="M178" t="str">
        <f>IFERROR(INDEX(PlayerSummaryTable[Rushing Yds],MATCH('Rankings Master'!D178,PlayerSummaryTable[Player],0)),"")</f>
        <v/>
      </c>
      <c r="N178" t="str">
        <f>IFERROR(INDEX(PlayerSummaryTable[Receiving Yds],MATCH('Rankings Master'!D178,PlayerSummaryTable[Player],0)),"")</f>
        <v/>
      </c>
      <c r="O178" t="str">
        <f>IFERROR(INDEX(PlayerSummaryTable[Passing Yds],MATCH('Rankings Master'!D178,PlayerSummaryTable[Player],0)),"")</f>
        <v/>
      </c>
      <c r="U178" t="str">
        <f>IF(COUNTIF('Draft Log'!$B$2:$B$301,D178)&gt;0,"DRAFTED","")</f>
        <v/>
      </c>
      <c r="V178" t="str">
        <f>IFERROR(INDEX('Draft Log'!$A$2:$A$301,MATCH(D178,'Draft Log'!$B$2:$B$301,0)),"")</f>
        <v/>
      </c>
      <c r="W178" t="str">
        <f>IFERROR(INDEX('Draft Log'!$C$2:$C$301,MATCH(D178,'Draft Log'!$B$2:$B$301,0)),"")</f>
        <v/>
      </c>
    </row>
    <row r="179" spans="1:23">
      <c r="A179" s="1">
        <v>176</v>
      </c>
      <c r="B179" t="s">
        <v>835</v>
      </c>
      <c r="C179" t="s">
        <v>836</v>
      </c>
      <c r="D179" t="str">
        <f>IF($D$1="ESPN",INDEX(Table2[Mapped Name],MATCH('Rankings Master'!$A179,Table2[Overall Rank],0)),IF('Rankings Master'!$D$1="NFL.com",INDEX(Table3[Name Clean],MATCH('Rankings Master'!$A179,Table3[Rank],0)),IF('Rankings Master'!$D$1="Sleeper",INDEX(Sleeper!$B$2:$B$201,MATCH('Rankings Master'!$A179,Sleeper!$A$2:$A$201,0)),"Need platform")))</f>
        <v>Cleveland Browns</v>
      </c>
      <c r="E179" t="str">
        <f>IF($D$1="ESPN",INDEX(Table2[Position],MATCH('Rankings Master'!$A179,Table2[Overall Rank],0)),IF('Rankings Master'!$D$1="NFL.com",INDEX(Table3[Position],MATCH('Rankings Master'!$A179,Table3[Rank],0)),INDEX(Sleeper!$C$2:$C$201,MATCH('Rankings Master'!A179,Sleeper!$A$2:$A$201,0))))</f>
        <v>DST</v>
      </c>
      <c r="F179">
        <f>INDEX(Table4[RK],MATCH('Rankings Master'!D179,Table4[PLAYER NAME],0))</f>
        <v>240</v>
      </c>
      <c r="G179">
        <f t="shared" si="24"/>
        <v>-64</v>
      </c>
      <c r="H179">
        <f t="shared" si="25"/>
        <v>-0.26666666666666666</v>
      </c>
      <c r="I179" t="str">
        <f t="shared" si="27"/>
        <v>Pretty Overvalued</v>
      </c>
      <c r="J179" t="str">
        <f t="shared" si="22"/>
        <v/>
      </c>
      <c r="K179" t="str">
        <f t="shared" si="26"/>
        <v>Check</v>
      </c>
      <c r="L179" t="str">
        <f>IF(J179="M",COUNTIFS($J$4:J179,"M",$E$4:E179,E179)&amp;" - "&amp;K179,"N/A")</f>
        <v>N/A</v>
      </c>
      <c r="M179" t="str">
        <f>IFERROR(INDEX(PlayerSummaryTable[Rushing Yds],MATCH('Rankings Master'!D179,PlayerSummaryTable[Player],0)),"")</f>
        <v/>
      </c>
      <c r="N179" t="str">
        <f>IFERROR(INDEX(PlayerSummaryTable[Receiving Yds],MATCH('Rankings Master'!D179,PlayerSummaryTable[Player],0)),"")</f>
        <v/>
      </c>
      <c r="O179" t="str">
        <f>IFERROR(INDEX(PlayerSummaryTable[Passing Yds],MATCH('Rankings Master'!D179,PlayerSummaryTable[Player],0)),"")</f>
        <v/>
      </c>
      <c r="U179" t="str">
        <f>IF(COUNTIF('Draft Log'!$B$2:$B$301,D179)&gt;0,"DRAFTED","")</f>
        <v/>
      </c>
      <c r="V179" t="str">
        <f>IFERROR(INDEX('Draft Log'!$A$2:$A$301,MATCH(D179,'Draft Log'!$B$2:$B$301,0)),"")</f>
        <v/>
      </c>
      <c r="W179" t="str">
        <f>IFERROR(INDEX('Draft Log'!$C$2:$C$301,MATCH(D179,'Draft Log'!$B$2:$B$301,0)),"")</f>
        <v/>
      </c>
    </row>
    <row r="180" spans="1:23">
      <c r="A180" s="1">
        <v>177</v>
      </c>
      <c r="B180" t="s">
        <v>837</v>
      </c>
      <c r="C180" t="s">
        <v>838</v>
      </c>
      <c r="D180" t="str">
        <f>IF($D$1="ESPN",INDEX(Table2[Mapped Name],MATCH('Rankings Master'!$A180,Table2[Overall Rank],0)),IF('Rankings Master'!$D$1="NFL.com",INDEX(Table3[Name Clean],MATCH('Rankings Master'!$A180,Table3[Rank],0)),IF('Rankings Master'!$D$1="Sleeper",INDEX(Sleeper!$B$2:$B$201,MATCH('Rankings Master'!$A180,Sleeper!$A$2:$A$201,0)),"Need platform")))</f>
        <v>New England Patriots</v>
      </c>
      <c r="E180" t="str">
        <f>IF($D$1="ESPN",INDEX(Table2[Position],MATCH('Rankings Master'!$A180,Table2[Overall Rank],0)),IF('Rankings Master'!$D$1="NFL.com",INDEX(Table3[Position],MATCH('Rankings Master'!$A180,Table3[Rank],0)),INDEX(Sleeper!$C$2:$C$201,MATCH('Rankings Master'!A180,Sleeper!$A$2:$A$201,0))))</f>
        <v>DST</v>
      </c>
      <c r="F180">
        <f>INDEX(Table4[RK],MATCH('Rankings Master'!D180,Table4[PLAYER NAME],0))</f>
        <v>181</v>
      </c>
      <c r="G180">
        <f t="shared" si="24"/>
        <v>-4</v>
      </c>
      <c r="H180">
        <f t="shared" si="25"/>
        <v>-2.2099447513812154E-2</v>
      </c>
      <c r="I180" t="str">
        <f t="shared" si="27"/>
        <v>Slightly Overvalued</v>
      </c>
      <c r="J180" t="str">
        <f t="shared" si="22"/>
        <v/>
      </c>
      <c r="K180" t="str">
        <f t="shared" si="26"/>
        <v>Check</v>
      </c>
      <c r="L180" t="str">
        <f>IF(J180="M",COUNTIFS($J$4:J180,"M",$E$4:E180,E180)&amp;" - "&amp;K180,"N/A")</f>
        <v>N/A</v>
      </c>
      <c r="M180" t="str">
        <f>IFERROR(INDEX(PlayerSummaryTable[Rushing Yds],MATCH('Rankings Master'!D180,PlayerSummaryTable[Player],0)),"")</f>
        <v/>
      </c>
      <c r="N180" t="str">
        <f>IFERROR(INDEX(PlayerSummaryTable[Receiving Yds],MATCH('Rankings Master'!D180,PlayerSummaryTable[Player],0)),"")</f>
        <v/>
      </c>
      <c r="O180" t="str">
        <f>IFERROR(INDEX(PlayerSummaryTable[Passing Yds],MATCH('Rankings Master'!D180,PlayerSummaryTable[Player],0)),"")</f>
        <v/>
      </c>
      <c r="U180" t="str">
        <f>IF(COUNTIF('Draft Log'!$B$2:$B$301,D180)&gt;0,"DRAFTED","")</f>
        <v/>
      </c>
      <c r="V180" t="str">
        <f>IFERROR(INDEX('Draft Log'!$A$2:$A$301,MATCH(D180,'Draft Log'!$B$2:$B$301,0)),"")</f>
        <v/>
      </c>
      <c r="W180" t="str">
        <f>IFERROR(INDEX('Draft Log'!$C$2:$C$301,MATCH(D180,'Draft Log'!$B$2:$B$301,0)),"")</f>
        <v/>
      </c>
    </row>
    <row r="181" spans="1:23">
      <c r="A181" s="1">
        <v>178</v>
      </c>
      <c r="B181" t="s">
        <v>839</v>
      </c>
      <c r="C181" t="s">
        <v>840</v>
      </c>
      <c r="D181" t="str">
        <f>IF($D$1="ESPN",INDEX(Table2[Mapped Name],MATCH('Rankings Master'!$A181,Table2[Overall Rank],0)),IF('Rankings Master'!$D$1="NFL.com",INDEX(Table3[Name Clean],MATCH('Rankings Master'!$A181,Table3[Rank],0)),IF('Rankings Master'!$D$1="Sleeper",INDEX(Sleeper!$B$2:$B$201,MATCH('Rankings Master'!$A181,Sleeper!$A$2:$A$201,0)),"Need platform")))</f>
        <v>Detroit Lions</v>
      </c>
      <c r="E181" t="str">
        <f>IF($D$1="ESPN",INDEX(Table2[Position],MATCH('Rankings Master'!$A181,Table2[Overall Rank],0)),IF('Rankings Master'!$D$1="NFL.com",INDEX(Table3[Position],MATCH('Rankings Master'!$A181,Table3[Rank],0)),INDEX(Sleeper!$C$2:$C$201,MATCH('Rankings Master'!A181,Sleeper!$A$2:$A$201,0))))</f>
        <v>DST</v>
      </c>
      <c r="F181">
        <f>INDEX(Table4[RK],MATCH('Rankings Master'!D181,Table4[PLAYER NAME],0))</f>
        <v>228</v>
      </c>
      <c r="G181">
        <f t="shared" si="24"/>
        <v>-50</v>
      </c>
      <c r="H181">
        <f t="shared" si="25"/>
        <v>-0.21929824561403508</v>
      </c>
      <c r="I181" t="str">
        <f t="shared" si="27"/>
        <v>Pretty Overvalued</v>
      </c>
      <c r="J181" t="str">
        <f t="shared" si="22"/>
        <v/>
      </c>
      <c r="K181" t="str">
        <f t="shared" si="26"/>
        <v>Check</v>
      </c>
      <c r="L181" t="str">
        <f>IF(J181="M",COUNTIFS($J$4:J181,"M",$E$4:E181,E181)&amp;" - "&amp;K181,"N/A")</f>
        <v>N/A</v>
      </c>
      <c r="M181" t="str">
        <f>IFERROR(INDEX(PlayerSummaryTable[Rushing Yds],MATCH('Rankings Master'!D181,PlayerSummaryTable[Player],0)),"")</f>
        <v/>
      </c>
      <c r="N181" t="str">
        <f>IFERROR(INDEX(PlayerSummaryTable[Receiving Yds],MATCH('Rankings Master'!D181,PlayerSummaryTable[Player],0)),"")</f>
        <v/>
      </c>
      <c r="O181" t="str">
        <f>IFERROR(INDEX(PlayerSummaryTable[Passing Yds],MATCH('Rankings Master'!D181,PlayerSummaryTable[Player],0)),"")</f>
        <v/>
      </c>
      <c r="U181" t="str">
        <f>IF(COUNTIF('Draft Log'!$B$2:$B$301,D181)&gt;0,"DRAFTED","")</f>
        <v/>
      </c>
      <c r="V181" t="str">
        <f>IFERROR(INDEX('Draft Log'!$A$2:$A$301,MATCH(D181,'Draft Log'!$B$2:$B$301,0)),"")</f>
        <v/>
      </c>
      <c r="W181" t="str">
        <f>IFERROR(INDEX('Draft Log'!$C$2:$C$301,MATCH(D181,'Draft Log'!$B$2:$B$301,0)),"")</f>
        <v/>
      </c>
    </row>
    <row r="182" spans="1:23">
      <c r="A182" s="1">
        <v>179</v>
      </c>
      <c r="B182" t="s">
        <v>729</v>
      </c>
      <c r="C182" t="s">
        <v>841</v>
      </c>
      <c r="D182" t="str">
        <f>IF($D$1="ESPN",INDEX(Table2[Mapped Name],MATCH('Rankings Master'!$A182,Table2[Overall Rank],0)),IF('Rankings Master'!$D$1="NFL.com",INDEX(Table3[Name Clean],MATCH('Rankings Master'!$A182,Table3[Rank],0)),IF('Rankings Master'!$D$1="Sleeper",INDEX(Sleeper!$B$2:$B$201,MATCH('Rankings Master'!$A182,Sleeper!$A$2:$A$201,0)),"Need platform")))</f>
        <v>Kansas City Chiefs</v>
      </c>
      <c r="E182" t="str">
        <f>IF($D$1="ESPN",INDEX(Table2[Position],MATCH('Rankings Master'!$A182,Table2[Overall Rank],0)),IF('Rankings Master'!$D$1="NFL.com",INDEX(Table3[Position],MATCH('Rankings Master'!$A182,Table3[Rank],0)),INDEX(Sleeper!$C$2:$C$201,MATCH('Rankings Master'!A182,Sleeper!$A$2:$A$201,0))))</f>
        <v>DST</v>
      </c>
      <c r="F182">
        <f>INDEX(Table4[RK],MATCH('Rankings Master'!D182,Table4[PLAYER NAME],0))</f>
        <v>211</v>
      </c>
      <c r="G182">
        <f t="shared" si="24"/>
        <v>-32</v>
      </c>
      <c r="H182">
        <f t="shared" si="25"/>
        <v>-0.15165876777251186</v>
      </c>
      <c r="I182" t="str">
        <f t="shared" si="27"/>
        <v>Pretty Overvalued</v>
      </c>
      <c r="J182" t="str">
        <f t="shared" si="22"/>
        <v/>
      </c>
      <c r="K182" t="str">
        <f t="shared" si="26"/>
        <v>Check</v>
      </c>
      <c r="L182" t="str">
        <f>IF(J182="M",COUNTIFS($J$4:J182,"M",$E$4:E182,E182)&amp;" - "&amp;K182,"N/A")</f>
        <v>N/A</v>
      </c>
      <c r="M182" t="str">
        <f>IFERROR(INDEX(PlayerSummaryTable[Rushing Yds],MATCH('Rankings Master'!D182,PlayerSummaryTable[Player],0)),"")</f>
        <v/>
      </c>
      <c r="N182" t="str">
        <f>IFERROR(INDEX(PlayerSummaryTable[Receiving Yds],MATCH('Rankings Master'!D182,PlayerSummaryTable[Player],0)),"")</f>
        <v/>
      </c>
      <c r="O182" t="str">
        <f>IFERROR(INDEX(PlayerSummaryTable[Passing Yds],MATCH('Rankings Master'!D182,PlayerSummaryTable[Player],0)),"")</f>
        <v/>
      </c>
      <c r="U182" t="str">
        <f>IF(COUNTIF('Draft Log'!$B$2:$B$301,D182)&gt;0,"DRAFTED","")</f>
        <v/>
      </c>
      <c r="V182" t="str">
        <f>IFERROR(INDEX('Draft Log'!$A$2:$A$301,MATCH(D182,'Draft Log'!$B$2:$B$301,0)),"")</f>
        <v/>
      </c>
      <c r="W182" t="str">
        <f>IFERROR(INDEX('Draft Log'!$C$2:$C$301,MATCH(D182,'Draft Log'!$B$2:$B$301,0)),"")</f>
        <v/>
      </c>
    </row>
    <row r="183" spans="1:23">
      <c r="A183" s="1">
        <v>180</v>
      </c>
      <c r="B183" t="s">
        <v>811</v>
      </c>
      <c r="C183" t="s">
        <v>842</v>
      </c>
      <c r="D183" t="str">
        <f>IF($D$1="ESPN",INDEX(Table2[Mapped Name],MATCH('Rankings Master'!$A183,Table2[Overall Rank],0)),IF('Rankings Master'!$D$1="NFL.com",INDEX(Table3[Name Clean],MATCH('Rankings Master'!$A183,Table3[Rank],0)),IF('Rankings Master'!$D$1="Sleeper",INDEX(Sleeper!$B$2:$B$201,MATCH('Rankings Master'!$A183,Sleeper!$A$2:$A$201,0)),"Need platform")))</f>
        <v>Los Angeles Chargers</v>
      </c>
      <c r="E183" t="str">
        <f>IF($D$1="ESPN",INDEX(Table2[Position],MATCH('Rankings Master'!$A183,Table2[Overall Rank],0)),IF('Rankings Master'!$D$1="NFL.com",INDEX(Table3[Position],MATCH('Rankings Master'!$A183,Table3[Rank],0)),INDEX(Sleeper!$C$2:$C$201,MATCH('Rankings Master'!A183,Sleeper!$A$2:$A$201,0))))</f>
        <v>DST</v>
      </c>
      <c r="F183">
        <f>INDEX(Table4[RK],MATCH('Rankings Master'!D183,Table4[PLAYER NAME],0))</f>
        <v>190</v>
      </c>
      <c r="G183">
        <f t="shared" si="24"/>
        <v>-10</v>
      </c>
      <c r="H183">
        <f t="shared" si="25"/>
        <v>-5.2631578947368418E-2</v>
      </c>
      <c r="I183" t="str">
        <f t="shared" si="27"/>
        <v>Slightly Overvalued</v>
      </c>
      <c r="J183" t="str">
        <f t="shared" si="22"/>
        <v/>
      </c>
      <c r="K183" t="str">
        <f t="shared" si="26"/>
        <v>Check</v>
      </c>
      <c r="L183" t="str">
        <f>IF(J183="M",COUNTIFS($J$4:J183,"M",$E$4:E183,E183)&amp;" - "&amp;K183,"N/A")</f>
        <v>N/A</v>
      </c>
      <c r="M183" t="str">
        <f>IFERROR(INDEX(PlayerSummaryTable[Rushing Yds],MATCH('Rankings Master'!D183,PlayerSummaryTable[Player],0)),"")</f>
        <v/>
      </c>
      <c r="N183" t="str">
        <f>IFERROR(INDEX(PlayerSummaryTable[Receiving Yds],MATCH('Rankings Master'!D183,PlayerSummaryTable[Player],0)),"")</f>
        <v/>
      </c>
      <c r="O183" t="str">
        <f>IFERROR(INDEX(PlayerSummaryTable[Passing Yds],MATCH('Rankings Master'!D183,PlayerSummaryTable[Player],0)),"")</f>
        <v/>
      </c>
      <c r="U183" t="str">
        <f>IF(COUNTIF('Draft Log'!$B$2:$B$301,D183)&gt;0,"DRAFTED","")</f>
        <v/>
      </c>
      <c r="V183" t="str">
        <f>IFERROR(INDEX('Draft Log'!$A$2:$A$301,MATCH(D183,'Draft Log'!$B$2:$B$301,0)),"")</f>
        <v/>
      </c>
      <c r="W183" t="str">
        <f>IFERROR(INDEX('Draft Log'!$C$2:$C$301,MATCH(D183,'Draft Log'!$B$2:$B$301,0)),"")</f>
        <v/>
      </c>
    </row>
    <row r="184" spans="1:23">
      <c r="A184" s="1">
        <v>181</v>
      </c>
      <c r="B184" t="s">
        <v>743</v>
      </c>
      <c r="C184" t="s">
        <v>843</v>
      </c>
      <c r="D184" t="str">
        <f>IF($D$1="ESPN",INDEX(Table2[Mapped Name],MATCH('Rankings Master'!$A184,Table2[Overall Rank],0)),IF('Rankings Master'!$D$1="NFL.com",INDEX(Table3[Name Clean],MATCH('Rankings Master'!$A184,Table3[Rank],0)),IF('Rankings Master'!$D$1="Sleeper",INDEX(Sleeper!$B$2:$B$201,MATCH('Rankings Master'!$A184,Sleeper!$A$2:$A$201,0)),"Need platform")))</f>
        <v>Brandon Aubrey</v>
      </c>
      <c r="E184" t="str">
        <f>IF($D$1="ESPN",INDEX(Table2[Position],MATCH('Rankings Master'!$A184,Table2[Overall Rank],0)),IF('Rankings Master'!$D$1="NFL.com",INDEX(Table3[Position],MATCH('Rankings Master'!$A184,Table3[Rank],0)),INDEX(Sleeper!$C$2:$C$201,MATCH('Rankings Master'!A184,Sleeper!$A$2:$A$201,0))))</f>
        <v>K</v>
      </c>
      <c r="F184">
        <f>INDEX(Table4[RK],MATCH('Rankings Master'!D184,Table4[PLAYER NAME],0))</f>
        <v>180</v>
      </c>
      <c r="G184">
        <f t="shared" si="24"/>
        <v>1</v>
      </c>
      <c r="H184">
        <f t="shared" si="25"/>
        <v>5.5555555555555558E-3</v>
      </c>
      <c r="I184" t="str">
        <f t="shared" si="27"/>
        <v>Slightly Undervalued</v>
      </c>
      <c r="J184" t="str">
        <f t="shared" si="22"/>
        <v>Y</v>
      </c>
      <c r="K184">
        <f t="shared" si="26"/>
        <v>5</v>
      </c>
      <c r="L184" t="str">
        <f>IF(J184="M",COUNTIFS($J$4:J184,"M",$E$4:E184,E184)&amp;" - "&amp;K184,"N/A")</f>
        <v>N/A</v>
      </c>
      <c r="M184" t="str">
        <f>IFERROR(INDEX(PlayerSummaryTable[Rushing Yds],MATCH('Rankings Master'!D184,PlayerSummaryTable[Player],0)),"")</f>
        <v/>
      </c>
      <c r="N184" t="str">
        <f>IFERROR(INDEX(PlayerSummaryTable[Receiving Yds],MATCH('Rankings Master'!D184,PlayerSummaryTable[Player],0)),"")</f>
        <v/>
      </c>
      <c r="O184" t="str">
        <f>IFERROR(INDEX(PlayerSummaryTable[Passing Yds],MATCH('Rankings Master'!D184,PlayerSummaryTable[Player],0)),"")</f>
        <v/>
      </c>
      <c r="U184" t="str">
        <f>IF(COUNTIF('Draft Log'!$B$2:$B$301,D184)&gt;0,"DRAFTED","")</f>
        <v>DRAFTED</v>
      </c>
      <c r="V184">
        <f>IFERROR(INDEX('Draft Log'!$A$2:$A$301,MATCH(D184,'Draft Log'!$B$2:$B$301,0)),"")</f>
        <v>121</v>
      </c>
      <c r="W184" t="str">
        <f>IFERROR(INDEX('Draft Log'!$C$2:$C$301,MATCH(D184,'Draft Log'!$B$2:$B$301,0)),"")</f>
        <v>Team Afeef</v>
      </c>
    </row>
    <row r="185" spans="1:23">
      <c r="A185" s="1">
        <v>182</v>
      </c>
      <c r="B185" t="s">
        <v>844</v>
      </c>
      <c r="C185" t="s">
        <v>845</v>
      </c>
      <c r="D185" t="str">
        <f>IF($D$1="ESPN",INDEX(Table2[Mapped Name],MATCH('Rankings Master'!$A185,Table2[Overall Rank],0)),IF('Rankings Master'!$D$1="NFL.com",INDEX(Table3[Name Clean],MATCH('Rankings Master'!$A185,Table3[Rank],0)),IF('Rankings Master'!$D$1="Sleeper",INDEX(Sleeper!$B$2:$B$201,MATCH('Rankings Master'!$A185,Sleeper!$A$2:$A$201,0)),"Need platform")))</f>
        <v>Cameron Dicker</v>
      </c>
      <c r="E185" t="str">
        <f>IF($D$1="ESPN",INDEX(Table2[Position],MATCH('Rankings Master'!$A185,Table2[Overall Rank],0)),IF('Rankings Master'!$D$1="NFL.com",INDEX(Table3[Position],MATCH('Rankings Master'!$A185,Table3[Rank],0)),INDEX(Sleeper!$C$2:$C$201,MATCH('Rankings Master'!A185,Sleeper!$A$2:$A$201,0))))</f>
        <v>K</v>
      </c>
      <c r="F185">
        <f>INDEX(Table4[RK],MATCH('Rankings Master'!D185,Table4[PLAYER NAME],0))</f>
        <v>191</v>
      </c>
      <c r="G185">
        <f t="shared" si="24"/>
        <v>-9</v>
      </c>
      <c r="H185">
        <f t="shared" si="25"/>
        <v>-4.712041884816754E-2</v>
      </c>
      <c r="I185" t="str">
        <f t="shared" si="27"/>
        <v>Slightly Overvalued</v>
      </c>
      <c r="J185" t="str">
        <f t="shared" si="22"/>
        <v>Y</v>
      </c>
      <c r="K185">
        <f t="shared" si="26"/>
        <v>5</v>
      </c>
      <c r="L185" t="str">
        <f>IF(J185="M",COUNTIFS($J$4:J185,"M",$E$4:E185,E185)&amp;" - "&amp;K185,"N/A")</f>
        <v>N/A</v>
      </c>
      <c r="M185" t="str">
        <f>IFERROR(INDEX(PlayerSummaryTable[Rushing Yds],MATCH('Rankings Master'!D185,PlayerSummaryTable[Player],0)),"")</f>
        <v/>
      </c>
      <c r="N185" t="str">
        <f>IFERROR(INDEX(PlayerSummaryTable[Receiving Yds],MATCH('Rankings Master'!D185,PlayerSummaryTable[Player],0)),"")</f>
        <v/>
      </c>
      <c r="O185" t="str">
        <f>IFERROR(INDEX(PlayerSummaryTable[Passing Yds],MATCH('Rankings Master'!D185,PlayerSummaryTable[Player],0)),"")</f>
        <v/>
      </c>
      <c r="U185" t="str">
        <f>IF(COUNTIF('Draft Log'!$B$2:$B$301,D185)&gt;0,"DRAFTED","")</f>
        <v>DRAFTED</v>
      </c>
      <c r="V185">
        <f>IFERROR(INDEX('Draft Log'!$A$2:$A$301,MATCH(D185,'Draft Log'!$B$2:$B$301,0)),"")</f>
        <v>166</v>
      </c>
      <c r="W185" t="str">
        <f>IFERROR(INDEX('Draft Log'!$C$2:$C$301,MATCH(D185,'Draft Log'!$B$2:$B$301,0)),"")</f>
        <v>BEST COUNTRY IN THE WORLD</v>
      </c>
    </row>
    <row r="186" spans="1:23">
      <c r="A186" s="1">
        <v>183</v>
      </c>
      <c r="B186" t="s">
        <v>844</v>
      </c>
      <c r="C186" t="s">
        <v>846</v>
      </c>
      <c r="D186" t="str">
        <f>IF($D$1="ESPN",INDEX(Table2[Mapped Name],MATCH('Rankings Master'!$A186,Table2[Overall Rank],0)),IF('Rankings Master'!$D$1="NFL.com",INDEX(Table3[Name Clean],MATCH('Rankings Master'!$A186,Table3[Rank],0)),IF('Rankings Master'!$D$1="Sleeper",INDEX(Sleeper!$B$2:$B$201,MATCH('Rankings Master'!$A186,Sleeper!$A$2:$A$201,0)),"Need platform")))</f>
        <v>Jason Myers</v>
      </c>
      <c r="E186" t="str">
        <f>IF($D$1="ESPN",INDEX(Table2[Position],MATCH('Rankings Master'!$A186,Table2[Overall Rank],0)),IF('Rankings Master'!$D$1="NFL.com",INDEX(Table3[Position],MATCH('Rankings Master'!$A186,Table3[Rank],0)),INDEX(Sleeper!$C$2:$C$201,MATCH('Rankings Master'!A186,Sleeper!$A$2:$A$201,0))))</f>
        <v>K</v>
      </c>
      <c r="F186">
        <f>INDEX(Table4[RK],MATCH('Rankings Master'!D186,Table4[PLAYER NAME],0))</f>
        <v>202</v>
      </c>
      <c r="G186">
        <f t="shared" si="24"/>
        <v>-19</v>
      </c>
      <c r="H186">
        <f t="shared" si="25"/>
        <v>-9.405940594059406E-2</v>
      </c>
      <c r="I186" t="str">
        <f t="shared" si="27"/>
        <v>Slightly Overvalued</v>
      </c>
      <c r="J186" t="str">
        <f t="shared" si="22"/>
        <v>Y</v>
      </c>
      <c r="K186">
        <f t="shared" si="26"/>
        <v>5</v>
      </c>
      <c r="L186" t="str">
        <f>IF(J186="M",COUNTIFS($J$4:J186,"M",$E$4:E186,E186)&amp;" - "&amp;K186,"N/A")</f>
        <v>N/A</v>
      </c>
      <c r="M186" t="str">
        <f>IFERROR(INDEX(PlayerSummaryTable[Rushing Yds],MATCH('Rankings Master'!D186,PlayerSummaryTable[Player],0)),"")</f>
        <v/>
      </c>
      <c r="N186" t="str">
        <f>IFERROR(INDEX(PlayerSummaryTable[Receiving Yds],MATCH('Rankings Master'!D186,PlayerSummaryTable[Player],0)),"")</f>
        <v/>
      </c>
      <c r="O186" t="str">
        <f>IFERROR(INDEX(PlayerSummaryTable[Passing Yds],MATCH('Rankings Master'!D186,PlayerSummaryTable[Player],0)),"")</f>
        <v/>
      </c>
      <c r="U186" t="str">
        <f>IF(COUNTIF('Draft Log'!$B$2:$B$301,D186)&gt;0,"DRAFTED","")</f>
        <v>DRAFTED</v>
      </c>
      <c r="V186">
        <f>IFERROR(INDEX('Draft Log'!$A$2:$A$301,MATCH(D186,'Draft Log'!$B$2:$B$301,0)),"")</f>
        <v>132</v>
      </c>
      <c r="W186" t="str">
        <f>IFERROR(INDEX('Draft Log'!$C$2:$C$301,MATCH(D186,'Draft Log'!$B$2:$B$301,0)),"")</f>
        <v>The Good, Bad and Ugly</v>
      </c>
    </row>
    <row r="187" spans="1:23">
      <c r="A187" s="1">
        <v>184</v>
      </c>
      <c r="B187" t="s">
        <v>701</v>
      </c>
      <c r="C187" t="s">
        <v>710</v>
      </c>
      <c r="D187" t="str">
        <f>IF($D$1="ESPN",INDEX(Table2[Mapped Name],MATCH('Rankings Master'!$A187,Table2[Overall Rank],0)),IF('Rankings Master'!$D$1="NFL.com",INDEX(Table3[Name Clean],MATCH('Rankings Master'!$A187,Table3[Rank],0)),IF('Rankings Master'!$D$1="Sleeper",INDEX(Sleeper!$B$2:$B$201,MATCH('Rankings Master'!$A187,Sleeper!$A$2:$A$201,0)),"Need platform")))</f>
        <v>Harrison Mevis</v>
      </c>
      <c r="E187" t="str">
        <f>IF($D$1="ESPN",INDEX(Table2[Position],MATCH('Rankings Master'!$A187,Table2[Overall Rank],0)),IF('Rankings Master'!$D$1="NFL.com",INDEX(Table3[Position],MATCH('Rankings Master'!$A187,Table3[Rank],0)),INDEX(Sleeper!$C$2:$C$201,MATCH('Rankings Master'!A187,Sleeper!$A$2:$A$201,0))))</f>
        <v>K</v>
      </c>
      <c r="F187">
        <f>INDEX(Table4[RK],MATCH('Rankings Master'!D187,Table4[PLAYER NAME],0))</f>
        <v>238</v>
      </c>
      <c r="G187">
        <f t="shared" si="24"/>
        <v>-54</v>
      </c>
      <c r="H187">
        <f t="shared" si="25"/>
        <v>-0.22689075630252101</v>
      </c>
      <c r="I187" t="str">
        <f t="shared" si="27"/>
        <v>Pretty Overvalued</v>
      </c>
      <c r="J187" t="str">
        <f t="shared" si="22"/>
        <v>Y</v>
      </c>
      <c r="K187">
        <f t="shared" si="26"/>
        <v>5</v>
      </c>
      <c r="L187" t="str">
        <f>IF(J187="M",COUNTIFS($J$4:J187,"M",$E$4:E187,E187)&amp;" - "&amp;K187,"N/A")</f>
        <v>N/A</v>
      </c>
      <c r="M187" t="str">
        <f>IFERROR(INDEX(PlayerSummaryTable[Rushing Yds],MATCH('Rankings Master'!D187,PlayerSummaryTable[Player],0)),"")</f>
        <v/>
      </c>
      <c r="N187" t="str">
        <f>IFERROR(INDEX(PlayerSummaryTable[Receiving Yds],MATCH('Rankings Master'!D187,PlayerSummaryTable[Player],0)),"")</f>
        <v/>
      </c>
      <c r="O187" t="str">
        <f>IFERROR(INDEX(PlayerSummaryTable[Passing Yds],MATCH('Rankings Master'!D187,PlayerSummaryTable[Player],0)),"")</f>
        <v/>
      </c>
      <c r="U187" t="str">
        <f>IF(COUNTIF('Draft Log'!$B$2:$B$301,D187)&gt;0,"DRAFTED","")</f>
        <v>DRAFTED</v>
      </c>
      <c r="V187">
        <f>IFERROR(INDEX('Draft Log'!$A$2:$A$301,MATCH(D187,'Draft Log'!$B$2:$B$301,0)),"")</f>
        <v>142</v>
      </c>
      <c r="W187" t="str">
        <f>IFERROR(INDEX('Draft Log'!$C$2:$C$301,MATCH(D187,'Draft Log'!$B$2:$B$301,0)),"")</f>
        <v>Benjamins Bandits</v>
      </c>
    </row>
    <row r="188" spans="1:23">
      <c r="A188" s="1">
        <v>185</v>
      </c>
      <c r="B188" t="s">
        <v>579</v>
      </c>
      <c r="C188" t="s">
        <v>847</v>
      </c>
      <c r="D188" t="str">
        <f>IF($D$1="ESPN",INDEX(Table2[Mapped Name],MATCH('Rankings Master'!$A188,Table2[Overall Rank],0)),IF('Rankings Master'!$D$1="NFL.com",INDEX(Table3[Name Clean],MATCH('Rankings Master'!$A188,Table3[Rank],0)),IF('Rankings Master'!$D$1="Sleeper",INDEX(Sleeper!$B$2:$B$201,MATCH('Rankings Master'!$A188,Sleeper!$A$2:$A$201,0)),"Need platform")))</f>
        <v>Ka'imi Fairbairn</v>
      </c>
      <c r="E188" t="str">
        <f>IF($D$1="ESPN",INDEX(Table2[Position],MATCH('Rankings Master'!$A188,Table2[Overall Rank],0)),IF('Rankings Master'!$D$1="NFL.com",INDEX(Table3[Position],MATCH('Rankings Master'!$A188,Table3[Rank],0)),INDEX(Sleeper!$C$2:$C$201,MATCH('Rankings Master'!A188,Sleeper!$A$2:$A$201,0))))</f>
        <v>K</v>
      </c>
      <c r="F188">
        <f>INDEX(Table4[RK],MATCH('Rankings Master'!D188,Table4[PLAYER NAME],0))</f>
        <v>192</v>
      </c>
      <c r="G188">
        <f t="shared" si="24"/>
        <v>-7</v>
      </c>
      <c r="H188">
        <f t="shared" si="25"/>
        <v>-3.6458333333333336E-2</v>
      </c>
      <c r="I188" t="str">
        <f t="shared" si="27"/>
        <v>Slightly Overvalued</v>
      </c>
      <c r="J188" t="str">
        <f t="shared" si="22"/>
        <v>Y</v>
      </c>
      <c r="K188">
        <f t="shared" si="26"/>
        <v>5</v>
      </c>
      <c r="L188" t="str">
        <f>IF(J188="M",COUNTIFS($J$4:J188,"M",$E$4:E188,E188)&amp;" - "&amp;K188,"N/A")</f>
        <v>N/A</v>
      </c>
      <c r="M188" t="str">
        <f>IFERROR(INDEX(PlayerSummaryTable[Rushing Yds],MATCH('Rankings Master'!D188,PlayerSummaryTable[Player],0)),"")</f>
        <v/>
      </c>
      <c r="N188" t="str">
        <f>IFERROR(INDEX(PlayerSummaryTable[Receiving Yds],MATCH('Rankings Master'!D188,PlayerSummaryTable[Player],0)),"")</f>
        <v/>
      </c>
      <c r="O188" t="str">
        <f>IFERROR(INDEX(PlayerSummaryTable[Passing Yds],MATCH('Rankings Master'!D188,PlayerSummaryTable[Player],0)),"")</f>
        <v/>
      </c>
      <c r="U188" t="str">
        <f>IF(COUNTIF('Draft Log'!$B$2:$B$301,D188)&gt;0,"DRAFTED","")</f>
        <v>DRAFTED</v>
      </c>
      <c r="V188">
        <f>IFERROR(INDEX('Draft Log'!$A$2:$A$301,MATCH(D188,'Draft Log'!$B$2:$B$301,0)),"")</f>
        <v>151</v>
      </c>
      <c r="W188" t="str">
        <f>IFERROR(INDEX('Draft Log'!$C$2:$C$301,MATCH(D188,'Draft Log'!$B$2:$B$301,0)),"")</f>
        <v>Double Chubb Chocolate Cookie</v>
      </c>
    </row>
    <row r="189" spans="1:23">
      <c r="A189" s="1">
        <v>186</v>
      </c>
      <c r="B189" t="s">
        <v>583</v>
      </c>
      <c r="C189" t="s">
        <v>848</v>
      </c>
      <c r="D189" t="str">
        <f>IF($D$1="ESPN",INDEX(Table2[Mapped Name],MATCH('Rankings Master'!$A189,Table2[Overall Rank],0)),IF('Rankings Master'!$D$1="NFL.com",INDEX(Table3[Name Clean],MATCH('Rankings Master'!$A189,Table3[Rank],0)),IF('Rankings Master'!$D$1="Sleeper",INDEX(Sleeper!$B$2:$B$201,MATCH('Rankings Master'!$A189,Sleeper!$A$2:$A$201,0)),"Need platform")))</f>
        <v>Eddy Pineiro</v>
      </c>
      <c r="E189" t="str">
        <f>IF($D$1="ESPN",INDEX(Table2[Position],MATCH('Rankings Master'!$A189,Table2[Overall Rank],0)),IF('Rankings Master'!$D$1="NFL.com",INDEX(Table3[Position],MATCH('Rankings Master'!$A189,Table3[Rank],0)),INDEX(Sleeper!$C$2:$C$201,MATCH('Rankings Master'!A189,Sleeper!$A$2:$A$201,0))))</f>
        <v>K</v>
      </c>
      <c r="F189">
        <f>INDEX(Table4[RK],MATCH('Rankings Master'!D189,Table4[PLAYER NAME],0))</f>
        <v>214</v>
      </c>
      <c r="G189">
        <f t="shared" si="24"/>
        <v>-28</v>
      </c>
      <c r="H189">
        <f t="shared" si="25"/>
        <v>-0.13084112149532709</v>
      </c>
      <c r="I189" t="str">
        <f t="shared" si="27"/>
        <v>Slightly Overvalued</v>
      </c>
      <c r="J189" t="str">
        <f t="shared" si="22"/>
        <v>Y</v>
      </c>
      <c r="K189">
        <f t="shared" si="26"/>
        <v>5</v>
      </c>
      <c r="L189" t="str">
        <f>IF(J189="M",COUNTIFS($J$4:J189,"M",$E$4:E189,E189)&amp;" - "&amp;K189,"N/A")</f>
        <v>N/A</v>
      </c>
      <c r="M189" t="str">
        <f>IFERROR(INDEX(PlayerSummaryTable[Rushing Yds],MATCH('Rankings Master'!D189,PlayerSummaryTable[Player],0)),"")</f>
        <v/>
      </c>
      <c r="N189" t="str">
        <f>IFERROR(INDEX(PlayerSummaryTable[Receiving Yds],MATCH('Rankings Master'!D189,PlayerSummaryTable[Player],0)),"")</f>
        <v/>
      </c>
      <c r="O189" t="str">
        <f>IFERROR(INDEX(PlayerSummaryTable[Passing Yds],MATCH('Rankings Master'!D189,PlayerSummaryTable[Player],0)),"")</f>
        <v/>
      </c>
      <c r="U189" t="str">
        <f>IF(COUNTIF('Draft Log'!$B$2:$B$301,D189)&gt;0,"DRAFTED","")</f>
        <v>DRAFTED</v>
      </c>
      <c r="V189">
        <f>IFERROR(INDEX('Draft Log'!$A$2:$A$301,MATCH(D189,'Draft Log'!$B$2:$B$301,0)),"")</f>
        <v>154</v>
      </c>
      <c r="W189" t="str">
        <f>IFERROR(INDEX('Draft Log'!$C$2:$C$301,MATCH(D189,'Draft Log'!$B$2:$B$301,0)),"")</f>
        <v>Eight Bell Tolls</v>
      </c>
    </row>
    <row r="190" spans="1:23">
      <c r="A190" s="1">
        <v>187</v>
      </c>
      <c r="B190" t="s">
        <v>849</v>
      </c>
      <c r="C190" t="s">
        <v>850</v>
      </c>
      <c r="D190" t="str">
        <f>IF($D$1="ESPN",INDEX(Table2[Mapped Name],MATCH('Rankings Master'!$A190,Table2[Overall Rank],0)),IF('Rankings Master'!$D$1="NFL.com",INDEX(Table3[Name Clean],MATCH('Rankings Master'!$A190,Table3[Rank],0)),IF('Rankings Master'!$D$1="Sleeper",INDEX(Sleeper!$B$2:$B$201,MATCH('Rankings Master'!$A190,Sleeper!$A$2:$A$201,0)),"Need platform")))</f>
        <v>Harrison Butker</v>
      </c>
      <c r="E190" t="str">
        <f>IF($D$1="ESPN",INDEX(Table2[Position],MATCH('Rankings Master'!$A190,Table2[Overall Rank],0)),IF('Rankings Master'!$D$1="NFL.com",INDEX(Table3[Position],MATCH('Rankings Master'!$A190,Table3[Rank],0)),INDEX(Sleeper!$C$2:$C$201,MATCH('Rankings Master'!A190,Sleeper!$A$2:$A$201,0))))</f>
        <v>K</v>
      </c>
      <c r="F190">
        <f>INDEX(Table4[RK],MATCH('Rankings Master'!D190,Table4[PLAYER NAME],0))</f>
        <v>254</v>
      </c>
      <c r="G190">
        <f t="shared" si="24"/>
        <v>-67</v>
      </c>
      <c r="H190">
        <f t="shared" si="25"/>
        <v>-0.26377952755905509</v>
      </c>
      <c r="I190" t="str">
        <f t="shared" si="27"/>
        <v>Pretty Overvalued</v>
      </c>
      <c r="J190" t="str">
        <f t="shared" si="22"/>
        <v/>
      </c>
      <c r="K190">
        <f t="shared" si="26"/>
        <v>5</v>
      </c>
      <c r="L190" t="str">
        <f>IF(J190="M",COUNTIFS($J$4:J190,"M",$E$4:E190,E190)&amp;" - "&amp;K190,"N/A")</f>
        <v>N/A</v>
      </c>
      <c r="M190" t="str">
        <f>IFERROR(INDEX(PlayerSummaryTable[Rushing Yds],MATCH('Rankings Master'!D190,PlayerSummaryTable[Player],0)),"")</f>
        <v/>
      </c>
      <c r="N190" t="str">
        <f>IFERROR(INDEX(PlayerSummaryTable[Receiving Yds],MATCH('Rankings Master'!D190,PlayerSummaryTable[Player],0)),"")</f>
        <v/>
      </c>
      <c r="O190" t="str">
        <f>IFERROR(INDEX(PlayerSummaryTable[Passing Yds],MATCH('Rankings Master'!D190,PlayerSummaryTable[Player],0)),"")</f>
        <v/>
      </c>
      <c r="U190" t="str">
        <f>IF(COUNTIF('Draft Log'!$B$2:$B$301,D190)&gt;0,"DRAFTED","")</f>
        <v/>
      </c>
      <c r="V190" t="str">
        <f>IFERROR(INDEX('Draft Log'!$A$2:$A$301,MATCH(D190,'Draft Log'!$B$2:$B$301,0)),"")</f>
        <v/>
      </c>
      <c r="W190" t="str">
        <f>IFERROR(INDEX('Draft Log'!$C$2:$C$301,MATCH(D190,'Draft Log'!$B$2:$B$301,0)),"")</f>
        <v/>
      </c>
    </row>
    <row r="191" spans="1:23">
      <c r="A191" s="1">
        <v>188</v>
      </c>
      <c r="B191" t="s">
        <v>526</v>
      </c>
      <c r="C191" t="s">
        <v>851</v>
      </c>
      <c r="D191" t="str">
        <f>IF($D$1="ESPN",INDEX(Table2[Mapped Name],MATCH('Rankings Master'!$A191,Table2[Overall Rank],0)),IF('Rankings Master'!$D$1="NFL.com",INDEX(Table3[Name Clean],MATCH('Rankings Master'!$A191,Table3[Rank],0)),IF('Rankings Master'!$D$1="Sleeper",INDEX(Sleeper!$B$2:$B$201,MATCH('Rankings Master'!$A191,Sleeper!$A$2:$A$201,0)),"Need platform")))</f>
        <v>Cam Little</v>
      </c>
      <c r="E191" t="str">
        <f>IF($D$1="ESPN",INDEX(Table2[Position],MATCH('Rankings Master'!$A191,Table2[Overall Rank],0)),IF('Rankings Master'!$D$1="NFL.com",INDEX(Table3[Position],MATCH('Rankings Master'!$A191,Table3[Rank],0)),INDEX(Sleeper!$C$2:$C$201,MATCH('Rankings Master'!A191,Sleeper!$A$2:$A$201,0))))</f>
        <v>K</v>
      </c>
      <c r="F191">
        <f>INDEX(Table4[RK],MATCH('Rankings Master'!D191,Table4[PLAYER NAME],0))</f>
        <v>198</v>
      </c>
      <c r="G191">
        <f t="shared" si="24"/>
        <v>-10</v>
      </c>
      <c r="H191">
        <f t="shared" si="25"/>
        <v>-5.0505050505050504E-2</v>
      </c>
      <c r="I191" t="str">
        <f t="shared" si="27"/>
        <v>Slightly Overvalued</v>
      </c>
      <c r="J191" t="str">
        <f t="shared" si="22"/>
        <v>Y</v>
      </c>
      <c r="K191">
        <f t="shared" si="26"/>
        <v>5</v>
      </c>
      <c r="L191" t="str">
        <f>IF(J191="M",COUNTIFS($J$4:J191,"M",$E$4:E191,E191)&amp;" - "&amp;K191,"N/A")</f>
        <v>N/A</v>
      </c>
      <c r="M191" t="str">
        <f>IFERROR(INDEX(PlayerSummaryTable[Rushing Yds],MATCH('Rankings Master'!D191,PlayerSummaryTable[Player],0)),"")</f>
        <v/>
      </c>
      <c r="N191" t="str">
        <f>IFERROR(INDEX(PlayerSummaryTable[Receiving Yds],MATCH('Rankings Master'!D191,PlayerSummaryTable[Player],0)),"")</f>
        <v/>
      </c>
      <c r="O191" t="str">
        <f>IFERROR(INDEX(PlayerSummaryTable[Passing Yds],MATCH('Rankings Master'!D191,PlayerSummaryTable[Player],0)),"")</f>
        <v/>
      </c>
      <c r="U191" t="str">
        <f>IF(COUNTIF('Draft Log'!$B$2:$B$301,D191)&gt;0,"DRAFTED","")</f>
        <v>DRAFTED</v>
      </c>
      <c r="V191">
        <f>IFERROR(INDEX('Draft Log'!$A$2:$A$301,MATCH(D191,'Draft Log'!$B$2:$B$301,0)),"")</f>
        <v>165</v>
      </c>
      <c r="W191" t="str">
        <f>IFERROR(INDEX('Draft Log'!$C$2:$C$301,MATCH(D191,'Draft Log'!$B$2:$B$301,0)),"")</f>
        <v>JJetts Skatt Hurts</v>
      </c>
    </row>
    <row r="192" spans="1:23">
      <c r="A192" s="1">
        <v>189</v>
      </c>
      <c r="B192" t="s">
        <v>849</v>
      </c>
      <c r="C192" t="s">
        <v>852</v>
      </c>
      <c r="D192" t="str">
        <f>IF($D$1="ESPN",INDEX(Table2[Mapped Name],MATCH('Rankings Master'!$A192,Table2[Overall Rank],0)),IF('Rankings Master'!$D$1="NFL.com",INDEX(Table3[Name Clean],MATCH('Rankings Master'!$A192,Table3[Rank],0)),IF('Rankings Master'!$D$1="Sleeper",INDEX(Sleeper!$B$2:$B$201,MATCH('Rankings Master'!$A192,Sleeper!$A$2:$A$201,0)),"Need platform")))</f>
        <v>Jake Bates</v>
      </c>
      <c r="E192" t="str">
        <f>IF($D$1="ESPN",INDEX(Table2[Position],MATCH('Rankings Master'!$A192,Table2[Overall Rank],0)),IF('Rankings Master'!$D$1="NFL.com",INDEX(Table3[Position],MATCH('Rankings Master'!$A192,Table3[Rank],0)),INDEX(Sleeper!$C$2:$C$201,MATCH('Rankings Master'!A192,Sleeper!$A$2:$A$201,0))))</f>
        <v>K</v>
      </c>
      <c r="F192">
        <f>INDEX(Table4[RK],MATCH('Rankings Master'!D192,Table4[PLAYER NAME],0))</f>
        <v>220</v>
      </c>
      <c r="G192">
        <f t="shared" si="24"/>
        <v>-31</v>
      </c>
      <c r="H192">
        <f t="shared" si="25"/>
        <v>-0.1409090909090909</v>
      </c>
      <c r="I192" t="str">
        <f t="shared" si="27"/>
        <v>Slightly Overvalued</v>
      </c>
      <c r="J192" t="str">
        <f t="shared" si="22"/>
        <v>M</v>
      </c>
      <c r="K192">
        <f t="shared" si="26"/>
        <v>5</v>
      </c>
      <c r="L192" t="str">
        <f>IF(J192="M",COUNTIFS($J$4:J192,"M",$E$4:E192,E192)&amp;" - "&amp;K192,"N/A")</f>
        <v>1 - 5</v>
      </c>
      <c r="M192" t="str">
        <f>IFERROR(INDEX(PlayerSummaryTable[Rushing Yds],MATCH('Rankings Master'!D192,PlayerSummaryTable[Player],0)),"")</f>
        <v/>
      </c>
      <c r="N192" t="str">
        <f>IFERROR(INDEX(PlayerSummaryTable[Receiving Yds],MATCH('Rankings Master'!D192,PlayerSummaryTable[Player],0)),"")</f>
        <v/>
      </c>
      <c r="O192" t="str">
        <f>IFERROR(INDEX(PlayerSummaryTable[Passing Yds],MATCH('Rankings Master'!D192,PlayerSummaryTable[Player],0)),"")</f>
        <v/>
      </c>
      <c r="U192" t="str">
        <f>IF(COUNTIF('Draft Log'!$B$2:$B$301,D192)&gt;0,"DRAFTED","")</f>
        <v>DRAFTED</v>
      </c>
      <c r="V192">
        <f>IFERROR(INDEX('Draft Log'!$A$2:$A$301,MATCH(D192,'Draft Log'!$B$2:$B$301,0)),"")</f>
        <v>153</v>
      </c>
      <c r="W192" t="str">
        <f>IFERROR(INDEX('Draft Log'!$C$2:$C$301,MATCH(D192,'Draft Log'!$B$2:$B$301,0)),"")</f>
        <v>Mustafa is Not Like Us</v>
      </c>
    </row>
    <row r="193" spans="1:23">
      <c r="A193" s="1">
        <v>190</v>
      </c>
      <c r="B193" t="s">
        <v>577</v>
      </c>
      <c r="C193" t="s">
        <v>853</v>
      </c>
      <c r="D193" t="str">
        <f>IF($D$1="ESPN",INDEX(Table2[Mapped Name],MATCH('Rankings Master'!$A193,Table2[Overall Rank],0)),IF('Rankings Master'!$D$1="NFL.com",INDEX(Table3[Name Clean],MATCH('Rankings Master'!$A193,Table3[Rank],0)),IF('Rankings Master'!$D$1="Sleeper",INDEX(Sleeper!$B$2:$B$201,MATCH('Rankings Master'!$A193,Sleeper!$A$2:$A$201,0)),"Need platform")))</f>
        <v>Tyler Loop</v>
      </c>
      <c r="E193" t="str">
        <f>IF($D$1="ESPN",INDEX(Table2[Position],MATCH('Rankings Master'!$A193,Table2[Overall Rank],0)),IF('Rankings Master'!$D$1="NFL.com",INDEX(Table3[Position],MATCH('Rankings Master'!$A193,Table3[Rank],0)),INDEX(Sleeper!$C$2:$C$201,MATCH('Rankings Master'!A193,Sleeper!$A$2:$A$201,0))))</f>
        <v>K</v>
      </c>
      <c r="F193">
        <f>INDEX(Table4[RK],MATCH('Rankings Master'!D193,Table4[PLAYER NAME],0))</f>
        <v>215</v>
      </c>
      <c r="G193">
        <f t="shared" si="24"/>
        <v>-25</v>
      </c>
      <c r="H193">
        <f t="shared" si="25"/>
        <v>-0.11627906976744186</v>
      </c>
      <c r="I193" t="str">
        <f t="shared" si="27"/>
        <v>Slightly Overvalued</v>
      </c>
      <c r="J193" t="str">
        <f t="shared" si="22"/>
        <v/>
      </c>
      <c r="K193">
        <f t="shared" si="26"/>
        <v>5</v>
      </c>
      <c r="L193" t="str">
        <f>IF(J193="M",COUNTIFS($J$4:J193,"M",$E$4:E193,E193)&amp;" - "&amp;K193,"N/A")</f>
        <v>N/A</v>
      </c>
      <c r="M193" t="str">
        <f>IFERROR(INDEX(PlayerSummaryTable[Rushing Yds],MATCH('Rankings Master'!D193,PlayerSummaryTable[Player],0)),"")</f>
        <v/>
      </c>
      <c r="N193" t="str">
        <f>IFERROR(INDEX(PlayerSummaryTable[Receiving Yds],MATCH('Rankings Master'!D193,PlayerSummaryTable[Player],0)),"")</f>
        <v/>
      </c>
      <c r="O193" t="str">
        <f>IFERROR(INDEX(PlayerSummaryTable[Passing Yds],MATCH('Rankings Master'!D193,PlayerSummaryTable[Player],0)),"")</f>
        <v/>
      </c>
      <c r="U193" t="str">
        <f>IF(COUNTIF('Draft Log'!$B$2:$B$301,D193)&gt;0,"DRAFTED","")</f>
        <v/>
      </c>
      <c r="V193" t="str">
        <f>IFERROR(INDEX('Draft Log'!$A$2:$A$301,MATCH(D193,'Draft Log'!$B$2:$B$301,0)),"")</f>
        <v/>
      </c>
      <c r="W193" t="str">
        <f>IFERROR(INDEX('Draft Log'!$C$2:$C$301,MATCH(D193,'Draft Log'!$B$2:$B$301,0)),"")</f>
        <v/>
      </c>
    </row>
    <row r="194" spans="1:23">
      <c r="A194" s="1">
        <v>191</v>
      </c>
      <c r="B194" t="s">
        <v>758</v>
      </c>
      <c r="C194" t="s">
        <v>854</v>
      </c>
      <c r="D194" t="str">
        <f>IF($D$1="ESPN",INDEX(Table2[Mapped Name],MATCH('Rankings Master'!$A194,Table2[Overall Rank],0)),IF('Rankings Master'!$D$1="NFL.com",INDEX(Table3[Name Clean],MATCH('Rankings Master'!$A194,Table3[Rank],0)),IF('Rankings Master'!$D$1="Sleeper",INDEX(Sleeper!$B$2:$B$201,MATCH('Rankings Master'!$A194,Sleeper!$A$2:$A$201,0)),"Need platform")))</f>
        <v>Cairo Santos</v>
      </c>
      <c r="E194" t="str">
        <f>IF($D$1="ESPN",INDEX(Table2[Position],MATCH('Rankings Master'!$A194,Table2[Overall Rank],0)),IF('Rankings Master'!$D$1="NFL.com",INDEX(Table3[Position],MATCH('Rankings Master'!$A194,Table3[Rank],0)),INDEX(Sleeper!$C$2:$C$201,MATCH('Rankings Master'!A194,Sleeper!$A$2:$A$201,0))))</f>
        <v>K</v>
      </c>
      <c r="F194">
        <f>INDEX(Table4[RK],MATCH('Rankings Master'!D194,Table4[PLAYER NAME],0))</f>
        <v>227</v>
      </c>
      <c r="G194">
        <f t="shared" si="24"/>
        <v>-36</v>
      </c>
      <c r="H194">
        <f t="shared" si="25"/>
        <v>-0.15859030837004406</v>
      </c>
      <c r="I194" t="str">
        <f t="shared" si="27"/>
        <v>Pretty Overvalued</v>
      </c>
      <c r="J194" t="str">
        <f t="shared" si="22"/>
        <v/>
      </c>
      <c r="K194">
        <f t="shared" si="26"/>
        <v>5</v>
      </c>
      <c r="L194" t="str">
        <f>IF(J194="M",COUNTIFS($J$4:J194,"M",$E$4:E194,E194)&amp;" - "&amp;K194,"N/A")</f>
        <v>N/A</v>
      </c>
      <c r="M194" t="str">
        <f>IFERROR(INDEX(PlayerSummaryTable[Rushing Yds],MATCH('Rankings Master'!D194,PlayerSummaryTable[Player],0)),"")</f>
        <v/>
      </c>
      <c r="N194" t="str">
        <f>IFERROR(INDEX(PlayerSummaryTable[Receiving Yds],MATCH('Rankings Master'!D194,PlayerSummaryTable[Player],0)),"")</f>
        <v/>
      </c>
      <c r="O194" t="str">
        <f>IFERROR(INDEX(PlayerSummaryTable[Passing Yds],MATCH('Rankings Master'!D194,PlayerSummaryTable[Player],0)),"")</f>
        <v/>
      </c>
      <c r="U194" t="str">
        <f>IF(COUNTIF('Draft Log'!$B$2:$B$301,D194)&gt;0,"DRAFTED","")</f>
        <v/>
      </c>
      <c r="V194" t="str">
        <f>IFERROR(INDEX('Draft Log'!$A$2:$A$301,MATCH(D194,'Draft Log'!$B$2:$B$301,0)),"")</f>
        <v/>
      </c>
      <c r="W194" t="str">
        <f>IFERROR(INDEX('Draft Log'!$C$2:$C$301,MATCH(D194,'Draft Log'!$B$2:$B$301,0)),"")</f>
        <v/>
      </c>
    </row>
    <row r="195" spans="1:23">
      <c r="A195" s="1">
        <v>192</v>
      </c>
      <c r="B195" t="s">
        <v>855</v>
      </c>
      <c r="C195" t="s">
        <v>856</v>
      </c>
      <c r="D195" t="str">
        <f>IF($D$1="ESPN",INDEX(Table2[Mapped Name],MATCH('Rankings Master'!$A195,Table2[Overall Rank],0)),IF('Rankings Master'!$D$1="NFL.com",INDEX(Table3[Name Clean],MATCH('Rankings Master'!$A195,Table3[Rank],0)),IF('Rankings Master'!$D$1="Sleeper",INDEX(Sleeper!$B$2:$B$201,MATCH('Rankings Master'!$A195,Sleeper!$A$2:$A$201,0)),"Need platform")))</f>
        <v>Will Reichard</v>
      </c>
      <c r="E195" t="str">
        <f>IF($D$1="ESPN",INDEX(Table2[Position],MATCH('Rankings Master'!$A195,Table2[Overall Rank],0)),IF('Rankings Master'!$D$1="NFL.com",INDEX(Table3[Position],MATCH('Rankings Master'!$A195,Table3[Rank],0)),INDEX(Sleeper!$C$2:$C$201,MATCH('Rankings Master'!A195,Sleeper!$A$2:$A$201,0))))</f>
        <v>K</v>
      </c>
      <c r="F195">
        <f>INDEX(Table4[RK],MATCH('Rankings Master'!D195,Table4[PLAYER NAME],0))</f>
        <v>273</v>
      </c>
      <c r="G195">
        <f t="shared" si="24"/>
        <v>-81</v>
      </c>
      <c r="H195">
        <f t="shared" si="25"/>
        <v>-0.2967032967032967</v>
      </c>
      <c r="I195" t="str">
        <f t="shared" si="27"/>
        <v>Pretty Overvalued</v>
      </c>
      <c r="J195" t="str">
        <f t="shared" si="22"/>
        <v/>
      </c>
      <c r="K195">
        <f t="shared" si="26"/>
        <v>5</v>
      </c>
      <c r="L195" t="str">
        <f>IF(J195="M",COUNTIFS($J$4:J195,"M",$E$4:E195,E195)&amp;" - "&amp;K195,"N/A")</f>
        <v>N/A</v>
      </c>
      <c r="M195" t="str">
        <f>IFERROR(INDEX(PlayerSummaryTable[Rushing Yds],MATCH('Rankings Master'!D195,PlayerSummaryTable[Player],0)),"")</f>
        <v/>
      </c>
      <c r="N195" t="str">
        <f>IFERROR(INDEX(PlayerSummaryTable[Receiving Yds],MATCH('Rankings Master'!D195,PlayerSummaryTable[Player],0)),"")</f>
        <v/>
      </c>
      <c r="O195" t="str">
        <f>IFERROR(INDEX(PlayerSummaryTable[Passing Yds],MATCH('Rankings Master'!D195,PlayerSummaryTable[Player],0)),"")</f>
        <v/>
      </c>
      <c r="U195" t="str">
        <f>IF(COUNTIF('Draft Log'!$B$2:$B$301,D195)&gt;0,"DRAFTED","")</f>
        <v/>
      </c>
      <c r="V195" t="str">
        <f>IFERROR(INDEX('Draft Log'!$A$2:$A$301,MATCH(D195,'Draft Log'!$B$2:$B$301,0)),"")</f>
        <v/>
      </c>
      <c r="W195" t="str">
        <f>IFERROR(INDEX('Draft Log'!$C$2:$C$301,MATCH(D195,'Draft Log'!$B$2:$B$301,0)),"")</f>
        <v/>
      </c>
    </row>
    <row r="196" spans="1:23">
      <c r="A196" s="1">
        <v>193</v>
      </c>
      <c r="B196" t="s">
        <v>857</v>
      </c>
      <c r="C196" t="s">
        <v>858</v>
      </c>
      <c r="D196" t="str">
        <f>IF($D$1="ESPN",INDEX(Table2[Mapped Name],MATCH('Rankings Master'!$A196,Table2[Overall Rank],0)),IF('Rankings Master'!$D$1="NFL.com",INDEX(Table3[Name Clean],MATCH('Rankings Master'!$A196,Table3[Rank],0)),IF('Rankings Master'!$D$1="Sleeper",INDEX(Sleeper!$B$2:$B$201,MATCH('Rankings Master'!$A196,Sleeper!$A$2:$A$201,0)),"Need platform")))</f>
        <v>Alvin Kamara</v>
      </c>
      <c r="E196" t="str">
        <f>IF($D$1="ESPN",INDEX(Table2[Position],MATCH('Rankings Master'!$A196,Table2[Overall Rank],0)),IF('Rankings Master'!$D$1="NFL.com",INDEX(Table3[Position],MATCH('Rankings Master'!$A196,Table3[Rank],0)),INDEX(Sleeper!$C$2:$C$201,MATCH('Rankings Master'!A196,Sleeper!$A$2:$A$201,0))))</f>
        <v>RB</v>
      </c>
      <c r="F196">
        <f>INDEX(Table4[RK],MATCH('Rankings Master'!D196,Table4[PLAYER NAME],0))</f>
        <v>166</v>
      </c>
      <c r="G196">
        <f t="shared" ref="G196:G259" si="28">A196-F196</f>
        <v>27</v>
      </c>
      <c r="H196">
        <f t="shared" ref="H196:H259" si="29">G196/F196</f>
        <v>0.16265060240963855</v>
      </c>
      <c r="I196" t="str">
        <f t="shared" si="27"/>
        <v>Pretty Undervalued</v>
      </c>
      <c r="J196" t="str">
        <f t="shared" si="22"/>
        <v/>
      </c>
      <c r="K196">
        <f t="shared" ref="K196:K203" si="30">IF(E196="QB",1,IF(E196="RB",2,IF(E196="WR",3,IF(E196="TE",4,IF(E196="K",5,"Check")))))</f>
        <v>2</v>
      </c>
      <c r="L196" t="str">
        <f>IF(J196="M",COUNTIFS($J$4:J196,"M",$E$4:E196,E196)&amp;" - "&amp;K196,"N/A")</f>
        <v>N/A</v>
      </c>
      <c r="M196" t="str">
        <f>IFERROR(INDEX(PlayerSummaryTable[Rushing Yds],MATCH('Rankings Master'!D196,PlayerSummaryTable[Player],0)),"")</f>
        <v/>
      </c>
      <c r="N196" t="str">
        <f>IFERROR(INDEX(PlayerSummaryTable[Receiving Yds],MATCH('Rankings Master'!D196,PlayerSummaryTable[Player],0)),"")</f>
        <v/>
      </c>
      <c r="O196" t="str">
        <f>IFERROR(INDEX(PlayerSummaryTable[Passing Yds],MATCH('Rankings Master'!D196,PlayerSummaryTable[Player],0)),"")</f>
        <v/>
      </c>
      <c r="U196" t="str">
        <f>IF(COUNTIF('Draft Log'!$B$2:$B$301,D196)&gt;0,"DRAFTED","")</f>
        <v/>
      </c>
      <c r="V196" t="str">
        <f>IFERROR(INDEX('Draft Log'!$A$2:$A$301,MATCH(D196,'Draft Log'!$B$2:$B$301,0)),"")</f>
        <v/>
      </c>
      <c r="W196" t="str">
        <f>IFERROR(INDEX('Draft Log'!$C$2:$C$301,MATCH(D196,'Draft Log'!$B$2:$B$301,0)),"")</f>
        <v/>
      </c>
    </row>
    <row r="197" spans="1:23">
      <c r="A197" s="1">
        <v>194</v>
      </c>
      <c r="B197" t="s">
        <v>859</v>
      </c>
      <c r="C197" t="s">
        <v>860</v>
      </c>
      <c r="D197" t="str">
        <f>IF($D$1="ESPN",INDEX(Table2[Mapped Name],MATCH('Rankings Master'!$A197,Table2[Overall Rank],0)),IF('Rankings Master'!$D$1="NFL.com",INDEX(Table3[Name Clean],MATCH('Rankings Master'!$A197,Table3[Rank],0)),IF('Rankings Master'!$D$1="Sleeper",INDEX(Sleeper!$B$2:$B$201,MATCH('Rankings Master'!$A197,Sleeper!$A$2:$A$201,0)),"Need platform")))</f>
        <v>Juwan Johnson</v>
      </c>
      <c r="E197" t="str">
        <f>IF($D$1="ESPN",INDEX(Table2[Position],MATCH('Rankings Master'!$A197,Table2[Overall Rank],0)),IF('Rankings Master'!$D$1="NFL.com",INDEX(Table3[Position],MATCH('Rankings Master'!$A197,Table3[Rank],0)),INDEX(Sleeper!$C$2:$C$201,MATCH('Rankings Master'!A197,Sleeper!$A$2:$A$201,0))))</f>
        <v>TE</v>
      </c>
      <c r="F197">
        <f>INDEX(Table4[RK],MATCH('Rankings Master'!D197,Table4[PLAYER NAME],0))</f>
        <v>131</v>
      </c>
      <c r="G197">
        <f t="shared" si="28"/>
        <v>63</v>
      </c>
      <c r="H197">
        <f t="shared" si="29"/>
        <v>0.48091603053435117</v>
      </c>
      <c r="I197" t="str">
        <f t="shared" si="27"/>
        <v>Pretty Undervalued</v>
      </c>
      <c r="J197" t="str">
        <f t="shared" ref="J197:J260" si="31">IF(W197=$G$1,"M",IF(AND(U197="Drafted",W197&lt;&gt;$G$1),"Y",""))</f>
        <v/>
      </c>
      <c r="K197">
        <f t="shared" si="30"/>
        <v>4</v>
      </c>
      <c r="L197" t="str">
        <f>IF(J197="M",COUNTIFS($J$4:J197,"M",$E$4:E197,E197)&amp;" - "&amp;K197,"N/A")</f>
        <v>N/A</v>
      </c>
      <c r="M197" t="str">
        <f>IFERROR(INDEX(PlayerSummaryTable[Rushing Yds],MATCH('Rankings Master'!D197,PlayerSummaryTable[Player],0)),"")</f>
        <v>N/A</v>
      </c>
      <c r="N197">
        <f>IFERROR(INDEX(PlayerSummaryTable[Receiving Yds],MATCH('Rankings Master'!D197,PlayerSummaryTable[Player],0)),"")</f>
        <v>599.5</v>
      </c>
      <c r="O197" t="str">
        <f>IFERROR(INDEX(PlayerSummaryTable[Passing Yds],MATCH('Rankings Master'!D197,PlayerSummaryTable[Player],0)),"")</f>
        <v>N/A</v>
      </c>
      <c r="U197" t="str">
        <f>IF(COUNTIF('Draft Log'!$B$2:$B$301,D197)&gt;0,"DRAFTED","")</f>
        <v/>
      </c>
      <c r="V197" t="str">
        <f>IFERROR(INDEX('Draft Log'!$A$2:$A$301,MATCH(D197,'Draft Log'!$B$2:$B$301,0)),"")</f>
        <v/>
      </c>
      <c r="W197" t="str">
        <f>IFERROR(INDEX('Draft Log'!$C$2:$C$301,MATCH(D197,'Draft Log'!$B$2:$B$301,0)),"")</f>
        <v/>
      </c>
    </row>
    <row r="198" spans="1:23">
      <c r="A198" s="1">
        <v>195</v>
      </c>
      <c r="B198" t="s">
        <v>861</v>
      </c>
      <c r="C198" t="s">
        <v>842</v>
      </c>
      <c r="D198" t="str">
        <f>IF($D$1="ESPN",INDEX(Table2[Mapped Name],MATCH('Rankings Master'!$A198,Table2[Overall Rank],0)),IF('Rankings Master'!$D$1="NFL.com",INDEX(Table3[Name Clean],MATCH('Rankings Master'!$A198,Table3[Rank],0)),IF('Rankings Master'!$D$1="Sleeper",INDEX(Sleeper!$B$2:$B$201,MATCH('Rankings Master'!$A198,Sleeper!$A$2:$A$201,0)),"Need platform")))</f>
        <v>Justice Hill</v>
      </c>
      <c r="E198" t="str">
        <f>IF($D$1="ESPN",INDEX(Table2[Position],MATCH('Rankings Master'!$A198,Table2[Overall Rank],0)),IF('Rankings Master'!$D$1="NFL.com",INDEX(Table3[Position],MATCH('Rankings Master'!$A198,Table3[Rank],0)),INDEX(Sleeper!$C$2:$C$201,MATCH('Rankings Master'!A198,Sleeper!$A$2:$A$201,0))))</f>
        <v>RB</v>
      </c>
      <c r="F198">
        <f>INDEX(Table4[RK],MATCH('Rankings Master'!D198,Table4[PLAYER NAME],0))</f>
        <v>248</v>
      </c>
      <c r="G198">
        <f t="shared" si="28"/>
        <v>-53</v>
      </c>
      <c r="H198">
        <f t="shared" si="29"/>
        <v>-0.21370967741935484</v>
      </c>
      <c r="I198" t="str">
        <f t="shared" si="27"/>
        <v>Pretty Overvalued</v>
      </c>
      <c r="J198" t="str">
        <f t="shared" si="31"/>
        <v/>
      </c>
      <c r="K198">
        <f t="shared" si="30"/>
        <v>2</v>
      </c>
      <c r="L198" t="str">
        <f>IF(J198="M",COUNTIFS($J$4:J198,"M",$E$4:E198,E198)&amp;" - "&amp;K198,"N/A")</f>
        <v>N/A</v>
      </c>
      <c r="M198" t="str">
        <f>IFERROR(INDEX(PlayerSummaryTable[Rushing Yds],MATCH('Rankings Master'!D198,PlayerSummaryTable[Player],0)),"")</f>
        <v/>
      </c>
      <c r="N198" t="str">
        <f>IFERROR(INDEX(PlayerSummaryTable[Receiving Yds],MATCH('Rankings Master'!D198,PlayerSummaryTable[Player],0)),"")</f>
        <v/>
      </c>
      <c r="O198" t="str">
        <f>IFERROR(INDEX(PlayerSummaryTable[Passing Yds],MATCH('Rankings Master'!D198,PlayerSummaryTable[Player],0)),"")</f>
        <v/>
      </c>
      <c r="U198" t="str">
        <f>IF(COUNTIF('Draft Log'!$B$2:$B$301,D198)&gt;0,"DRAFTED","")</f>
        <v/>
      </c>
      <c r="V198" t="str">
        <f>IFERROR(INDEX('Draft Log'!$A$2:$A$301,MATCH(D198,'Draft Log'!$B$2:$B$301,0)),"")</f>
        <v/>
      </c>
      <c r="W198" t="str">
        <f>IFERROR(INDEX('Draft Log'!$C$2:$C$301,MATCH(D198,'Draft Log'!$B$2:$B$301,0)),"")</f>
        <v/>
      </c>
    </row>
    <row r="199" spans="1:23">
      <c r="A199" s="1">
        <v>196</v>
      </c>
      <c r="D199" t="str">
        <f>IF($D$1="ESPN",INDEX(Table2[Mapped Name],MATCH('Rankings Master'!$A199,Table2[Overall Rank],0)),IF('Rankings Master'!$D$1="NFL.com",INDEX(Table3[Name Clean],MATCH('Rankings Master'!$A199,Table3[Rank],0)),IF('Rankings Master'!$D$1="Sleeper",INDEX(Sleeper!$B$2:$B$201,MATCH('Rankings Master'!$A199,Sleeper!$A$2:$A$201,0)),"Need platform")))</f>
        <v>Kaelon Black</v>
      </c>
      <c r="E199" t="str">
        <f>IF($D$1="ESPN",INDEX(Table2[Position],MATCH('Rankings Master'!$A199,Table2[Overall Rank],0)),IF('Rankings Master'!$D$1="NFL.com",INDEX(Table3[Position],MATCH('Rankings Master'!$A199,Table3[Rank],0)),INDEX(Sleeper!$C$2:$C$201,MATCH('Rankings Master'!A199,Sleeper!$A$2:$A$201,0))))</f>
        <v>RB</v>
      </c>
      <c r="F199">
        <f>INDEX(Table4[RK],MATCH('Rankings Master'!D199,Table4[PLAYER NAME],0))</f>
        <v>197</v>
      </c>
      <c r="G199">
        <f t="shared" si="28"/>
        <v>-1</v>
      </c>
      <c r="H199">
        <f t="shared" si="29"/>
        <v>-5.076142131979695E-3</v>
      </c>
      <c r="I199" t="str">
        <f t="shared" si="27"/>
        <v>Slightly Overvalued</v>
      </c>
      <c r="J199" t="str">
        <f t="shared" si="31"/>
        <v>Y</v>
      </c>
      <c r="K199">
        <f t="shared" si="30"/>
        <v>2</v>
      </c>
      <c r="M199" t="str">
        <f>IFERROR(INDEX(PlayerSummaryTable[Rushing Yds],MATCH('Rankings Master'!D199,PlayerSummaryTable[Player],0)),"")</f>
        <v/>
      </c>
      <c r="N199" t="str">
        <f>IFERROR(INDEX(PlayerSummaryTable[Receiving Yds],MATCH('Rankings Master'!D199,PlayerSummaryTable[Player],0)),"")</f>
        <v/>
      </c>
      <c r="O199" t="str">
        <f>IFERROR(INDEX(PlayerSummaryTable[Passing Yds],MATCH('Rankings Master'!D199,PlayerSummaryTable[Player],0)),"")</f>
        <v/>
      </c>
      <c r="U199" t="str">
        <f>IF(COUNTIF('Draft Log'!$B$2:$B$301,D199)&gt;0,"DRAFTED","")</f>
        <v>DRAFTED</v>
      </c>
      <c r="V199">
        <f>IFERROR(INDEX('Draft Log'!$A$2:$A$301,MATCH(D199,'Draft Log'!$B$2:$B$301,0)),"")</f>
        <v>160</v>
      </c>
      <c r="W199" t="str">
        <f>IFERROR(INDEX('Draft Log'!$C$2:$C$301,MATCH(D199,'Draft Log'!$B$2:$B$301,0)),"")</f>
        <v>Team Afeef</v>
      </c>
    </row>
    <row r="200" spans="1:23">
      <c r="A200" s="1">
        <v>197</v>
      </c>
      <c r="D200" t="str">
        <f>IF($D$1="ESPN",INDEX(Table2[Mapped Name],MATCH('Rankings Master'!$A200,Table2[Overall Rank],0)),IF('Rankings Master'!$D$1="NFL.com",INDEX(Table3[Name Clean],MATCH('Rankings Master'!$A200,Table3[Rank],0)),IF('Rankings Master'!$D$1="Sleeper",INDEX(Sleeper!$B$2:$B$201,MATCH('Rankings Master'!$A200,Sleeper!$A$2:$A$201,0)),"Need platform")))</f>
        <v>Ja'Kobi Lane</v>
      </c>
      <c r="E200" t="str">
        <f>IF($D$1="ESPN",INDEX(Table2[Position],MATCH('Rankings Master'!$A200,Table2[Overall Rank],0)),IF('Rankings Master'!$D$1="NFL.com",INDEX(Table3[Position],MATCH('Rankings Master'!$A200,Table3[Rank],0)),INDEX(Sleeper!$C$2:$C$201,MATCH('Rankings Master'!A200,Sleeper!$A$2:$A$201,0))))</f>
        <v>WR</v>
      </c>
      <c r="F200">
        <f>INDEX(Table4[RK],MATCH('Rankings Master'!D200,Table4[PLAYER NAME],0))</f>
        <v>199</v>
      </c>
      <c r="G200">
        <f t="shared" si="28"/>
        <v>-2</v>
      </c>
      <c r="H200">
        <f t="shared" si="29"/>
        <v>-1.0050251256281407E-2</v>
      </c>
      <c r="I200" t="str">
        <f t="shared" si="27"/>
        <v>Slightly Overvalued</v>
      </c>
      <c r="J200" t="str">
        <f t="shared" si="31"/>
        <v/>
      </c>
      <c r="K200">
        <f t="shared" si="30"/>
        <v>3</v>
      </c>
      <c r="M200" t="str">
        <f>IFERROR(INDEX(PlayerSummaryTable[Rushing Yds],MATCH('Rankings Master'!D200,PlayerSummaryTable[Player],0)),"")</f>
        <v/>
      </c>
      <c r="N200" t="str">
        <f>IFERROR(INDEX(PlayerSummaryTable[Receiving Yds],MATCH('Rankings Master'!D200,PlayerSummaryTable[Player],0)),"")</f>
        <v/>
      </c>
      <c r="O200" t="str">
        <f>IFERROR(INDEX(PlayerSummaryTable[Passing Yds],MATCH('Rankings Master'!D200,PlayerSummaryTable[Player],0)),"")</f>
        <v/>
      </c>
      <c r="U200" t="str">
        <f>IF(COUNTIF('Draft Log'!$B$2:$B$301,D200)&gt;0,"DRAFTED","")</f>
        <v/>
      </c>
      <c r="V200" t="str">
        <f>IFERROR(INDEX('Draft Log'!$A$2:$A$301,MATCH(D200,'Draft Log'!$B$2:$B$301,0)),"")</f>
        <v/>
      </c>
      <c r="W200" t="str">
        <f>IFERROR(INDEX('Draft Log'!$C$2:$C$301,MATCH(D200,'Draft Log'!$B$2:$B$301,0)),"")</f>
        <v/>
      </c>
    </row>
    <row r="201" spans="1:23">
      <c r="A201" s="1">
        <v>198</v>
      </c>
      <c r="D201" t="str">
        <f>IF($D$1="ESPN",INDEX(Table2[Mapped Name],MATCH('Rankings Master'!$A201,Table2[Overall Rank],0)),IF('Rankings Master'!$D$1="NFL.com",INDEX(Table3[Name Clean],MATCH('Rankings Master'!$A201,Table3[Rank],0)),IF('Rankings Master'!$D$1="Sleeper",INDEX(Sleeper!$B$2:$B$201,MATCH('Rankings Master'!$A201,Sleeper!$A$2:$A$201,0)),"Need platform")))</f>
        <v>Jordan Love</v>
      </c>
      <c r="E201" t="str">
        <f>IF($D$1="ESPN",INDEX(Table2[Position],MATCH('Rankings Master'!$A201,Table2[Overall Rank],0)),IF('Rankings Master'!$D$1="NFL.com",INDEX(Table3[Position],MATCH('Rankings Master'!$A201,Table3[Rank],0)),INDEX(Sleeper!$C$2:$C$201,MATCH('Rankings Master'!A201,Sleeper!$A$2:$A$201,0))))</f>
        <v>QB</v>
      </c>
      <c r="F201">
        <f>INDEX(Table4[RK],MATCH('Rankings Master'!D201,Table4[PLAYER NAME],0))</f>
        <v>119</v>
      </c>
      <c r="G201">
        <f t="shared" si="28"/>
        <v>79</v>
      </c>
      <c r="H201">
        <f t="shared" si="29"/>
        <v>0.66386554621848737</v>
      </c>
      <c r="I201" t="str">
        <f t="shared" si="27"/>
        <v>Extremely Undervalued</v>
      </c>
      <c r="J201" t="str">
        <f t="shared" si="31"/>
        <v/>
      </c>
      <c r="K201">
        <f t="shared" si="30"/>
        <v>1</v>
      </c>
      <c r="M201" t="str">
        <f>IFERROR(INDEX(PlayerSummaryTable[Rushing Yds],MATCH('Rankings Master'!D201,PlayerSummaryTable[Player],0)),"")</f>
        <v>N/A</v>
      </c>
      <c r="N201" t="str">
        <f>IFERROR(INDEX(PlayerSummaryTable[Receiving Yds],MATCH('Rankings Master'!D201,PlayerSummaryTable[Player],0)),"")</f>
        <v>N/A</v>
      </c>
      <c r="O201">
        <f>IFERROR(INDEX(PlayerSummaryTable[Passing Yds],MATCH('Rankings Master'!D201,PlayerSummaryTable[Player],0)),"")</f>
        <v>3549.5</v>
      </c>
      <c r="U201" t="str">
        <f>IF(COUNTIF('Draft Log'!$B$2:$B$301,D201)&gt;0,"DRAFTED","")</f>
        <v/>
      </c>
      <c r="V201" t="str">
        <f>IFERROR(INDEX('Draft Log'!$A$2:$A$301,MATCH(D201,'Draft Log'!$B$2:$B$301,0)),"")</f>
        <v/>
      </c>
      <c r="W201" t="str">
        <f>IFERROR(INDEX('Draft Log'!$C$2:$C$301,MATCH(D201,'Draft Log'!$B$2:$B$301,0)),"")</f>
        <v/>
      </c>
    </row>
    <row r="202" spans="1:23">
      <c r="A202" s="1">
        <v>199</v>
      </c>
      <c r="D202" t="str">
        <f>IF($D$1="ESPN",INDEX(Table2[Mapped Name],MATCH('Rankings Master'!$A202,Table2[Overall Rank],0)),IF('Rankings Master'!$D$1="NFL.com",INDEX(Table3[Name Clean],MATCH('Rankings Master'!$A202,Table3[Rank],0)),IF('Rankings Master'!$D$1="Sleeper",INDEX(Sleeper!$B$2:$B$201,MATCH('Rankings Master'!$A202,Sleeper!$A$2:$A$201,0)),"Need platform")))</f>
        <v>C.J. Stroud</v>
      </c>
      <c r="E202" t="str">
        <f>IF($D$1="ESPN",INDEX(Table2[Position],MATCH('Rankings Master'!$A202,Table2[Overall Rank],0)),IF('Rankings Master'!$D$1="NFL.com",INDEX(Table3[Position],MATCH('Rankings Master'!$A202,Table3[Rank],0)),INDEX(Sleeper!$C$2:$C$201,MATCH('Rankings Master'!A202,Sleeper!$A$2:$A$201,0))))</f>
        <v>QB</v>
      </c>
      <c r="F202">
        <f>INDEX(Table4[RK],MATCH('Rankings Master'!D202,Table4[PLAYER NAME],0))</f>
        <v>146</v>
      </c>
      <c r="G202">
        <f t="shared" si="28"/>
        <v>53</v>
      </c>
      <c r="H202">
        <f t="shared" si="29"/>
        <v>0.36301369863013699</v>
      </c>
      <c r="I202" t="str">
        <f t="shared" si="27"/>
        <v>Pretty Undervalued</v>
      </c>
      <c r="J202" t="str">
        <f t="shared" si="31"/>
        <v/>
      </c>
      <c r="K202">
        <f t="shared" si="30"/>
        <v>1</v>
      </c>
      <c r="M202" t="str">
        <f>IFERROR(INDEX(PlayerSummaryTable[Rushing Yds],MATCH('Rankings Master'!D202,PlayerSummaryTable[Player],0)),"")</f>
        <v/>
      </c>
      <c r="N202" t="str">
        <f>IFERROR(INDEX(PlayerSummaryTable[Receiving Yds],MATCH('Rankings Master'!D202,PlayerSummaryTable[Player],0)),"")</f>
        <v/>
      </c>
      <c r="O202" t="str">
        <f>IFERROR(INDEX(PlayerSummaryTable[Passing Yds],MATCH('Rankings Master'!D202,PlayerSummaryTable[Player],0)),"")</f>
        <v/>
      </c>
      <c r="U202" t="str">
        <f>IF(COUNTIF('Draft Log'!$B$2:$B$301,D202)&gt;0,"DRAFTED","")</f>
        <v/>
      </c>
      <c r="V202" t="str">
        <f>IFERROR(INDEX('Draft Log'!$A$2:$A$301,MATCH(D202,'Draft Log'!$B$2:$B$301,0)),"")</f>
        <v/>
      </c>
      <c r="W202" t="str">
        <f>IFERROR(INDEX('Draft Log'!$C$2:$C$301,MATCH(D202,'Draft Log'!$B$2:$B$301,0)),"")</f>
        <v/>
      </c>
    </row>
    <row r="203" spans="1:23">
      <c r="A203" s="1">
        <v>200</v>
      </c>
      <c r="D203" t="str">
        <f>IF($D$1="ESPN",INDEX(Table2[Mapped Name],MATCH('Rankings Master'!$A203,Table2[Overall Rank],0)),IF('Rankings Master'!$D$1="NFL.com",INDEX(Table3[Name Clean],MATCH('Rankings Master'!$A203,Table3[Rank],0)),IF('Rankings Master'!$D$1="Sleeper",INDEX(Sleeper!$B$2:$B$201,MATCH('Rankings Master'!$A203,Sleeper!$A$2:$A$201,0)),"Need platform")))</f>
        <v>Sam Darnold</v>
      </c>
      <c r="E203" t="str">
        <f>IF($D$1="ESPN",INDEX(Table2[Position],MATCH('Rankings Master'!$A203,Table2[Overall Rank],0)),IF('Rankings Master'!$D$1="NFL.com",INDEX(Table3[Position],MATCH('Rankings Master'!$A203,Table3[Rank],0)),INDEX(Sleeper!$C$2:$C$201,MATCH('Rankings Master'!A203,Sleeper!$A$2:$A$201,0))))</f>
        <v>QB</v>
      </c>
      <c r="F203">
        <f>INDEX(Table4[RK],MATCH('Rankings Master'!D203,Table4[PLAYER NAME],0))</f>
        <v>137</v>
      </c>
      <c r="G203">
        <f t="shared" si="28"/>
        <v>63</v>
      </c>
      <c r="H203">
        <f t="shared" si="29"/>
        <v>0.45985401459854014</v>
      </c>
      <c r="I203" t="str">
        <f t="shared" si="27"/>
        <v>Pretty Undervalued</v>
      </c>
      <c r="J203" t="str">
        <f t="shared" si="31"/>
        <v/>
      </c>
      <c r="K203">
        <f t="shared" si="30"/>
        <v>1</v>
      </c>
      <c r="M203" t="str">
        <f>IFERROR(INDEX(PlayerSummaryTable[Rushing Yds],MATCH('Rankings Master'!D203,PlayerSummaryTable[Player],0)),"")</f>
        <v>N/A</v>
      </c>
      <c r="N203" t="str">
        <f>IFERROR(INDEX(PlayerSummaryTable[Receiving Yds],MATCH('Rankings Master'!D203,PlayerSummaryTable[Player],0)),"")</f>
        <v>N/A</v>
      </c>
      <c r="O203">
        <f>IFERROR(INDEX(PlayerSummaryTable[Passing Yds],MATCH('Rankings Master'!D203,PlayerSummaryTable[Player],0)),"")</f>
        <v>3699.5</v>
      </c>
      <c r="U203" t="str">
        <f>IF(COUNTIF('Draft Log'!$B$2:$B$301,D203)&gt;0,"DRAFTED","")</f>
        <v/>
      </c>
      <c r="V203" t="str">
        <f>IFERROR(INDEX('Draft Log'!$A$2:$A$301,MATCH(D203,'Draft Log'!$B$2:$B$301,0)),"")</f>
        <v/>
      </c>
      <c r="W203" t="str">
        <f>IFERROR(INDEX('Draft Log'!$C$2:$C$301,MATCH(D203,'Draft Log'!$B$2:$B$301,0)),"")</f>
        <v/>
      </c>
    </row>
    <row r="204" spans="1:23">
      <c r="A204">
        <f>A203+1</f>
        <v>201</v>
      </c>
      <c r="D204" t="str">
        <f>IF($D$1="ESPN",INDEX(Table2[Mapped Name],MATCH('Rankings Master'!$A204,Table2[Overall Rank],0)),IF('Rankings Master'!$D$1="NFL.com",INDEX(Table3[Name Clean],MATCH('Rankings Master'!$A204,Table3[Rank],0)),IF('Rankings Master'!$D$1="Sleeper",INDEX(Sleeper!$B$2:$B$201,MATCH('Rankings Master'!$A204,Sleeper!$A$2:$A$201,0)),"Need platform")))</f>
        <v>Jauan Jennings</v>
      </c>
      <c r="E204" t="str">
        <f>IF($D$1="ESPN",INDEX(Table2[Position],MATCH('Rankings Master'!$A204,Table2[Overall Rank],0)),IF('Rankings Master'!$D$1="NFL.com",INDEX(Table3[Position],MATCH('Rankings Master'!$A204,Table3[Rank],0)),INDEX(Sleeper!$C$2:$C$201,MATCH('Rankings Master'!A204,Sleeper!$A$2:$A$201,0))))</f>
        <v>WR</v>
      </c>
      <c r="F204">
        <f>INDEX(Table4[RK],MATCH('Rankings Master'!D204,Table4[PLAYER NAME],0))</f>
        <v>169</v>
      </c>
      <c r="G204">
        <f t="shared" si="28"/>
        <v>32</v>
      </c>
      <c r="H204">
        <f t="shared" si="29"/>
        <v>0.1893491124260355</v>
      </c>
      <c r="I204" t="str">
        <f t="shared" si="27"/>
        <v>Pretty Undervalued</v>
      </c>
      <c r="J204" t="str">
        <f t="shared" si="31"/>
        <v/>
      </c>
      <c r="M204" t="str">
        <f>IFERROR(INDEX(PlayerSummaryTable[Rushing Yds],MATCH('Rankings Master'!D204,PlayerSummaryTable[Player],0)),"")</f>
        <v/>
      </c>
      <c r="N204" t="str">
        <f>IFERROR(INDEX(PlayerSummaryTable[Receiving Yds],MATCH('Rankings Master'!D204,PlayerSummaryTable[Player],0)),"")</f>
        <v/>
      </c>
      <c r="O204" t="str">
        <f>IFERROR(INDEX(PlayerSummaryTable[Passing Yds],MATCH('Rankings Master'!D204,PlayerSummaryTable[Player],0)),"")</f>
        <v/>
      </c>
      <c r="U204" t="str">
        <f>IF(COUNTIF('Draft Log'!$B$2:$B$301,D204)&gt;0,"DRAFTED","")</f>
        <v/>
      </c>
      <c r="V204" t="str">
        <f>IFERROR(INDEX('Draft Log'!$A$2:$A$301,MATCH(D204,'Draft Log'!$B$2:$B$301,0)),"")</f>
        <v/>
      </c>
      <c r="W204" t="str">
        <f>IFERROR(INDEX('Draft Log'!$C$2:$C$301,MATCH(D204,'Draft Log'!$B$2:$B$301,0)),"")</f>
        <v/>
      </c>
    </row>
    <row r="205" spans="1:23">
      <c r="A205">
        <f t="shared" ref="A205:A268" si="32">A204+1</f>
        <v>202</v>
      </c>
      <c r="D205" t="str">
        <f>IF($D$1="ESPN",INDEX(Table2[Mapped Name],MATCH('Rankings Master'!$A205,Table2[Overall Rank],0)),IF('Rankings Master'!$D$1="NFL.com",INDEX(Table3[Name Clean],MATCH('Rankings Master'!$A205,Table3[Rank],0)),IF('Rankings Master'!$D$1="Sleeper",INDEX(Sleeper!$B$2:$B$201,MATCH('Rankings Master'!$A205,Sleeper!$A$2:$A$201,0)),"Need platform")))</f>
        <v>Malachi Fields</v>
      </c>
      <c r="E205" t="str">
        <f>IF($D$1="ESPN",INDEX(Table2[Position],MATCH('Rankings Master'!$A205,Table2[Overall Rank],0)),IF('Rankings Master'!$D$1="NFL.com",INDEX(Table3[Position],MATCH('Rankings Master'!$A205,Table3[Rank],0)),INDEX(Sleeper!$C$2:$C$201,MATCH('Rankings Master'!A205,Sleeper!$A$2:$A$201,0))))</f>
        <v>WR</v>
      </c>
      <c r="F205">
        <f>INDEX(Table4[RK],MATCH('Rankings Master'!D205,Table4[PLAYER NAME],0))</f>
        <v>226</v>
      </c>
      <c r="G205">
        <f t="shared" si="28"/>
        <v>-24</v>
      </c>
      <c r="H205">
        <f t="shared" si="29"/>
        <v>-0.10619469026548672</v>
      </c>
      <c r="I205" t="str">
        <f t="shared" si="27"/>
        <v>Slightly Overvalued</v>
      </c>
      <c r="J205" t="str">
        <f t="shared" si="31"/>
        <v/>
      </c>
      <c r="M205" t="str">
        <f>IFERROR(INDEX(PlayerSummaryTable[Rushing Yds],MATCH('Rankings Master'!D205,PlayerSummaryTable[Player],0)),"")</f>
        <v/>
      </c>
      <c r="N205" t="str">
        <f>IFERROR(INDEX(PlayerSummaryTable[Receiving Yds],MATCH('Rankings Master'!D205,PlayerSummaryTable[Player],0)),"")</f>
        <v/>
      </c>
      <c r="O205" t="str">
        <f>IFERROR(INDEX(PlayerSummaryTable[Passing Yds],MATCH('Rankings Master'!D205,PlayerSummaryTable[Player],0)),"")</f>
        <v/>
      </c>
      <c r="U205" t="str">
        <f>IF(COUNTIF('Draft Log'!$B$2:$B$301,D205)&gt;0,"DRAFTED","")</f>
        <v/>
      </c>
      <c r="V205" t="str">
        <f>IFERROR(INDEX('Draft Log'!$A$2:$A$301,MATCH(D205,'Draft Log'!$B$2:$B$301,0)),"")</f>
        <v/>
      </c>
      <c r="W205" t="str">
        <f>IFERROR(INDEX('Draft Log'!$C$2:$C$301,MATCH(D205,'Draft Log'!$B$2:$B$301,0)),"")</f>
        <v/>
      </c>
    </row>
    <row r="206" spans="1:23">
      <c r="A206">
        <f t="shared" si="32"/>
        <v>203</v>
      </c>
      <c r="D206" t="str">
        <f>IF($D$1="ESPN",INDEX(Table2[Mapped Name],MATCH('Rankings Master'!$A206,Table2[Overall Rank],0)),IF('Rankings Master'!$D$1="NFL.com",INDEX(Table3[Name Clean],MATCH('Rankings Master'!$A206,Table3[Rank],0)),IF('Rankings Master'!$D$1="Sleeper",INDEX(Sleeper!$B$2:$B$201,MATCH('Rankings Master'!$A206,Sleeper!$A$2:$A$201,0)),"Need platform")))</f>
        <v>Germie Bernard</v>
      </c>
      <c r="E206" t="str">
        <f>IF($D$1="ESPN",INDEX(Table2[Position],MATCH('Rankings Master'!$A206,Table2[Overall Rank],0)),IF('Rankings Master'!$D$1="NFL.com",INDEX(Table3[Position],MATCH('Rankings Master'!$A206,Table3[Rank],0)),INDEX(Sleeper!$C$2:$C$201,MATCH('Rankings Master'!A206,Sleeper!$A$2:$A$201,0))))</f>
        <v>WR</v>
      </c>
      <c r="F206">
        <f>INDEX(Table4[RK],MATCH('Rankings Master'!D206,Table4[PLAYER NAME],0))</f>
        <v>245</v>
      </c>
      <c r="G206">
        <f t="shared" si="28"/>
        <v>-42</v>
      </c>
      <c r="H206">
        <f t="shared" si="29"/>
        <v>-0.17142857142857143</v>
      </c>
      <c r="I206" t="str">
        <f t="shared" si="27"/>
        <v>Pretty Overvalued</v>
      </c>
      <c r="J206" t="str">
        <f t="shared" si="31"/>
        <v/>
      </c>
      <c r="M206" t="str">
        <f>IFERROR(INDEX(PlayerSummaryTable[Rushing Yds],MATCH('Rankings Master'!D206,PlayerSummaryTable[Player],0)),"")</f>
        <v/>
      </c>
      <c r="N206" t="str">
        <f>IFERROR(INDEX(PlayerSummaryTable[Receiving Yds],MATCH('Rankings Master'!D206,PlayerSummaryTable[Player],0)),"")</f>
        <v/>
      </c>
      <c r="O206" t="str">
        <f>IFERROR(INDEX(PlayerSummaryTable[Passing Yds],MATCH('Rankings Master'!D206,PlayerSummaryTable[Player],0)),"")</f>
        <v/>
      </c>
      <c r="U206" t="str">
        <f>IF(COUNTIF('Draft Log'!$B$2:$B$301,D206)&gt;0,"DRAFTED","")</f>
        <v/>
      </c>
      <c r="V206" t="str">
        <f>IFERROR(INDEX('Draft Log'!$A$2:$A$301,MATCH(D206,'Draft Log'!$B$2:$B$301,0)),"")</f>
        <v/>
      </c>
      <c r="W206" t="str">
        <f>IFERROR(INDEX('Draft Log'!$C$2:$C$301,MATCH(D206,'Draft Log'!$B$2:$B$301,0)),"")</f>
        <v/>
      </c>
    </row>
    <row r="207" spans="1:23">
      <c r="A207">
        <f t="shared" si="32"/>
        <v>204</v>
      </c>
      <c r="D207" t="str">
        <f>IF($D$1="ESPN",INDEX(Table2[Mapped Name],MATCH('Rankings Master'!$A207,Table2[Overall Rank],0)),IF('Rankings Master'!$D$1="NFL.com",INDEX(Table3[Name Clean],MATCH('Rankings Master'!$A207,Table3[Rank],0)),IF('Rankings Master'!$D$1="Sleeper",INDEX(Sleeper!$B$2:$B$201,MATCH('Rankings Master'!$A207,Sleeper!$A$2:$A$201,0)),"Need platform")))</f>
        <v>Tre' Harris</v>
      </c>
      <c r="E207" t="str">
        <f>IF($D$1="ESPN",INDEX(Table2[Position],MATCH('Rankings Master'!$A207,Table2[Overall Rank],0)),IF('Rankings Master'!$D$1="NFL.com",INDEX(Table3[Position],MATCH('Rankings Master'!$A207,Table3[Rank],0)),INDEX(Sleeper!$C$2:$C$201,MATCH('Rankings Master'!A207,Sleeper!$A$2:$A$201,0))))</f>
        <v>WR</v>
      </c>
      <c r="F207">
        <f>INDEX(Table4[RK],MATCH('Rankings Master'!D207,Table4[PLAYER NAME],0))</f>
        <v>176</v>
      </c>
      <c r="G207">
        <f t="shared" si="28"/>
        <v>28</v>
      </c>
      <c r="H207">
        <f t="shared" si="29"/>
        <v>0.15909090909090909</v>
      </c>
      <c r="I207" t="str">
        <f t="shared" si="27"/>
        <v>Pretty Undervalued</v>
      </c>
      <c r="J207" t="str">
        <f t="shared" si="31"/>
        <v/>
      </c>
      <c r="M207" t="str">
        <f>IFERROR(INDEX(PlayerSummaryTable[Rushing Yds],MATCH('Rankings Master'!D207,PlayerSummaryTable[Player],0)),"")</f>
        <v/>
      </c>
      <c r="N207" t="str">
        <f>IFERROR(INDEX(PlayerSummaryTable[Receiving Yds],MATCH('Rankings Master'!D207,PlayerSummaryTable[Player],0)),"")</f>
        <v/>
      </c>
      <c r="O207" t="str">
        <f>IFERROR(INDEX(PlayerSummaryTable[Passing Yds],MATCH('Rankings Master'!D207,PlayerSummaryTable[Player],0)),"")</f>
        <v/>
      </c>
      <c r="U207" t="str">
        <f>IF(COUNTIF('Draft Log'!$B$2:$B$301,D207)&gt;0,"DRAFTED","")</f>
        <v/>
      </c>
      <c r="V207" t="str">
        <f>IFERROR(INDEX('Draft Log'!$A$2:$A$301,MATCH(D207,'Draft Log'!$B$2:$B$301,0)),"")</f>
        <v/>
      </c>
      <c r="W207" t="str">
        <f>IFERROR(INDEX('Draft Log'!$C$2:$C$301,MATCH(D207,'Draft Log'!$B$2:$B$301,0)),"")</f>
        <v/>
      </c>
    </row>
    <row r="208" spans="1:23">
      <c r="A208">
        <f t="shared" si="32"/>
        <v>205</v>
      </c>
      <c r="D208" t="str">
        <f>IF($D$1="ESPN",INDEX(Table2[Mapped Name],MATCH('Rankings Master'!$A208,Table2[Overall Rank],0)),IF('Rankings Master'!$D$1="NFL.com",INDEX(Table3[Name Clean],MATCH('Rankings Master'!$A208,Table3[Rank],0)),IF('Rankings Master'!$D$1="Sleeper",INDEX(Sleeper!$B$2:$B$201,MATCH('Rankings Master'!$A208,Sleeper!$A$2:$A$201,0)),"Need platform")))</f>
        <v>Ryan Flournoy</v>
      </c>
      <c r="E208" t="str">
        <f>IF($D$1="ESPN",INDEX(Table2[Position],MATCH('Rankings Master'!$A208,Table2[Overall Rank],0)),IF('Rankings Master'!$D$1="NFL.com",INDEX(Table3[Position],MATCH('Rankings Master'!$A208,Table3[Rank],0)),INDEX(Sleeper!$C$2:$C$201,MATCH('Rankings Master'!A208,Sleeper!$A$2:$A$201,0))))</f>
        <v>WR</v>
      </c>
      <c r="F208">
        <f>INDEX(Table4[RK],MATCH('Rankings Master'!D208,Table4[PLAYER NAME],0))</f>
        <v>179</v>
      </c>
      <c r="G208">
        <f t="shared" si="28"/>
        <v>26</v>
      </c>
      <c r="H208">
        <f t="shared" si="29"/>
        <v>0.14525139664804471</v>
      </c>
      <c r="I208" t="str">
        <f t="shared" si="27"/>
        <v>Slightly Undervalued</v>
      </c>
      <c r="J208" t="str">
        <f t="shared" si="31"/>
        <v/>
      </c>
      <c r="M208" t="str">
        <f>IFERROR(INDEX(PlayerSummaryTable[Rushing Yds],MATCH('Rankings Master'!D208,PlayerSummaryTable[Player],0)),"")</f>
        <v/>
      </c>
      <c r="N208" t="str">
        <f>IFERROR(INDEX(PlayerSummaryTable[Receiving Yds],MATCH('Rankings Master'!D208,PlayerSummaryTable[Player],0)),"")</f>
        <v/>
      </c>
      <c r="O208" t="str">
        <f>IFERROR(INDEX(PlayerSummaryTable[Passing Yds],MATCH('Rankings Master'!D208,PlayerSummaryTable[Player],0)),"")</f>
        <v/>
      </c>
      <c r="U208" t="str">
        <f>IF(COUNTIF('Draft Log'!$B$2:$B$301,D208)&gt;0,"DRAFTED","")</f>
        <v/>
      </c>
      <c r="V208" t="str">
        <f>IFERROR(INDEX('Draft Log'!$A$2:$A$301,MATCH(D208,'Draft Log'!$B$2:$B$301,0)),"")</f>
        <v/>
      </c>
      <c r="W208" t="str">
        <f>IFERROR(INDEX('Draft Log'!$C$2:$C$301,MATCH(D208,'Draft Log'!$B$2:$B$301,0)),"")</f>
        <v/>
      </c>
    </row>
    <row r="209" spans="1:23">
      <c r="A209">
        <f t="shared" si="32"/>
        <v>206</v>
      </c>
      <c r="D209" t="str">
        <f>IF($D$1="ESPN",INDEX(Table2[Mapped Name],MATCH('Rankings Master'!$A209,Table2[Overall Rank],0)),IF('Rankings Master'!$D$1="NFL.com",INDEX(Table3[Name Clean],MATCH('Rankings Master'!$A209,Table3[Rank],0)),IF('Rankings Master'!$D$1="Sleeper",INDEX(Sleeper!$B$2:$B$201,MATCH('Rankings Master'!$A209,Sleeper!$A$2:$A$201,0)),"Need platform")))</f>
        <v>Pat Freiermuth</v>
      </c>
      <c r="E209" t="str">
        <f>IF($D$1="ESPN",INDEX(Table2[Position],MATCH('Rankings Master'!$A209,Table2[Overall Rank],0)),IF('Rankings Master'!$D$1="NFL.com",INDEX(Table3[Position],MATCH('Rankings Master'!$A209,Table3[Rank],0)),INDEX(Sleeper!$C$2:$C$201,MATCH('Rankings Master'!A209,Sleeper!$A$2:$A$201,0))))</f>
        <v>TE</v>
      </c>
      <c r="F209">
        <f>INDEX(Table4[RK],MATCH('Rankings Master'!D209,Table4[PLAYER NAME],0))</f>
        <v>216</v>
      </c>
      <c r="G209">
        <f t="shared" si="28"/>
        <v>-10</v>
      </c>
      <c r="H209">
        <f t="shared" si="29"/>
        <v>-4.6296296296296294E-2</v>
      </c>
      <c r="I209" t="str">
        <f t="shared" si="27"/>
        <v>Slightly Overvalued</v>
      </c>
      <c r="J209" t="str">
        <f t="shared" si="31"/>
        <v/>
      </c>
      <c r="M209" t="str">
        <f>IFERROR(INDEX(PlayerSummaryTable[Rushing Yds],MATCH('Rankings Master'!D209,PlayerSummaryTable[Player],0)),"")</f>
        <v/>
      </c>
      <c r="N209" t="str">
        <f>IFERROR(INDEX(PlayerSummaryTable[Receiving Yds],MATCH('Rankings Master'!D209,PlayerSummaryTable[Player],0)),"")</f>
        <v/>
      </c>
      <c r="O209" t="str">
        <f>IFERROR(INDEX(PlayerSummaryTable[Passing Yds],MATCH('Rankings Master'!D209,PlayerSummaryTable[Player],0)),"")</f>
        <v/>
      </c>
      <c r="U209" t="str">
        <f>IF(COUNTIF('Draft Log'!$B$2:$B$301,D209)&gt;0,"DRAFTED","")</f>
        <v/>
      </c>
      <c r="V209" t="str">
        <f>IFERROR(INDEX('Draft Log'!$A$2:$A$301,MATCH(D209,'Draft Log'!$B$2:$B$301,0)),"")</f>
        <v/>
      </c>
      <c r="W209" t="str">
        <f>IFERROR(INDEX('Draft Log'!$C$2:$C$301,MATCH(D209,'Draft Log'!$B$2:$B$301,0)),"")</f>
        <v/>
      </c>
    </row>
    <row r="210" spans="1:23">
      <c r="A210">
        <f t="shared" si="32"/>
        <v>207</v>
      </c>
      <c r="D210" t="str">
        <f>IF($D$1="ESPN",INDEX(Table2[Mapped Name],MATCH('Rankings Master'!$A210,Table2[Overall Rank],0)),IF('Rankings Master'!$D$1="NFL.com",INDEX(Table3[Name Clean],MATCH('Rankings Master'!$A210,Table3[Rank],0)),IF('Rankings Master'!$D$1="Sleeper",INDEX(Sleeper!$B$2:$B$201,MATCH('Rankings Master'!$A210,Sleeper!$A$2:$A$201,0)),"Need platform")))</f>
        <v>Dalton Schultz</v>
      </c>
      <c r="E210" t="str">
        <f>IF($D$1="ESPN",INDEX(Table2[Position],MATCH('Rankings Master'!$A210,Table2[Overall Rank],0)),IF('Rankings Master'!$D$1="NFL.com",INDEX(Table3[Position],MATCH('Rankings Master'!$A210,Table3[Rank],0)),INDEX(Sleeper!$C$2:$C$201,MATCH('Rankings Master'!A210,Sleeper!$A$2:$A$201,0))))</f>
        <v>TE</v>
      </c>
      <c r="F210">
        <f>INDEX(Table4[RK],MATCH('Rankings Master'!D210,Table4[PLAYER NAME],0))</f>
        <v>171</v>
      </c>
      <c r="G210">
        <f t="shared" si="28"/>
        <v>36</v>
      </c>
      <c r="H210">
        <f t="shared" si="29"/>
        <v>0.21052631578947367</v>
      </c>
      <c r="I210" t="str">
        <f t="shared" si="27"/>
        <v>Pretty Undervalued</v>
      </c>
      <c r="J210" t="str">
        <f t="shared" si="31"/>
        <v/>
      </c>
      <c r="M210" t="str">
        <f>IFERROR(INDEX(PlayerSummaryTable[Rushing Yds],MATCH('Rankings Master'!D210,PlayerSummaryTable[Player],0)),"")</f>
        <v/>
      </c>
      <c r="N210" t="str">
        <f>IFERROR(INDEX(PlayerSummaryTable[Receiving Yds],MATCH('Rankings Master'!D210,PlayerSummaryTable[Player],0)),"")</f>
        <v/>
      </c>
      <c r="O210" t="str">
        <f>IFERROR(INDEX(PlayerSummaryTable[Passing Yds],MATCH('Rankings Master'!D210,PlayerSummaryTable[Player],0)),"")</f>
        <v/>
      </c>
      <c r="U210" t="str">
        <f>IF(COUNTIF('Draft Log'!$B$2:$B$301,D210)&gt;0,"DRAFTED","")</f>
        <v/>
      </c>
      <c r="V210" t="str">
        <f>IFERROR(INDEX('Draft Log'!$A$2:$A$301,MATCH(D210,'Draft Log'!$B$2:$B$301,0)),"")</f>
        <v/>
      </c>
      <c r="W210" t="str">
        <f>IFERROR(INDEX('Draft Log'!$C$2:$C$301,MATCH(D210,'Draft Log'!$B$2:$B$301,0)),"")</f>
        <v/>
      </c>
    </row>
    <row r="211" spans="1:23">
      <c r="A211">
        <f t="shared" si="32"/>
        <v>208</v>
      </c>
      <c r="D211" t="str">
        <f>IF($D$1="ESPN",INDEX(Table2[Mapped Name],MATCH('Rankings Master'!$A211,Table2[Overall Rank],0)),IF('Rankings Master'!$D$1="NFL.com",INDEX(Table3[Name Clean],MATCH('Rankings Master'!$A211,Table3[Rank],0)),IF('Rankings Master'!$D$1="Sleeper",INDEX(Sleeper!$B$2:$B$201,MATCH('Rankings Master'!$A211,Sleeper!$A$2:$A$201,0)),"Need platform")))</f>
        <v>Zachariah Branch</v>
      </c>
      <c r="E211" t="str">
        <f>IF($D$1="ESPN",INDEX(Table2[Position],MATCH('Rankings Master'!$A211,Table2[Overall Rank],0)),IF('Rankings Master'!$D$1="NFL.com",INDEX(Table3[Position],MATCH('Rankings Master'!$A211,Table3[Rank],0)),INDEX(Sleeper!$C$2:$C$201,MATCH('Rankings Master'!A211,Sleeper!$A$2:$A$201,0))))</f>
        <v>WR</v>
      </c>
      <c r="F211">
        <f>INDEX(Table4[RK],MATCH('Rankings Master'!D211,Table4[PLAYER NAME],0))</f>
        <v>231</v>
      </c>
      <c r="G211">
        <f t="shared" si="28"/>
        <v>-23</v>
      </c>
      <c r="H211">
        <f t="shared" si="29"/>
        <v>-9.9567099567099568E-2</v>
      </c>
      <c r="I211" t="str">
        <f t="shared" si="27"/>
        <v>Slightly Overvalued</v>
      </c>
      <c r="J211" t="str">
        <f t="shared" si="31"/>
        <v/>
      </c>
      <c r="M211" t="str">
        <f>IFERROR(INDEX(PlayerSummaryTable[Rushing Yds],MATCH('Rankings Master'!D211,PlayerSummaryTable[Player],0)),"")</f>
        <v/>
      </c>
      <c r="N211" t="str">
        <f>IFERROR(INDEX(PlayerSummaryTable[Receiving Yds],MATCH('Rankings Master'!D211,PlayerSummaryTable[Player],0)),"")</f>
        <v/>
      </c>
      <c r="O211" t="str">
        <f>IFERROR(INDEX(PlayerSummaryTable[Passing Yds],MATCH('Rankings Master'!D211,PlayerSummaryTable[Player],0)),"")</f>
        <v/>
      </c>
      <c r="U211" t="str">
        <f>IF(COUNTIF('Draft Log'!$B$2:$B$301,D211)&gt;0,"DRAFTED","")</f>
        <v/>
      </c>
      <c r="V211" t="str">
        <f>IFERROR(INDEX('Draft Log'!$A$2:$A$301,MATCH(D211,'Draft Log'!$B$2:$B$301,0)),"")</f>
        <v/>
      </c>
      <c r="W211" t="str">
        <f>IFERROR(INDEX('Draft Log'!$C$2:$C$301,MATCH(D211,'Draft Log'!$B$2:$B$301,0)),"")</f>
        <v/>
      </c>
    </row>
    <row r="212" spans="1:23">
      <c r="A212">
        <f t="shared" si="32"/>
        <v>209</v>
      </c>
      <c r="D212" t="str">
        <f>IF($D$1="ESPN",INDEX(Table2[Mapped Name],MATCH('Rankings Master'!$A212,Table2[Overall Rank],0)),IF('Rankings Master'!$D$1="NFL.com",INDEX(Table3[Name Clean],MATCH('Rankings Master'!$A212,Table3[Rank],0)),IF('Rankings Master'!$D$1="Sleeper",INDEX(Sleeper!$B$2:$B$201,MATCH('Rankings Master'!$A212,Sleeper!$A$2:$A$201,0)),"Need platform")))</f>
        <v>Omar Cooper Jr.</v>
      </c>
      <c r="E212" t="str">
        <f>IF($D$1="ESPN",INDEX(Table2[Position],MATCH('Rankings Master'!$A212,Table2[Overall Rank],0)),IF('Rankings Master'!$D$1="NFL.com",INDEX(Table3[Position],MATCH('Rankings Master'!$A212,Table3[Rank],0)),INDEX(Sleeper!$C$2:$C$201,MATCH('Rankings Master'!A212,Sleeper!$A$2:$A$201,0))))</f>
        <v>WR</v>
      </c>
      <c r="F212">
        <f>INDEX(Table4[RK],MATCH('Rankings Master'!D212,Table4[PLAYER NAME],0))</f>
        <v>178</v>
      </c>
      <c r="G212">
        <f t="shared" si="28"/>
        <v>31</v>
      </c>
      <c r="H212">
        <f t="shared" si="29"/>
        <v>0.17415730337078653</v>
      </c>
      <c r="I212" t="str">
        <f t="shared" si="27"/>
        <v>Pretty Undervalued</v>
      </c>
      <c r="J212" t="str">
        <f t="shared" si="31"/>
        <v/>
      </c>
      <c r="M212" t="str">
        <f>IFERROR(INDEX(PlayerSummaryTable[Rushing Yds],MATCH('Rankings Master'!D212,PlayerSummaryTable[Player],0)),"")</f>
        <v/>
      </c>
      <c r="N212" t="str">
        <f>IFERROR(INDEX(PlayerSummaryTable[Receiving Yds],MATCH('Rankings Master'!D212,PlayerSummaryTable[Player],0)),"")</f>
        <v/>
      </c>
      <c r="O212" t="str">
        <f>IFERROR(INDEX(PlayerSummaryTable[Passing Yds],MATCH('Rankings Master'!D212,PlayerSummaryTable[Player],0)),"")</f>
        <v/>
      </c>
      <c r="U212" t="str">
        <f>IF(COUNTIF('Draft Log'!$B$2:$B$301,D212)&gt;0,"DRAFTED","")</f>
        <v/>
      </c>
      <c r="V212" t="str">
        <f>IFERROR(INDEX('Draft Log'!$A$2:$A$301,MATCH(D212,'Draft Log'!$B$2:$B$301,0)),"")</f>
        <v/>
      </c>
      <c r="W212" t="str">
        <f>IFERROR(INDEX('Draft Log'!$C$2:$C$301,MATCH(D212,'Draft Log'!$B$2:$B$301,0)),"")</f>
        <v/>
      </c>
    </row>
    <row r="213" spans="1:23">
      <c r="A213">
        <f t="shared" si="32"/>
        <v>210</v>
      </c>
      <c r="D213" t="str">
        <f>IF($D$1="ESPN",INDEX(Table2[Mapped Name],MATCH('Rankings Master'!$A213,Table2[Overall Rank],0)),IF('Rankings Master'!$D$1="NFL.com",INDEX(Table3[Name Clean],MATCH('Rankings Master'!$A213,Table3[Rank],0)),IF('Rankings Master'!$D$1="Sleeper",INDEX(Sleeper!$B$2:$B$201,MATCH('Rankings Master'!$A213,Sleeper!$A$2:$A$201,0)),"Need platform")))</f>
        <v>Kayshon Boutte</v>
      </c>
      <c r="E213" t="str">
        <f>IF($D$1="ESPN",INDEX(Table2[Position],MATCH('Rankings Master'!$A213,Table2[Overall Rank],0)),IF('Rankings Master'!$D$1="NFL.com",INDEX(Table3[Position],MATCH('Rankings Master'!$A213,Table3[Rank],0)),INDEX(Sleeper!$C$2:$C$201,MATCH('Rankings Master'!A213,Sleeper!$A$2:$A$201,0))))</f>
        <v>WR</v>
      </c>
      <c r="F213">
        <f>INDEX(Table4[RK],MATCH('Rankings Master'!D213,Table4[PLAYER NAME],0))</f>
        <v>156</v>
      </c>
      <c r="G213">
        <f t="shared" si="28"/>
        <v>54</v>
      </c>
      <c r="H213">
        <f t="shared" si="29"/>
        <v>0.34615384615384615</v>
      </c>
      <c r="I213" t="str">
        <f t="shared" si="27"/>
        <v>Pretty Undervalued</v>
      </c>
      <c r="J213" t="str">
        <f t="shared" si="31"/>
        <v/>
      </c>
      <c r="M213" t="str">
        <f>IFERROR(INDEX(PlayerSummaryTable[Rushing Yds],MATCH('Rankings Master'!D213,PlayerSummaryTable[Player],0)),"")</f>
        <v/>
      </c>
      <c r="N213" t="str">
        <f>IFERROR(INDEX(PlayerSummaryTable[Receiving Yds],MATCH('Rankings Master'!D213,PlayerSummaryTable[Player],0)),"")</f>
        <v/>
      </c>
      <c r="O213" t="str">
        <f>IFERROR(INDEX(PlayerSummaryTable[Passing Yds],MATCH('Rankings Master'!D213,PlayerSummaryTable[Player],0)),"")</f>
        <v/>
      </c>
      <c r="U213" t="str">
        <f>IF(COUNTIF('Draft Log'!$B$2:$B$301,D213)&gt;0,"DRAFTED","")</f>
        <v/>
      </c>
      <c r="V213" t="str">
        <f>IFERROR(INDEX('Draft Log'!$A$2:$A$301,MATCH(D213,'Draft Log'!$B$2:$B$301,0)),"")</f>
        <v/>
      </c>
      <c r="W213" t="str">
        <f>IFERROR(INDEX('Draft Log'!$C$2:$C$301,MATCH(D213,'Draft Log'!$B$2:$B$301,0)),"")</f>
        <v/>
      </c>
    </row>
    <row r="214" spans="1:23">
      <c r="A214">
        <f t="shared" si="32"/>
        <v>211</v>
      </c>
      <c r="D214" t="str">
        <f>IF($D$1="ESPN",INDEX(Table2[Mapped Name],MATCH('Rankings Master'!$A214,Table2[Overall Rank],0)),IF('Rankings Master'!$D$1="NFL.com",INDEX(Table3[Name Clean],MATCH('Rankings Master'!$A214,Table3[Rank],0)),IF('Rankings Master'!$D$1="Sleeper",INDEX(Sleeper!$B$2:$B$201,MATCH('Rankings Master'!$A214,Sleeper!$A$2:$A$201,0)),"Need platform")))</f>
        <v>Malik Washington</v>
      </c>
      <c r="E214" t="str">
        <f>IF($D$1="ESPN",INDEX(Table2[Position],MATCH('Rankings Master'!$A214,Table2[Overall Rank],0)),IF('Rankings Master'!$D$1="NFL.com",INDEX(Table3[Position],MATCH('Rankings Master'!$A214,Table3[Rank],0)),INDEX(Sleeper!$C$2:$C$201,MATCH('Rankings Master'!A214,Sleeper!$A$2:$A$201,0))))</f>
        <v>WR</v>
      </c>
      <c r="F214">
        <f>INDEX(Table4[RK],MATCH('Rankings Master'!D214,Table4[PLAYER NAME],0))</f>
        <v>196</v>
      </c>
      <c r="G214">
        <f t="shared" si="28"/>
        <v>15</v>
      </c>
      <c r="H214">
        <f t="shared" si="29"/>
        <v>7.6530612244897961E-2</v>
      </c>
      <c r="I214" t="str">
        <f t="shared" si="27"/>
        <v>Slightly Undervalued</v>
      </c>
      <c r="J214" t="str">
        <f t="shared" si="31"/>
        <v>Y</v>
      </c>
      <c r="M214" t="str">
        <f>IFERROR(INDEX(PlayerSummaryTable[Rushing Yds],MATCH('Rankings Master'!D214,PlayerSummaryTable[Player],0)),"")</f>
        <v/>
      </c>
      <c r="N214" t="str">
        <f>IFERROR(INDEX(PlayerSummaryTable[Receiving Yds],MATCH('Rankings Master'!D214,PlayerSummaryTable[Player],0)),"")</f>
        <v/>
      </c>
      <c r="O214" t="str">
        <f>IFERROR(INDEX(PlayerSummaryTable[Passing Yds],MATCH('Rankings Master'!D214,PlayerSummaryTable[Player],0)),"")</f>
        <v/>
      </c>
      <c r="U214" t="str">
        <f>IF(COUNTIF('Draft Log'!$B$2:$B$301,D214)&gt;0,"DRAFTED","")</f>
        <v>DRAFTED</v>
      </c>
      <c r="V214">
        <f>IFERROR(INDEX('Draft Log'!$A$2:$A$301,MATCH(D214,'Draft Log'!$B$2:$B$301,0)),"")</f>
        <v>129</v>
      </c>
      <c r="W214" t="str">
        <f>IFERROR(INDEX('Draft Log'!$C$2:$C$301,MATCH(D214,'Draft Log'!$B$2:$B$301,0)),"")</f>
        <v>The Good, Bad and Ugly</v>
      </c>
    </row>
    <row r="215" spans="1:23">
      <c r="A215">
        <f t="shared" si="32"/>
        <v>212</v>
      </c>
      <c r="D215" t="str">
        <f>IF($D$1="ESPN",INDEX(Table2[Mapped Name],MATCH('Rankings Master'!$A215,Table2[Overall Rank],0)),IF('Rankings Master'!$D$1="NFL.com",INDEX(Table3[Name Clean],MATCH('Rankings Master'!$A215,Table3[Rank],0)),IF('Rankings Master'!$D$1="Sleeper",INDEX(Sleeper!$B$2:$B$201,MATCH('Rankings Master'!$A215,Sleeper!$A$2:$A$201,0)),"Need platform")))</f>
        <v>Kimani Vidal</v>
      </c>
      <c r="E215" t="str">
        <f>IF($D$1="ESPN",INDEX(Table2[Position],MATCH('Rankings Master'!$A215,Table2[Overall Rank],0)),IF('Rankings Master'!$D$1="NFL.com",INDEX(Table3[Position],MATCH('Rankings Master'!$A215,Table3[Rank],0)),INDEX(Sleeper!$C$2:$C$201,MATCH('Rankings Master'!A215,Sleeper!$A$2:$A$201,0))))</f>
        <v>RB</v>
      </c>
      <c r="F215">
        <f>INDEX(Table4[RK],MATCH('Rankings Master'!D215,Table4[PLAYER NAME],0))</f>
        <v>187</v>
      </c>
      <c r="G215">
        <f t="shared" si="28"/>
        <v>25</v>
      </c>
      <c r="H215">
        <f t="shared" si="29"/>
        <v>0.13368983957219252</v>
      </c>
      <c r="I215" t="str">
        <f t="shared" si="27"/>
        <v>Slightly Undervalued</v>
      </c>
      <c r="J215" t="str">
        <f t="shared" si="31"/>
        <v/>
      </c>
      <c r="M215" t="str">
        <f>IFERROR(INDEX(PlayerSummaryTable[Rushing Yds],MATCH('Rankings Master'!D215,PlayerSummaryTable[Player],0)),"")</f>
        <v/>
      </c>
      <c r="N215" t="str">
        <f>IFERROR(INDEX(PlayerSummaryTable[Receiving Yds],MATCH('Rankings Master'!D215,PlayerSummaryTable[Player],0)),"")</f>
        <v/>
      </c>
      <c r="O215" t="str">
        <f>IFERROR(INDEX(PlayerSummaryTable[Passing Yds],MATCH('Rankings Master'!D215,PlayerSummaryTable[Player],0)),"")</f>
        <v/>
      </c>
      <c r="U215" t="str">
        <f>IF(COUNTIF('Draft Log'!$B$2:$B$301,D215)&gt;0,"DRAFTED","")</f>
        <v/>
      </c>
      <c r="V215" t="str">
        <f>IFERROR(INDEX('Draft Log'!$A$2:$A$301,MATCH(D215,'Draft Log'!$B$2:$B$301,0)),"")</f>
        <v/>
      </c>
      <c r="W215" t="str">
        <f>IFERROR(INDEX('Draft Log'!$C$2:$C$301,MATCH(D215,'Draft Log'!$B$2:$B$301,0)),"")</f>
        <v/>
      </c>
    </row>
    <row r="216" spans="1:23">
      <c r="A216">
        <f t="shared" si="32"/>
        <v>213</v>
      </c>
      <c r="D216" t="str">
        <f>IF($D$1="ESPN",INDEX(Table2[Mapped Name],MATCH('Rankings Master'!$A216,Table2[Overall Rank],0)),IF('Rankings Master'!$D$1="NFL.com",INDEX(Table3[Name Clean],MATCH('Rankings Master'!$A216,Table3[Rank],0)),IF('Rankings Master'!$D$1="Sleeper",INDEX(Sleeper!$B$2:$B$201,MATCH('Rankings Master'!$A216,Sleeper!$A$2:$A$201,0)),"Need platform")))</f>
        <v>Jaylen Wright</v>
      </c>
      <c r="E216" t="str">
        <f>IF($D$1="ESPN",INDEX(Table2[Position],MATCH('Rankings Master'!$A216,Table2[Overall Rank],0)),IF('Rankings Master'!$D$1="NFL.com",INDEX(Table3[Position],MATCH('Rankings Master'!$A216,Table3[Rank],0)),INDEX(Sleeper!$C$2:$C$201,MATCH('Rankings Master'!A216,Sleeper!$A$2:$A$201,0))))</f>
        <v>RB</v>
      </c>
      <c r="F216">
        <f>INDEX(Table4[RK],MATCH('Rankings Master'!D216,Table4[PLAYER NAME],0))</f>
        <v>217</v>
      </c>
      <c r="G216">
        <f t="shared" si="28"/>
        <v>-4</v>
      </c>
      <c r="H216">
        <f t="shared" si="29"/>
        <v>-1.8433179723502304E-2</v>
      </c>
      <c r="I216" t="str">
        <f t="shared" si="27"/>
        <v>Slightly Overvalued</v>
      </c>
      <c r="J216" t="str">
        <f t="shared" si="31"/>
        <v/>
      </c>
      <c r="M216" t="str">
        <f>IFERROR(INDEX(PlayerSummaryTable[Rushing Yds],MATCH('Rankings Master'!D216,PlayerSummaryTable[Player],0)),"")</f>
        <v/>
      </c>
      <c r="N216" t="str">
        <f>IFERROR(INDEX(PlayerSummaryTable[Receiving Yds],MATCH('Rankings Master'!D216,PlayerSummaryTable[Player],0)),"")</f>
        <v/>
      </c>
      <c r="O216" t="str">
        <f>IFERROR(INDEX(PlayerSummaryTable[Passing Yds],MATCH('Rankings Master'!D216,PlayerSummaryTable[Player],0)),"")</f>
        <v/>
      </c>
      <c r="U216" t="str">
        <f>IF(COUNTIF('Draft Log'!$B$2:$B$301,D216)&gt;0,"DRAFTED","")</f>
        <v/>
      </c>
      <c r="V216" t="str">
        <f>IFERROR(INDEX('Draft Log'!$A$2:$A$301,MATCH(D216,'Draft Log'!$B$2:$B$301,0)),"")</f>
        <v/>
      </c>
      <c r="W216" t="str">
        <f>IFERROR(INDEX('Draft Log'!$C$2:$C$301,MATCH(D216,'Draft Log'!$B$2:$B$301,0)),"")</f>
        <v/>
      </c>
    </row>
    <row r="217" spans="1:23">
      <c r="A217">
        <f t="shared" si="32"/>
        <v>214</v>
      </c>
      <c r="D217" t="str">
        <f>IF($D$1="ESPN",INDEX(Table2[Mapped Name],MATCH('Rankings Master'!$A217,Table2[Overall Rank],0)),IF('Rankings Master'!$D$1="NFL.com",INDEX(Table3[Name Clean],MATCH('Rankings Master'!$A217,Table3[Rank],0)),IF('Rankings Master'!$D$1="Sleeper",INDEX(Sleeper!$B$2:$B$201,MATCH('Rankings Master'!$A217,Sleeper!$A$2:$A$201,0)),"Need platform")))</f>
        <v>Ollie Gordon II</v>
      </c>
      <c r="E217" t="str">
        <f>IF($D$1="ESPN",INDEX(Table2[Position],MATCH('Rankings Master'!$A217,Table2[Overall Rank],0)),IF('Rankings Master'!$D$1="NFL.com",INDEX(Table3[Position],MATCH('Rankings Master'!$A217,Table3[Rank],0)),INDEX(Sleeper!$C$2:$C$201,MATCH('Rankings Master'!A217,Sleeper!$A$2:$A$201,0))))</f>
        <v>RB</v>
      </c>
      <c r="F217">
        <f>INDEX(Table4[RK],MATCH('Rankings Master'!D217,Table4[PLAYER NAME],0))</f>
        <v>252</v>
      </c>
      <c r="G217">
        <f t="shared" si="28"/>
        <v>-38</v>
      </c>
      <c r="H217">
        <f t="shared" si="29"/>
        <v>-0.15079365079365079</v>
      </c>
      <c r="I217" t="str">
        <f t="shared" si="27"/>
        <v>Pretty Overvalued</v>
      </c>
      <c r="J217" t="str">
        <f t="shared" si="31"/>
        <v/>
      </c>
      <c r="M217" t="str">
        <f>IFERROR(INDEX(PlayerSummaryTable[Rushing Yds],MATCH('Rankings Master'!D217,PlayerSummaryTable[Player],0)),"")</f>
        <v/>
      </c>
      <c r="N217" t="str">
        <f>IFERROR(INDEX(PlayerSummaryTable[Receiving Yds],MATCH('Rankings Master'!D217,PlayerSummaryTable[Player],0)),"")</f>
        <v/>
      </c>
      <c r="O217" t="str">
        <f>IFERROR(INDEX(PlayerSummaryTable[Passing Yds],MATCH('Rankings Master'!D217,PlayerSummaryTable[Player],0)),"")</f>
        <v/>
      </c>
      <c r="U217" t="str">
        <f>IF(COUNTIF('Draft Log'!$B$2:$B$301,D217)&gt;0,"DRAFTED","")</f>
        <v/>
      </c>
      <c r="V217" t="str">
        <f>IFERROR(INDEX('Draft Log'!$A$2:$A$301,MATCH(D217,'Draft Log'!$B$2:$B$301,0)),"")</f>
        <v/>
      </c>
      <c r="W217" t="str">
        <f>IFERROR(INDEX('Draft Log'!$C$2:$C$301,MATCH(D217,'Draft Log'!$B$2:$B$301,0)),"")</f>
        <v/>
      </c>
    </row>
    <row r="218" spans="1:23">
      <c r="A218">
        <f t="shared" si="32"/>
        <v>215</v>
      </c>
      <c r="D218" t="str">
        <f>IF($D$1="ESPN",INDEX(Table2[Mapped Name],MATCH('Rankings Master'!$A218,Table2[Overall Rank],0)),IF('Rankings Master'!$D$1="NFL.com",INDEX(Table3[Name Clean],MATCH('Rankings Master'!$A218,Table3[Rank],0)),IF('Rankings Master'!$D$1="Sleeper",INDEX(Sleeper!$B$2:$B$201,MATCH('Rankings Master'!$A218,Sleeper!$A$2:$A$201,0)),"Need platform")))</f>
        <v>Chig Okonkwo</v>
      </c>
      <c r="E218" t="str">
        <f>IF($D$1="ESPN",INDEX(Table2[Position],MATCH('Rankings Master'!$A218,Table2[Overall Rank],0)),IF('Rankings Master'!$D$1="NFL.com",INDEX(Table3[Position],MATCH('Rankings Master'!$A218,Table3[Rank],0)),INDEX(Sleeper!$C$2:$C$201,MATCH('Rankings Master'!A218,Sleeper!$A$2:$A$201,0))))</f>
        <v>TE</v>
      </c>
      <c r="F218">
        <f>INDEX(Table4[RK],MATCH('Rankings Master'!D218,Table4[PLAYER NAME],0))</f>
        <v>160</v>
      </c>
      <c r="G218">
        <f t="shared" si="28"/>
        <v>55</v>
      </c>
      <c r="H218">
        <f t="shared" si="29"/>
        <v>0.34375</v>
      </c>
      <c r="I218" t="str">
        <f t="shared" si="27"/>
        <v>Pretty Undervalued</v>
      </c>
      <c r="J218" t="str">
        <f t="shared" si="31"/>
        <v/>
      </c>
      <c r="M218" t="str">
        <f>IFERROR(INDEX(PlayerSummaryTable[Rushing Yds],MATCH('Rankings Master'!D218,PlayerSummaryTable[Player],0)),"")</f>
        <v/>
      </c>
      <c r="N218" t="str">
        <f>IFERROR(INDEX(PlayerSummaryTable[Receiving Yds],MATCH('Rankings Master'!D218,PlayerSummaryTable[Player],0)),"")</f>
        <v/>
      </c>
      <c r="O218" t="str">
        <f>IFERROR(INDEX(PlayerSummaryTable[Passing Yds],MATCH('Rankings Master'!D218,PlayerSummaryTable[Player],0)),"")</f>
        <v/>
      </c>
      <c r="U218" t="str">
        <f>IF(COUNTIF('Draft Log'!$B$2:$B$301,D218)&gt;0,"DRAFTED","")</f>
        <v/>
      </c>
      <c r="V218" t="str">
        <f>IFERROR(INDEX('Draft Log'!$A$2:$A$301,MATCH(D218,'Draft Log'!$B$2:$B$301,0)),"")</f>
        <v/>
      </c>
      <c r="W218" t="str">
        <f>IFERROR(INDEX('Draft Log'!$C$2:$C$301,MATCH(D218,'Draft Log'!$B$2:$B$301,0)),"")</f>
        <v/>
      </c>
    </row>
    <row r="219" spans="1:23">
      <c r="A219">
        <f t="shared" si="32"/>
        <v>216</v>
      </c>
      <c r="D219" t="str">
        <f>IF($D$1="ESPN",INDEX(Table2[Mapped Name],MATCH('Rankings Master'!$A219,Table2[Overall Rank],0)),IF('Rankings Master'!$D$1="NFL.com",INDEX(Table3[Name Clean],MATCH('Rankings Master'!$A219,Table3[Rank],0)),IF('Rankings Master'!$D$1="Sleeper",INDEX(Sleeper!$B$2:$B$201,MATCH('Rankings Master'!$A219,Sleeper!$A$2:$A$201,0)),"Need platform")))</f>
        <v>Gunnar Helm</v>
      </c>
      <c r="E219" t="str">
        <f>IF($D$1="ESPN",INDEX(Table2[Position],MATCH('Rankings Master'!$A219,Table2[Overall Rank],0)),IF('Rankings Master'!$D$1="NFL.com",INDEX(Table3[Position],MATCH('Rankings Master'!$A219,Table3[Rank],0)),INDEX(Sleeper!$C$2:$C$201,MATCH('Rankings Master'!A219,Sleeper!$A$2:$A$201,0))))</f>
        <v>TE</v>
      </c>
      <c r="F219">
        <f>INDEX(Table4[RK],MATCH('Rankings Master'!D219,Table4[PLAYER NAME],0))</f>
        <v>232</v>
      </c>
      <c r="G219">
        <f t="shared" si="28"/>
        <v>-16</v>
      </c>
      <c r="H219">
        <f t="shared" si="29"/>
        <v>-6.8965517241379309E-2</v>
      </c>
      <c r="I219" t="str">
        <f t="shared" si="27"/>
        <v>Slightly Overvalued</v>
      </c>
      <c r="J219" t="str">
        <f t="shared" si="31"/>
        <v/>
      </c>
      <c r="M219" t="str">
        <f>IFERROR(INDEX(PlayerSummaryTable[Rushing Yds],MATCH('Rankings Master'!D219,PlayerSummaryTable[Player],0)),"")</f>
        <v/>
      </c>
      <c r="N219" t="str">
        <f>IFERROR(INDEX(PlayerSummaryTable[Receiving Yds],MATCH('Rankings Master'!D219,PlayerSummaryTable[Player],0)),"")</f>
        <v/>
      </c>
      <c r="O219" t="str">
        <f>IFERROR(INDEX(PlayerSummaryTable[Passing Yds],MATCH('Rankings Master'!D219,PlayerSummaryTable[Player],0)),"")</f>
        <v/>
      </c>
      <c r="U219" t="str">
        <f>IF(COUNTIF('Draft Log'!$B$2:$B$301,D219)&gt;0,"DRAFTED","")</f>
        <v/>
      </c>
      <c r="V219" t="str">
        <f>IFERROR(INDEX('Draft Log'!$A$2:$A$301,MATCH(D219,'Draft Log'!$B$2:$B$301,0)),"")</f>
        <v/>
      </c>
      <c r="W219" t="str">
        <f>IFERROR(INDEX('Draft Log'!$C$2:$C$301,MATCH(D219,'Draft Log'!$B$2:$B$301,0)),"")</f>
        <v/>
      </c>
    </row>
    <row r="220" spans="1:23">
      <c r="A220">
        <f t="shared" si="32"/>
        <v>217</v>
      </c>
      <c r="D220" t="str">
        <f>IF($D$1="ESPN",INDEX(Table2[Mapped Name],MATCH('Rankings Master'!$A220,Table2[Overall Rank],0)),IF('Rankings Master'!$D$1="NFL.com",INDEX(Table3[Name Clean],MATCH('Rankings Master'!$A220,Table3[Rank],0)),IF('Rankings Master'!$D$1="Sleeper",INDEX(Sleeper!$B$2:$B$201,MATCH('Rankings Master'!$A220,Sleeper!$A$2:$A$201,0)),"Need platform")))</f>
        <v>AJ Barner</v>
      </c>
      <c r="E220" t="str">
        <f>IF($D$1="ESPN",INDEX(Table2[Position],MATCH('Rankings Master'!$A220,Table2[Overall Rank],0)),IF('Rankings Master'!$D$1="NFL.com",INDEX(Table3[Position],MATCH('Rankings Master'!$A220,Table3[Rank],0)),INDEX(Sleeper!$C$2:$C$201,MATCH('Rankings Master'!A220,Sleeper!$A$2:$A$201,0))))</f>
        <v>TE</v>
      </c>
      <c r="F220">
        <f>INDEX(Table4[RK],MATCH('Rankings Master'!D220,Table4[PLAYER NAME],0))</f>
        <v>183</v>
      </c>
      <c r="G220">
        <f t="shared" si="28"/>
        <v>34</v>
      </c>
      <c r="H220">
        <f t="shared" si="29"/>
        <v>0.18579234972677597</v>
      </c>
      <c r="I220" t="str">
        <f t="shared" si="27"/>
        <v>Pretty Undervalued</v>
      </c>
      <c r="J220" t="str">
        <f t="shared" si="31"/>
        <v/>
      </c>
      <c r="M220" t="str">
        <f>IFERROR(INDEX(PlayerSummaryTable[Rushing Yds],MATCH('Rankings Master'!D220,PlayerSummaryTable[Player],0)),"")</f>
        <v/>
      </c>
      <c r="N220" t="str">
        <f>IFERROR(INDEX(PlayerSummaryTable[Receiving Yds],MATCH('Rankings Master'!D220,PlayerSummaryTable[Player],0)),"")</f>
        <v/>
      </c>
      <c r="O220" t="str">
        <f>IFERROR(INDEX(PlayerSummaryTable[Passing Yds],MATCH('Rankings Master'!D220,PlayerSummaryTable[Player],0)),"")</f>
        <v/>
      </c>
      <c r="U220" t="str">
        <f>IF(COUNTIF('Draft Log'!$B$2:$B$301,D220)&gt;0,"DRAFTED","")</f>
        <v/>
      </c>
      <c r="V220" t="str">
        <f>IFERROR(INDEX('Draft Log'!$A$2:$A$301,MATCH(D220,'Draft Log'!$B$2:$B$301,0)),"")</f>
        <v/>
      </c>
      <c r="W220" t="str">
        <f>IFERROR(INDEX('Draft Log'!$C$2:$C$301,MATCH(D220,'Draft Log'!$B$2:$B$301,0)),"")</f>
        <v/>
      </c>
    </row>
    <row r="221" spans="1:23">
      <c r="A221">
        <f t="shared" si="32"/>
        <v>218</v>
      </c>
      <c r="D221" t="str">
        <f>IF($D$1="ESPN",INDEX(Table2[Mapped Name],MATCH('Rankings Master'!$A221,Table2[Overall Rank],0)),IF('Rankings Master'!$D$1="NFL.com",INDEX(Table3[Name Clean],MATCH('Rankings Master'!$A221,Table3[Rank],0)),IF('Rankings Master'!$D$1="Sleeper",INDEX(Sleeper!$B$2:$B$201,MATCH('Rankings Master'!$A221,Sleeper!$A$2:$A$201,0)),"Need platform")))</f>
        <v>Bryce Young</v>
      </c>
      <c r="E221" t="str">
        <f>IF($D$1="ESPN",INDEX(Table2[Position],MATCH('Rankings Master'!$A221,Table2[Overall Rank],0)),IF('Rankings Master'!$D$1="NFL.com",INDEX(Table3[Position],MATCH('Rankings Master'!$A221,Table3[Rank],0)),INDEX(Sleeper!$C$2:$C$201,MATCH('Rankings Master'!A221,Sleeper!$A$2:$A$201,0))))</f>
        <v>QB</v>
      </c>
      <c r="F221">
        <f>INDEX(Table4[RK],MATCH('Rankings Master'!D221,Table4[PLAYER NAME],0))</f>
        <v>172</v>
      </c>
      <c r="G221">
        <f t="shared" si="28"/>
        <v>46</v>
      </c>
      <c r="H221">
        <f t="shared" si="29"/>
        <v>0.26744186046511625</v>
      </c>
      <c r="I221" t="str">
        <f t="shared" si="27"/>
        <v>Pretty Undervalued</v>
      </c>
      <c r="J221" t="str">
        <f t="shared" si="31"/>
        <v/>
      </c>
      <c r="M221" t="str">
        <f>IFERROR(INDEX(PlayerSummaryTable[Rushing Yds],MATCH('Rankings Master'!D221,PlayerSummaryTable[Player],0)),"")</f>
        <v>N/A</v>
      </c>
      <c r="N221" t="str">
        <f>IFERROR(INDEX(PlayerSummaryTable[Receiving Yds],MATCH('Rankings Master'!D221,PlayerSummaryTable[Player],0)),"")</f>
        <v>N/A</v>
      </c>
      <c r="O221">
        <f>IFERROR(INDEX(PlayerSummaryTable[Passing Yds],MATCH('Rankings Master'!D221,PlayerSummaryTable[Player],0)),"")</f>
        <v>2874.5</v>
      </c>
      <c r="U221" t="str">
        <f>IF(COUNTIF('Draft Log'!$B$2:$B$301,D221)&gt;0,"DRAFTED","")</f>
        <v/>
      </c>
      <c r="V221" t="str">
        <f>IFERROR(INDEX('Draft Log'!$A$2:$A$301,MATCH(D221,'Draft Log'!$B$2:$B$301,0)),"")</f>
        <v/>
      </c>
      <c r="W221" t="str">
        <f>IFERROR(INDEX('Draft Log'!$C$2:$C$301,MATCH(D221,'Draft Log'!$B$2:$B$301,0)),"")</f>
        <v/>
      </c>
    </row>
    <row r="222" spans="1:23">
      <c r="A222">
        <f t="shared" si="32"/>
        <v>219</v>
      </c>
      <c r="D222" t="str">
        <f>IF($D$1="ESPN",INDEX(Table2[Mapped Name],MATCH('Rankings Master'!$A222,Table2[Overall Rank],0)),IF('Rankings Master'!$D$1="NFL.com",INDEX(Table3[Name Clean],MATCH('Rankings Master'!$A222,Table3[Rank],0)),IF('Rankings Master'!$D$1="Sleeper",INDEX(Sleeper!$B$2:$B$201,MATCH('Rankings Master'!$A222,Sleeper!$A$2:$A$201,0)),"Need platform")))</f>
        <v>Cam Ward</v>
      </c>
      <c r="E222" t="str">
        <f>IF($D$1="ESPN",INDEX(Table2[Position],MATCH('Rankings Master'!$A222,Table2[Overall Rank],0)),IF('Rankings Master'!$D$1="NFL.com",INDEX(Table3[Position],MATCH('Rankings Master'!$A222,Table3[Rank],0)),INDEX(Sleeper!$C$2:$C$201,MATCH('Rankings Master'!A222,Sleeper!$A$2:$A$201,0))))</f>
        <v>QB</v>
      </c>
      <c r="F222">
        <f>INDEX(Table4[RK],MATCH('Rankings Master'!D222,Table4[PLAYER NAME],0))</f>
        <v>158</v>
      </c>
      <c r="G222">
        <f t="shared" si="28"/>
        <v>61</v>
      </c>
      <c r="H222">
        <f t="shared" si="29"/>
        <v>0.38607594936708861</v>
      </c>
      <c r="I222" t="str">
        <f t="shared" si="27"/>
        <v>Pretty Undervalued</v>
      </c>
      <c r="J222" t="str">
        <f t="shared" si="31"/>
        <v/>
      </c>
      <c r="M222" t="str">
        <f>IFERROR(INDEX(PlayerSummaryTable[Rushing Yds],MATCH('Rankings Master'!D222,PlayerSummaryTable[Player],0)),"")</f>
        <v>N/A</v>
      </c>
      <c r="N222" t="str">
        <f>IFERROR(INDEX(PlayerSummaryTable[Receiving Yds],MATCH('Rankings Master'!D222,PlayerSummaryTable[Player],0)),"")</f>
        <v>N/A</v>
      </c>
      <c r="O222">
        <f>IFERROR(INDEX(PlayerSummaryTable[Passing Yds],MATCH('Rankings Master'!D222,PlayerSummaryTable[Player],0)),"")</f>
        <v>3249.5</v>
      </c>
      <c r="U222" t="str">
        <f>IF(COUNTIF('Draft Log'!$B$2:$B$301,D222)&gt;0,"DRAFTED","")</f>
        <v/>
      </c>
      <c r="V222" t="str">
        <f>IFERROR(INDEX('Draft Log'!$A$2:$A$301,MATCH(D222,'Draft Log'!$B$2:$B$301,0)),"")</f>
        <v/>
      </c>
      <c r="W222" t="str">
        <f>IFERROR(INDEX('Draft Log'!$C$2:$C$301,MATCH(D222,'Draft Log'!$B$2:$B$301,0)),"")</f>
        <v/>
      </c>
    </row>
    <row r="223" spans="1:23">
      <c r="A223">
        <f t="shared" si="32"/>
        <v>220</v>
      </c>
      <c r="D223" t="str">
        <f>IF($D$1="ESPN",INDEX(Table2[Mapped Name],MATCH('Rankings Master'!$A223,Table2[Overall Rank],0)),IF('Rankings Master'!$D$1="NFL.com",INDEX(Table3[Name Clean],MATCH('Rankings Master'!$A223,Table3[Rank],0)),IF('Rankings Master'!$D$1="Sleeper",INDEX(Sleeper!$B$2:$B$201,MATCH('Rankings Master'!$A223,Sleeper!$A$2:$A$201,0)),"Need platform")))</f>
        <v>Jacoby Brissett</v>
      </c>
      <c r="E223" t="str">
        <f>IF($D$1="ESPN",INDEX(Table2[Position],MATCH('Rankings Master'!$A223,Table2[Overall Rank],0)),IF('Rankings Master'!$D$1="NFL.com",INDEX(Table3[Position],MATCH('Rankings Master'!$A223,Table3[Rank],0)),INDEX(Sleeper!$C$2:$C$201,MATCH('Rankings Master'!A223,Sleeper!$A$2:$A$201,0))))</f>
        <v>QB</v>
      </c>
      <c r="F223">
        <f>INDEX(Table4[RK],MATCH('Rankings Master'!D223,Table4[PLAYER NAME],0))</f>
        <v>206</v>
      </c>
      <c r="G223">
        <f t="shared" si="28"/>
        <v>14</v>
      </c>
      <c r="H223">
        <f t="shared" si="29"/>
        <v>6.7961165048543687E-2</v>
      </c>
      <c r="I223" t="str">
        <f t="shared" si="27"/>
        <v>Slightly Undervalued</v>
      </c>
      <c r="J223" t="str">
        <f t="shared" si="31"/>
        <v/>
      </c>
      <c r="M223" t="str">
        <f>IFERROR(INDEX(PlayerSummaryTable[Rushing Yds],MATCH('Rankings Master'!D223,PlayerSummaryTable[Player],0)),"")</f>
        <v/>
      </c>
      <c r="N223" t="str">
        <f>IFERROR(INDEX(PlayerSummaryTable[Receiving Yds],MATCH('Rankings Master'!D223,PlayerSummaryTable[Player],0)),"")</f>
        <v/>
      </c>
      <c r="O223" t="str">
        <f>IFERROR(INDEX(PlayerSummaryTable[Passing Yds],MATCH('Rankings Master'!D223,PlayerSummaryTable[Player],0)),"")</f>
        <v/>
      </c>
      <c r="U223" t="str">
        <f>IF(COUNTIF('Draft Log'!$B$2:$B$301,D223)&gt;0,"DRAFTED","")</f>
        <v/>
      </c>
      <c r="V223" t="str">
        <f>IFERROR(INDEX('Draft Log'!$A$2:$A$301,MATCH(D223,'Draft Log'!$B$2:$B$301,0)),"")</f>
        <v/>
      </c>
      <c r="W223" t="str">
        <f>IFERROR(INDEX('Draft Log'!$C$2:$C$301,MATCH(D223,'Draft Log'!$B$2:$B$301,0)),"")</f>
        <v/>
      </c>
    </row>
    <row r="224" spans="1:23">
      <c r="A224">
        <f t="shared" si="32"/>
        <v>221</v>
      </c>
      <c r="D224" t="str">
        <f>IF($D$1="ESPN",INDEX(Table2[Mapped Name],MATCH('Rankings Master'!$A224,Table2[Overall Rank],0)),IF('Rankings Master'!$D$1="NFL.com",INDEX(Table3[Name Clean],MATCH('Rankings Master'!$A224,Table3[Rank],0)),IF('Rankings Master'!$D$1="Sleeper",INDEX(Sleeper!$B$2:$B$201,MATCH('Rankings Master'!$A224,Sleeper!$A$2:$A$201,0)),"Need platform")))</f>
        <v>Samaje Perine</v>
      </c>
      <c r="E224" t="str">
        <f>IF($D$1="ESPN",INDEX(Table2[Position],MATCH('Rankings Master'!$A224,Table2[Overall Rank],0)),IF('Rankings Master'!$D$1="NFL.com",INDEX(Table3[Position],MATCH('Rankings Master'!$A224,Table3[Rank],0)),INDEX(Sleeper!$C$2:$C$201,MATCH('Rankings Master'!A224,Sleeper!$A$2:$A$201,0))))</f>
        <v>RB</v>
      </c>
      <c r="F224">
        <f>INDEX(Table4[RK],MATCH('Rankings Master'!D224,Table4[PLAYER NAME],0))</f>
        <v>256</v>
      </c>
      <c r="G224">
        <f t="shared" si="28"/>
        <v>-35</v>
      </c>
      <c r="H224">
        <f t="shared" si="29"/>
        <v>-0.13671875</v>
      </c>
      <c r="I224" t="str">
        <f t="shared" si="27"/>
        <v>Slightly Overvalued</v>
      </c>
      <c r="J224" t="str">
        <f t="shared" si="31"/>
        <v/>
      </c>
      <c r="M224" t="str">
        <f>IFERROR(INDEX(PlayerSummaryTable[Rushing Yds],MATCH('Rankings Master'!D224,PlayerSummaryTable[Player],0)),"")</f>
        <v/>
      </c>
      <c r="N224" t="str">
        <f>IFERROR(INDEX(PlayerSummaryTable[Receiving Yds],MATCH('Rankings Master'!D224,PlayerSummaryTable[Player],0)),"")</f>
        <v/>
      </c>
      <c r="O224" t="str">
        <f>IFERROR(INDEX(PlayerSummaryTable[Passing Yds],MATCH('Rankings Master'!D224,PlayerSummaryTable[Player],0)),"")</f>
        <v/>
      </c>
      <c r="U224" t="str">
        <f>IF(COUNTIF('Draft Log'!$B$2:$B$301,D224)&gt;0,"DRAFTED","")</f>
        <v/>
      </c>
      <c r="V224" t="str">
        <f>IFERROR(INDEX('Draft Log'!$A$2:$A$301,MATCH(D224,'Draft Log'!$B$2:$B$301,0)),"")</f>
        <v/>
      </c>
      <c r="W224" t="str">
        <f>IFERROR(INDEX('Draft Log'!$C$2:$C$301,MATCH(D224,'Draft Log'!$B$2:$B$301,0)),"")</f>
        <v/>
      </c>
    </row>
    <row r="225" spans="1:23">
      <c r="A225">
        <f t="shared" si="32"/>
        <v>222</v>
      </c>
      <c r="D225" t="str">
        <f>IF($D$1="ESPN",INDEX(Table2[Mapped Name],MATCH('Rankings Master'!$A225,Table2[Overall Rank],0)),IF('Rankings Master'!$D$1="NFL.com",INDEX(Table3[Name Clean],MATCH('Rankings Master'!$A225,Table3[Rank],0)),IF('Rankings Master'!$D$1="Sleeper",INDEX(Sleeper!$B$2:$B$201,MATCH('Rankings Master'!$A225,Sleeper!$A$2:$A$201,0)),"Need platform")))</f>
        <v>Ty Johnson</v>
      </c>
      <c r="E225" t="str">
        <f>IF($D$1="ESPN",INDEX(Table2[Position],MATCH('Rankings Master'!$A225,Table2[Overall Rank],0)),IF('Rankings Master'!$D$1="NFL.com",INDEX(Table3[Position],MATCH('Rankings Master'!$A225,Table3[Rank],0)),INDEX(Sleeper!$C$2:$C$201,MATCH('Rankings Master'!A225,Sleeper!$A$2:$A$201,0))))</f>
        <v>RB</v>
      </c>
      <c r="F225">
        <f>INDEX(Table4[RK],MATCH('Rankings Master'!D225,Table4[PLAYER NAME],0))</f>
        <v>270</v>
      </c>
      <c r="G225">
        <f t="shared" si="28"/>
        <v>-48</v>
      </c>
      <c r="H225">
        <f t="shared" si="29"/>
        <v>-0.17777777777777778</v>
      </c>
      <c r="I225" t="str">
        <f t="shared" si="27"/>
        <v>Pretty Overvalued</v>
      </c>
      <c r="J225" t="str">
        <f t="shared" si="31"/>
        <v/>
      </c>
      <c r="M225" t="str">
        <f>IFERROR(INDEX(PlayerSummaryTable[Rushing Yds],MATCH('Rankings Master'!D225,PlayerSummaryTable[Player],0)),"")</f>
        <v/>
      </c>
      <c r="N225" t="str">
        <f>IFERROR(INDEX(PlayerSummaryTable[Receiving Yds],MATCH('Rankings Master'!D225,PlayerSummaryTable[Player],0)),"")</f>
        <v/>
      </c>
      <c r="O225" t="str">
        <f>IFERROR(INDEX(PlayerSummaryTable[Passing Yds],MATCH('Rankings Master'!D225,PlayerSummaryTable[Player],0)),"")</f>
        <v/>
      </c>
      <c r="U225" t="str">
        <f>IF(COUNTIF('Draft Log'!$B$2:$B$301,D225)&gt;0,"DRAFTED","")</f>
        <v/>
      </c>
      <c r="V225" t="str">
        <f>IFERROR(INDEX('Draft Log'!$A$2:$A$301,MATCH(D225,'Draft Log'!$B$2:$B$301,0)),"")</f>
        <v/>
      </c>
      <c r="W225" t="str">
        <f>IFERROR(INDEX('Draft Log'!$C$2:$C$301,MATCH(D225,'Draft Log'!$B$2:$B$301,0)),"")</f>
        <v/>
      </c>
    </row>
    <row r="226" spans="1:23">
      <c r="A226">
        <f t="shared" si="32"/>
        <v>223</v>
      </c>
      <c r="D226" t="str">
        <f>IF($D$1="ESPN",INDEX(Table2[Mapped Name],MATCH('Rankings Master'!$A226,Table2[Overall Rank],0)),IF('Rankings Master'!$D$1="NFL.com",INDEX(Table3[Name Clean],MATCH('Rankings Master'!$A226,Table3[Rank],0)),IF('Rankings Master'!$D$1="Sleeper",INDEX(Sleeper!$B$2:$B$201,MATCH('Rankings Master'!$A226,Sleeper!$A$2:$A$201,0)),"Need platform")))</f>
        <v>Chris Brooks</v>
      </c>
      <c r="E226" t="str">
        <f>IF($D$1="ESPN",INDEX(Table2[Position],MATCH('Rankings Master'!$A226,Table2[Overall Rank],0)),IF('Rankings Master'!$D$1="NFL.com",INDEX(Table3[Position],MATCH('Rankings Master'!$A226,Table3[Rank],0)),INDEX(Sleeper!$C$2:$C$201,MATCH('Rankings Master'!A226,Sleeper!$A$2:$A$201,0))))</f>
        <v>RB</v>
      </c>
      <c r="F226">
        <f>INDEX(Table4[RK],MATCH('Rankings Master'!D226,Table4[PLAYER NAME],0))</f>
        <v>246</v>
      </c>
      <c r="G226">
        <f t="shared" si="28"/>
        <v>-23</v>
      </c>
      <c r="H226">
        <f t="shared" si="29"/>
        <v>-9.3495934959349589E-2</v>
      </c>
      <c r="I226" t="str">
        <f t="shared" si="27"/>
        <v>Slightly Overvalued</v>
      </c>
      <c r="J226" t="str">
        <f t="shared" si="31"/>
        <v/>
      </c>
      <c r="M226" t="str">
        <f>IFERROR(INDEX(PlayerSummaryTable[Rushing Yds],MATCH('Rankings Master'!D226,PlayerSummaryTable[Player],0)),"")</f>
        <v/>
      </c>
      <c r="N226" t="str">
        <f>IFERROR(INDEX(PlayerSummaryTable[Receiving Yds],MATCH('Rankings Master'!D226,PlayerSummaryTable[Player],0)),"")</f>
        <v/>
      </c>
      <c r="O226" t="str">
        <f>IFERROR(INDEX(PlayerSummaryTable[Passing Yds],MATCH('Rankings Master'!D226,PlayerSummaryTable[Player],0)),"")</f>
        <v/>
      </c>
      <c r="U226" t="str">
        <f>IF(COUNTIF('Draft Log'!$B$2:$B$301,D226)&gt;0,"DRAFTED","")</f>
        <v/>
      </c>
      <c r="V226" t="str">
        <f>IFERROR(INDEX('Draft Log'!$A$2:$A$301,MATCH(D226,'Draft Log'!$B$2:$B$301,0)),"")</f>
        <v/>
      </c>
      <c r="W226" t="str">
        <f>IFERROR(INDEX('Draft Log'!$C$2:$C$301,MATCH(D226,'Draft Log'!$B$2:$B$301,0)),"")</f>
        <v/>
      </c>
    </row>
    <row r="227" spans="1:23">
      <c r="A227">
        <f t="shared" si="32"/>
        <v>224</v>
      </c>
      <c r="D227" t="str">
        <f>IF($D$1="ESPN",INDEX(Table2[Mapped Name],MATCH('Rankings Master'!$A227,Table2[Overall Rank],0)),IF('Rankings Master'!$D$1="NFL.com",INDEX(Table3[Name Clean],MATCH('Rankings Master'!$A227,Table3[Rank],0)),IF('Rankings Master'!$D$1="Sleeper",INDEX(Sleeper!$B$2:$B$201,MATCH('Rankings Master'!$A227,Sleeper!$A$2:$A$201,0)),"Need platform")))</f>
        <v>Cooper Kupp</v>
      </c>
      <c r="E227" t="str">
        <f>IF($D$1="ESPN",INDEX(Table2[Position],MATCH('Rankings Master'!$A227,Table2[Overall Rank],0)),IF('Rankings Master'!$D$1="NFL.com",INDEX(Table3[Position],MATCH('Rankings Master'!$A227,Table3[Rank],0)),INDEX(Sleeper!$C$2:$C$201,MATCH('Rankings Master'!A227,Sleeper!$A$2:$A$201,0))))</f>
        <v>WR</v>
      </c>
      <c r="F227">
        <f>INDEX(Table4[RK],MATCH('Rankings Master'!D227,Table4[PLAYER NAME],0))</f>
        <v>237</v>
      </c>
      <c r="G227">
        <f t="shared" si="28"/>
        <v>-13</v>
      </c>
      <c r="H227">
        <f t="shared" si="29"/>
        <v>-5.4852320675105488E-2</v>
      </c>
      <c r="I227" t="str">
        <f t="shared" si="27"/>
        <v>Slightly Overvalued</v>
      </c>
      <c r="J227" t="str">
        <f t="shared" si="31"/>
        <v/>
      </c>
      <c r="M227" t="str">
        <f>IFERROR(INDEX(PlayerSummaryTable[Rushing Yds],MATCH('Rankings Master'!D227,PlayerSummaryTable[Player],0)),"")</f>
        <v/>
      </c>
      <c r="N227" t="str">
        <f>IFERROR(INDEX(PlayerSummaryTable[Receiving Yds],MATCH('Rankings Master'!D227,PlayerSummaryTable[Player],0)),"")</f>
        <v/>
      </c>
      <c r="O227" t="str">
        <f>IFERROR(INDEX(PlayerSummaryTable[Passing Yds],MATCH('Rankings Master'!D227,PlayerSummaryTable[Player],0)),"")</f>
        <v/>
      </c>
      <c r="U227" t="str">
        <f>IF(COUNTIF('Draft Log'!$B$2:$B$301,D227)&gt;0,"DRAFTED","")</f>
        <v/>
      </c>
      <c r="V227" t="str">
        <f>IFERROR(INDEX('Draft Log'!$A$2:$A$301,MATCH(D227,'Draft Log'!$B$2:$B$301,0)),"")</f>
        <v/>
      </c>
      <c r="W227" t="str">
        <f>IFERROR(INDEX('Draft Log'!$C$2:$C$301,MATCH(D227,'Draft Log'!$B$2:$B$301,0)),"")</f>
        <v/>
      </c>
    </row>
    <row r="228" spans="1:23">
      <c r="A228">
        <f t="shared" si="32"/>
        <v>225</v>
      </c>
      <c r="D228" t="str">
        <f>IF($D$1="ESPN",INDEX(Table2[Mapped Name],MATCH('Rankings Master'!$A228,Table2[Overall Rank],0)),IF('Rankings Master'!$D$1="NFL.com",INDEX(Table3[Name Clean],MATCH('Rankings Master'!$A228,Table3[Rank],0)),IF('Rankings Master'!$D$1="Sleeper",INDEX(Sleeper!$B$2:$B$201,MATCH('Rankings Master'!$A228,Sleeper!$A$2:$A$201,0)),"Need platform")))</f>
        <v>Brashard Smith</v>
      </c>
      <c r="E228" t="str">
        <f>IF($D$1="ESPN",INDEX(Table2[Position],MATCH('Rankings Master'!$A228,Table2[Overall Rank],0)),IF('Rankings Master'!$D$1="NFL.com",INDEX(Table3[Position],MATCH('Rankings Master'!$A228,Table3[Rank],0)),INDEX(Sleeper!$C$2:$C$201,MATCH('Rankings Master'!A228,Sleeper!$A$2:$A$201,0))))</f>
        <v>RB</v>
      </c>
      <c r="F228">
        <f>INDEX(Table4[RK],MATCH('Rankings Master'!D228,Table4[PLAYER NAME],0))</f>
        <v>295</v>
      </c>
      <c r="G228">
        <f t="shared" si="28"/>
        <v>-70</v>
      </c>
      <c r="H228">
        <f t="shared" si="29"/>
        <v>-0.23728813559322035</v>
      </c>
      <c r="I228" t="str">
        <f t="shared" si="27"/>
        <v>Pretty Overvalued</v>
      </c>
      <c r="J228" t="str">
        <f t="shared" si="31"/>
        <v/>
      </c>
      <c r="M228" t="str">
        <f>IFERROR(INDEX(PlayerSummaryTable[Rushing Yds],MATCH('Rankings Master'!D228,PlayerSummaryTable[Player],0)),"")</f>
        <v/>
      </c>
      <c r="N228" t="str">
        <f>IFERROR(INDEX(PlayerSummaryTable[Receiving Yds],MATCH('Rankings Master'!D228,PlayerSummaryTable[Player],0)),"")</f>
        <v/>
      </c>
      <c r="O228" t="str">
        <f>IFERROR(INDEX(PlayerSummaryTable[Passing Yds],MATCH('Rankings Master'!D228,PlayerSummaryTable[Player],0)),"")</f>
        <v/>
      </c>
      <c r="U228" t="str">
        <f>IF(COUNTIF('Draft Log'!$B$2:$B$301,D228)&gt;0,"DRAFTED","")</f>
        <v/>
      </c>
      <c r="V228" t="str">
        <f>IFERROR(INDEX('Draft Log'!$A$2:$A$301,MATCH(D228,'Draft Log'!$B$2:$B$301,0)),"")</f>
        <v/>
      </c>
      <c r="W228" t="str">
        <f>IFERROR(INDEX('Draft Log'!$C$2:$C$301,MATCH(D228,'Draft Log'!$B$2:$B$301,0)),"")</f>
        <v/>
      </c>
    </row>
    <row r="229" spans="1:23">
      <c r="A229">
        <f t="shared" si="32"/>
        <v>226</v>
      </c>
      <c r="D229" t="str">
        <f>IF($D$1="ESPN",INDEX(Table2[Mapped Name],MATCH('Rankings Master'!$A229,Table2[Overall Rank],0)),IF('Rankings Master'!$D$1="NFL.com",INDEX(Table3[Name Clean],MATCH('Rankings Master'!$A229,Table3[Rank],0)),IF('Rankings Master'!$D$1="Sleeper",INDEX(Sleeper!$B$2:$B$201,MATCH('Rankings Master'!$A229,Sleeper!$A$2:$A$201,0)),"Need platform")))</f>
        <v>Malik Davis</v>
      </c>
      <c r="E229" t="str">
        <f>IF($D$1="ESPN",INDEX(Table2[Position],MATCH('Rankings Master'!$A229,Table2[Overall Rank],0)),IF('Rankings Master'!$D$1="NFL.com",INDEX(Table3[Position],MATCH('Rankings Master'!$A229,Table3[Rank],0)),INDEX(Sleeper!$C$2:$C$201,MATCH('Rankings Master'!A229,Sleeper!$A$2:$A$201,0))))</f>
        <v>RB</v>
      </c>
      <c r="F229">
        <f>INDEX(Table4[RK],MATCH('Rankings Master'!D229,Table4[PLAYER NAME],0))</f>
        <v>204</v>
      </c>
      <c r="G229">
        <f t="shared" si="28"/>
        <v>22</v>
      </c>
      <c r="H229">
        <f t="shared" si="29"/>
        <v>0.10784313725490197</v>
      </c>
      <c r="I229" t="str">
        <f t="shared" si="27"/>
        <v>Slightly Undervalued</v>
      </c>
      <c r="J229" t="str">
        <f t="shared" si="31"/>
        <v/>
      </c>
      <c r="M229" t="str">
        <f>IFERROR(INDEX(PlayerSummaryTable[Rushing Yds],MATCH('Rankings Master'!D229,PlayerSummaryTable[Player],0)),"")</f>
        <v/>
      </c>
      <c r="N229" t="str">
        <f>IFERROR(INDEX(PlayerSummaryTable[Receiving Yds],MATCH('Rankings Master'!D229,PlayerSummaryTable[Player],0)),"")</f>
        <v/>
      </c>
      <c r="O229" t="str">
        <f>IFERROR(INDEX(PlayerSummaryTable[Passing Yds],MATCH('Rankings Master'!D229,PlayerSummaryTable[Player],0)),"")</f>
        <v/>
      </c>
      <c r="U229" t="str">
        <f>IF(COUNTIF('Draft Log'!$B$2:$B$301,D229)&gt;0,"DRAFTED","")</f>
        <v/>
      </c>
      <c r="V229" t="str">
        <f>IFERROR(INDEX('Draft Log'!$A$2:$A$301,MATCH(D229,'Draft Log'!$B$2:$B$301,0)),"")</f>
        <v/>
      </c>
      <c r="W229" t="str">
        <f>IFERROR(INDEX('Draft Log'!$C$2:$C$301,MATCH(D229,'Draft Log'!$B$2:$B$301,0)),"")</f>
        <v/>
      </c>
    </row>
    <row r="230" spans="1:23">
      <c r="A230">
        <f t="shared" si="32"/>
        <v>227</v>
      </c>
      <c r="D230" t="str">
        <f>IF($D$1="ESPN",INDEX(Table2[Mapped Name],MATCH('Rankings Master'!$A230,Table2[Overall Rank],0)),IF('Rankings Master'!$D$1="NFL.com",INDEX(Table3[Name Clean],MATCH('Rankings Master'!$A230,Table3[Rank],0)),IF('Rankings Master'!$D$1="Sleeper",INDEX(Sleeper!$B$2:$B$201,MATCH('Rankings Master'!$A230,Sleeper!$A$2:$A$201,0)),"Need platform")))</f>
        <v>Xavier Legette</v>
      </c>
      <c r="E230" t="str">
        <f>IF($D$1="ESPN",INDEX(Table2[Position],MATCH('Rankings Master'!$A230,Table2[Overall Rank],0)),IF('Rankings Master'!$D$1="NFL.com",INDEX(Table3[Position],MATCH('Rankings Master'!$A230,Table3[Rank],0)),INDEX(Sleeper!$C$2:$C$201,MATCH('Rankings Master'!A230,Sleeper!$A$2:$A$201,0))))</f>
        <v>WR</v>
      </c>
      <c r="F230">
        <f>INDEX(Table4[RK],MATCH('Rankings Master'!D230,Table4[PLAYER NAME],0))</f>
        <v>277</v>
      </c>
      <c r="G230">
        <f t="shared" si="28"/>
        <v>-50</v>
      </c>
      <c r="H230">
        <f t="shared" si="29"/>
        <v>-0.18050541516245489</v>
      </c>
      <c r="I230" t="str">
        <f t="shared" si="27"/>
        <v>Pretty Overvalued</v>
      </c>
      <c r="J230" t="str">
        <f t="shared" si="31"/>
        <v/>
      </c>
      <c r="M230" t="str">
        <f>IFERROR(INDEX(PlayerSummaryTable[Rushing Yds],MATCH('Rankings Master'!D230,PlayerSummaryTable[Player],0)),"")</f>
        <v/>
      </c>
      <c r="N230" t="str">
        <f>IFERROR(INDEX(PlayerSummaryTable[Receiving Yds],MATCH('Rankings Master'!D230,PlayerSummaryTable[Player],0)),"")</f>
        <v/>
      </c>
      <c r="O230" t="str">
        <f>IFERROR(INDEX(PlayerSummaryTable[Passing Yds],MATCH('Rankings Master'!D230,PlayerSummaryTable[Player],0)),"")</f>
        <v/>
      </c>
      <c r="U230" t="str">
        <f>IF(COUNTIF('Draft Log'!$B$2:$B$301,D230)&gt;0,"DRAFTED","")</f>
        <v/>
      </c>
      <c r="V230" t="str">
        <f>IFERROR(INDEX('Draft Log'!$A$2:$A$301,MATCH(D230,'Draft Log'!$B$2:$B$301,0)),"")</f>
        <v/>
      </c>
      <c r="W230" t="str">
        <f>IFERROR(INDEX('Draft Log'!$C$2:$C$301,MATCH(D230,'Draft Log'!$B$2:$B$301,0)),"")</f>
        <v/>
      </c>
    </row>
    <row r="231" spans="1:23">
      <c r="A231">
        <f t="shared" si="32"/>
        <v>228</v>
      </c>
      <c r="D231" t="str">
        <f>IF($D$1="ESPN",INDEX(Table2[Mapped Name],MATCH('Rankings Master'!$A231,Table2[Overall Rank],0)),IF('Rankings Master'!$D$1="NFL.com",INDEX(Table3[Name Clean],MATCH('Rankings Master'!$A231,Table3[Rank],0)),IF('Rankings Master'!$D$1="Sleeper",INDEX(Sleeper!$B$2:$B$201,MATCH('Rankings Master'!$A231,Sleeper!$A$2:$A$201,0)),"Need platform")))</f>
        <v>Jahan Dotson</v>
      </c>
      <c r="E231" t="str">
        <f>IF($D$1="ESPN",INDEX(Table2[Position],MATCH('Rankings Master'!$A231,Table2[Overall Rank],0)),IF('Rankings Master'!$D$1="NFL.com",INDEX(Table3[Position],MATCH('Rankings Master'!$A231,Table3[Rank],0)),INDEX(Sleeper!$C$2:$C$201,MATCH('Rankings Master'!A231,Sleeper!$A$2:$A$201,0))))</f>
        <v>WR</v>
      </c>
      <c r="F231">
        <f>INDEX(Table4[RK],MATCH('Rankings Master'!D231,Table4[PLAYER NAME],0))</f>
        <v>318</v>
      </c>
      <c r="G231">
        <f t="shared" si="28"/>
        <v>-90</v>
      </c>
      <c r="H231">
        <f t="shared" si="29"/>
        <v>-0.28301886792452829</v>
      </c>
      <c r="I231" t="str">
        <f t="shared" si="27"/>
        <v>Pretty Overvalued</v>
      </c>
      <c r="J231" t="str">
        <f t="shared" si="31"/>
        <v/>
      </c>
      <c r="M231" t="str">
        <f>IFERROR(INDEX(PlayerSummaryTable[Rushing Yds],MATCH('Rankings Master'!D231,PlayerSummaryTable[Player],0)),"")</f>
        <v/>
      </c>
      <c r="N231" t="str">
        <f>IFERROR(INDEX(PlayerSummaryTable[Receiving Yds],MATCH('Rankings Master'!D231,PlayerSummaryTable[Player],0)),"")</f>
        <v/>
      </c>
      <c r="O231" t="str">
        <f>IFERROR(INDEX(PlayerSummaryTable[Passing Yds],MATCH('Rankings Master'!D231,PlayerSummaryTable[Player],0)),"")</f>
        <v/>
      </c>
      <c r="U231" t="str">
        <f>IF(COUNTIF('Draft Log'!$B$2:$B$301,D231)&gt;0,"DRAFTED","")</f>
        <v/>
      </c>
      <c r="V231" t="str">
        <f>IFERROR(INDEX('Draft Log'!$A$2:$A$301,MATCH(D231,'Draft Log'!$B$2:$B$301,0)),"")</f>
        <v/>
      </c>
      <c r="W231" t="str">
        <f>IFERROR(INDEX('Draft Log'!$C$2:$C$301,MATCH(D231,'Draft Log'!$B$2:$B$301,0)),"")</f>
        <v/>
      </c>
    </row>
    <row r="232" spans="1:23">
      <c r="A232">
        <f t="shared" si="32"/>
        <v>229</v>
      </c>
      <c r="D232" t="e">
        <f>IF($D$1="ESPN",INDEX(Table2[Mapped Name],MATCH('Rankings Master'!$A232,Table2[Overall Rank],0)),IF('Rankings Master'!$D$1="NFL.com",INDEX(Table3[Name Clean],MATCH('Rankings Master'!$A232,Table3[Rank],0)),IF('Rankings Master'!$D$1="Sleeper",INDEX(Sleeper!$B$2:$B$201,MATCH('Rankings Master'!$A232,Sleeper!$A$2:$A$201,0)),"Need platform")))</f>
        <v>#N/A</v>
      </c>
      <c r="E232" t="str">
        <f>IF($D$1="ESPN",INDEX(Table2[Position],MATCH('Rankings Master'!$A232,Table2[Overall Rank],0)),IF('Rankings Master'!$D$1="NFL.com",INDEX(Table3[Position],MATCH('Rankings Master'!$A232,Table3[Rank],0)),INDEX(Sleeper!$C$2:$C$201,MATCH('Rankings Master'!A232,Sleeper!$A$2:$A$201,0))))</f>
        <v>WR</v>
      </c>
      <c r="F232" t="e">
        <f>INDEX(Table4[RK],MATCH('Rankings Master'!D232,Table4[PLAYER NAME],0))</f>
        <v>#N/A</v>
      </c>
      <c r="G232" t="e">
        <f t="shared" si="28"/>
        <v>#N/A</v>
      </c>
      <c r="H232" t="e">
        <f t="shared" si="29"/>
        <v>#N/A</v>
      </c>
      <c r="I232" t="e">
        <f t="shared" si="27"/>
        <v>#N/A</v>
      </c>
      <c r="J232" t="str">
        <f t="shared" si="31"/>
        <v/>
      </c>
      <c r="M232" t="str">
        <f>IFERROR(INDEX(PlayerSummaryTable[Rushing Yds],MATCH('Rankings Master'!D232,PlayerSummaryTable[Player],0)),"")</f>
        <v/>
      </c>
      <c r="N232" t="str">
        <f>IFERROR(INDEX(PlayerSummaryTable[Receiving Yds],MATCH('Rankings Master'!D232,PlayerSummaryTable[Player],0)),"")</f>
        <v/>
      </c>
      <c r="O232" t="str">
        <f>IFERROR(INDEX(PlayerSummaryTable[Passing Yds],MATCH('Rankings Master'!D232,PlayerSummaryTable[Player],0)),"")</f>
        <v/>
      </c>
      <c r="U232" t="str">
        <f>IF(COUNTIF('Draft Log'!$B$2:$B$301,D232)&gt;0,"DRAFTED","")</f>
        <v/>
      </c>
      <c r="V232" t="str">
        <f>IFERROR(INDEX('Draft Log'!$A$2:$A$301,MATCH(D232,'Draft Log'!$B$2:$B$301,0)),"")</f>
        <v/>
      </c>
      <c r="W232" t="str">
        <f>IFERROR(INDEX('Draft Log'!$C$2:$C$301,MATCH(D232,'Draft Log'!$B$2:$B$301,0)),"")</f>
        <v/>
      </c>
    </row>
    <row r="233" spans="1:23">
      <c r="A233">
        <f t="shared" si="32"/>
        <v>230</v>
      </c>
      <c r="D233" t="str">
        <f>IF($D$1="ESPN",INDEX(Table2[Mapped Name],MATCH('Rankings Master'!$A233,Table2[Overall Rank],0)),IF('Rankings Master'!$D$1="NFL.com",INDEX(Table3[Name Clean],MATCH('Rankings Master'!$A233,Table3[Rank],0)),IF('Rankings Master'!$D$1="Sleeper",INDEX(Sleeper!$B$2:$B$201,MATCH('Rankings Master'!$A233,Sleeper!$A$2:$A$201,0)),"Need platform")))</f>
        <v>Jalen Tolbert</v>
      </c>
      <c r="E233" t="str">
        <f>IF($D$1="ESPN",INDEX(Table2[Position],MATCH('Rankings Master'!$A233,Table2[Overall Rank],0)),IF('Rankings Master'!$D$1="NFL.com",INDEX(Table3[Position],MATCH('Rankings Master'!$A233,Table3[Rank],0)),INDEX(Sleeper!$C$2:$C$201,MATCH('Rankings Master'!A233,Sleeper!$A$2:$A$201,0))))</f>
        <v>WR</v>
      </c>
      <c r="F233">
        <f>INDEX(Table4[RK],MATCH('Rankings Master'!D233,Table4[PLAYER NAME],0))</f>
        <v>330</v>
      </c>
      <c r="G233">
        <f t="shared" si="28"/>
        <v>-100</v>
      </c>
      <c r="H233">
        <f t="shared" si="29"/>
        <v>-0.30303030303030304</v>
      </c>
      <c r="I233" t="str">
        <f t="shared" si="27"/>
        <v>Pretty Overvalued</v>
      </c>
      <c r="J233" t="str">
        <f t="shared" si="31"/>
        <v/>
      </c>
      <c r="M233" t="str">
        <f>IFERROR(INDEX(PlayerSummaryTable[Rushing Yds],MATCH('Rankings Master'!D233,PlayerSummaryTable[Player],0)),"")</f>
        <v/>
      </c>
      <c r="N233" t="str">
        <f>IFERROR(INDEX(PlayerSummaryTable[Receiving Yds],MATCH('Rankings Master'!D233,PlayerSummaryTable[Player],0)),"")</f>
        <v/>
      </c>
      <c r="O233" t="str">
        <f>IFERROR(INDEX(PlayerSummaryTable[Passing Yds],MATCH('Rankings Master'!D233,PlayerSummaryTable[Player],0)),"")</f>
        <v/>
      </c>
      <c r="U233" t="str">
        <f>IF(COUNTIF('Draft Log'!$B$2:$B$301,D233)&gt;0,"DRAFTED","")</f>
        <v/>
      </c>
      <c r="V233" t="str">
        <f>IFERROR(INDEX('Draft Log'!$A$2:$A$301,MATCH(D233,'Draft Log'!$B$2:$B$301,0)),"")</f>
        <v/>
      </c>
      <c r="W233" t="str">
        <f>IFERROR(INDEX('Draft Log'!$C$2:$C$301,MATCH(D233,'Draft Log'!$B$2:$B$301,0)),"")</f>
        <v/>
      </c>
    </row>
    <row r="234" spans="1:23">
      <c r="A234">
        <f t="shared" si="32"/>
        <v>231</v>
      </c>
      <c r="D234" t="str">
        <f>IF($D$1="ESPN",INDEX(Table2[Mapped Name],MATCH('Rankings Master'!$A234,Table2[Overall Rank],0)),IF('Rankings Master'!$D$1="NFL.com",INDEX(Table3[Name Clean],MATCH('Rankings Master'!$A234,Table3[Rank],0)),IF('Rankings Master'!$D$1="Sleeper",INDEX(Sleeper!$B$2:$B$201,MATCH('Rankings Master'!$A234,Sleeper!$A$2:$A$201,0)),"Need platform")))</f>
        <v>Chris Bell</v>
      </c>
      <c r="E234" t="str">
        <f>IF($D$1="ESPN",INDEX(Table2[Position],MATCH('Rankings Master'!$A234,Table2[Overall Rank],0)),IF('Rankings Master'!$D$1="NFL.com",INDEX(Table3[Position],MATCH('Rankings Master'!$A234,Table3[Rank],0)),INDEX(Sleeper!$C$2:$C$201,MATCH('Rankings Master'!A234,Sleeper!$A$2:$A$201,0))))</f>
        <v>WR</v>
      </c>
      <c r="F234">
        <f>INDEX(Table4[RK],MATCH('Rankings Master'!D234,Table4[PLAYER NAME],0))</f>
        <v>229</v>
      </c>
      <c r="G234">
        <f t="shared" si="28"/>
        <v>2</v>
      </c>
      <c r="H234">
        <f t="shared" si="29"/>
        <v>8.7336244541484712E-3</v>
      </c>
      <c r="I234" t="str">
        <f t="shared" si="27"/>
        <v>Slightly Undervalued</v>
      </c>
      <c r="J234" t="str">
        <f t="shared" si="31"/>
        <v/>
      </c>
      <c r="M234" t="str">
        <f>IFERROR(INDEX(PlayerSummaryTable[Rushing Yds],MATCH('Rankings Master'!D234,PlayerSummaryTable[Player],0)),"")</f>
        <v/>
      </c>
      <c r="N234" t="str">
        <f>IFERROR(INDEX(PlayerSummaryTable[Receiving Yds],MATCH('Rankings Master'!D234,PlayerSummaryTable[Player],0)),"")</f>
        <v/>
      </c>
      <c r="O234" t="str">
        <f>IFERROR(INDEX(PlayerSummaryTable[Passing Yds],MATCH('Rankings Master'!D234,PlayerSummaryTable[Player],0)),"")</f>
        <v/>
      </c>
      <c r="U234" t="str">
        <f>IF(COUNTIF('Draft Log'!$B$2:$B$301,D234)&gt;0,"DRAFTED","")</f>
        <v/>
      </c>
      <c r="V234" t="str">
        <f>IFERROR(INDEX('Draft Log'!$A$2:$A$301,MATCH(D234,'Draft Log'!$B$2:$B$301,0)),"")</f>
        <v/>
      </c>
      <c r="W234" t="str">
        <f>IFERROR(INDEX('Draft Log'!$C$2:$C$301,MATCH(D234,'Draft Log'!$B$2:$B$301,0)),"")</f>
        <v/>
      </c>
    </row>
    <row r="235" spans="1:23">
      <c r="A235">
        <f t="shared" si="32"/>
        <v>232</v>
      </c>
      <c r="D235" t="str">
        <f>IF($D$1="ESPN",INDEX(Table2[Mapped Name],MATCH('Rankings Master'!$A235,Table2[Overall Rank],0)),IF('Rankings Master'!$D$1="NFL.com",INDEX(Table3[Name Clean],MATCH('Rankings Master'!$A235,Table3[Rank],0)),IF('Rankings Master'!$D$1="Sleeper",INDEX(Sleeper!$B$2:$B$201,MATCH('Rankings Master'!$A235,Sleeper!$A$2:$A$201,0)),"Need platform")))</f>
        <v>DeMario Douglas</v>
      </c>
      <c r="E235" t="str">
        <f>IF($D$1="ESPN",INDEX(Table2[Position],MATCH('Rankings Master'!$A235,Table2[Overall Rank],0)),IF('Rankings Master'!$D$1="NFL.com",INDEX(Table3[Position],MATCH('Rankings Master'!$A235,Table3[Rank],0)),INDEX(Sleeper!$C$2:$C$201,MATCH('Rankings Master'!A235,Sleeper!$A$2:$A$201,0))))</f>
        <v>WR</v>
      </c>
      <c r="F235">
        <f>INDEX(Table4[RK],MATCH('Rankings Master'!D235,Table4[PLAYER NAME],0))</f>
        <v>307</v>
      </c>
      <c r="G235">
        <f t="shared" si="28"/>
        <v>-75</v>
      </c>
      <c r="H235">
        <f t="shared" si="29"/>
        <v>-0.24429967426710097</v>
      </c>
      <c r="I235" t="str">
        <f t="shared" si="27"/>
        <v>Pretty Overvalued</v>
      </c>
      <c r="J235" t="str">
        <f t="shared" si="31"/>
        <v/>
      </c>
      <c r="M235" t="str">
        <f>IFERROR(INDEX(PlayerSummaryTable[Rushing Yds],MATCH('Rankings Master'!D235,PlayerSummaryTable[Player],0)),"")</f>
        <v/>
      </c>
      <c r="N235" t="str">
        <f>IFERROR(INDEX(PlayerSummaryTable[Receiving Yds],MATCH('Rankings Master'!D235,PlayerSummaryTable[Player],0)),"")</f>
        <v/>
      </c>
      <c r="O235" t="str">
        <f>IFERROR(INDEX(PlayerSummaryTable[Passing Yds],MATCH('Rankings Master'!D235,PlayerSummaryTable[Player],0)),"")</f>
        <v/>
      </c>
      <c r="U235" t="str">
        <f>IF(COUNTIF('Draft Log'!$B$2:$B$301,D235)&gt;0,"DRAFTED","")</f>
        <v/>
      </c>
      <c r="V235" t="str">
        <f>IFERROR(INDEX('Draft Log'!$A$2:$A$301,MATCH(D235,'Draft Log'!$B$2:$B$301,0)),"")</f>
        <v/>
      </c>
      <c r="W235" t="str">
        <f>IFERROR(INDEX('Draft Log'!$C$2:$C$301,MATCH(D235,'Draft Log'!$B$2:$B$301,0)),"")</f>
        <v/>
      </c>
    </row>
    <row r="236" spans="1:23">
      <c r="A236">
        <f t="shared" si="32"/>
        <v>233</v>
      </c>
      <c r="D236" t="str">
        <f>IF($D$1="ESPN",INDEX(Table2[Mapped Name],MATCH('Rankings Master'!$A236,Table2[Overall Rank],0)),IF('Rankings Master'!$D$1="NFL.com",INDEX(Table3[Name Clean],MATCH('Rankings Master'!$A236,Table3[Rank],0)),IF('Rankings Master'!$D$1="Sleeper",INDEX(Sleeper!$B$2:$B$201,MATCH('Rankings Master'!$A236,Sleeper!$A$2:$A$201,0)),"Need platform")))</f>
        <v>Darius Slayton</v>
      </c>
      <c r="E236" t="str">
        <f>IF($D$1="ESPN",INDEX(Table2[Position],MATCH('Rankings Master'!$A236,Table2[Overall Rank],0)),IF('Rankings Master'!$D$1="NFL.com",INDEX(Table3[Position],MATCH('Rankings Master'!$A236,Table3[Rank],0)),INDEX(Sleeper!$C$2:$C$201,MATCH('Rankings Master'!A236,Sleeper!$A$2:$A$201,0))))</f>
        <v>WR</v>
      </c>
      <c r="F236">
        <f>INDEX(Table4[RK],MATCH('Rankings Master'!D236,Table4[PLAYER NAME],0))</f>
        <v>275</v>
      </c>
      <c r="G236">
        <f t="shared" si="28"/>
        <v>-42</v>
      </c>
      <c r="H236">
        <f t="shared" si="29"/>
        <v>-0.15272727272727274</v>
      </c>
      <c r="I236" t="str">
        <f t="shared" si="27"/>
        <v>Pretty Overvalued</v>
      </c>
      <c r="J236" t="str">
        <f t="shared" si="31"/>
        <v/>
      </c>
      <c r="M236" t="str">
        <f>IFERROR(INDEX(PlayerSummaryTable[Rushing Yds],MATCH('Rankings Master'!D236,PlayerSummaryTable[Player],0)),"")</f>
        <v/>
      </c>
      <c r="N236" t="str">
        <f>IFERROR(INDEX(PlayerSummaryTable[Receiving Yds],MATCH('Rankings Master'!D236,PlayerSummaryTable[Player],0)),"")</f>
        <v/>
      </c>
      <c r="O236" t="str">
        <f>IFERROR(INDEX(PlayerSummaryTable[Passing Yds],MATCH('Rankings Master'!D236,PlayerSummaryTable[Player],0)),"")</f>
        <v/>
      </c>
      <c r="U236" t="str">
        <f>IF(COUNTIF('Draft Log'!$B$2:$B$301,D236)&gt;0,"DRAFTED","")</f>
        <v/>
      </c>
      <c r="V236" t="str">
        <f>IFERROR(INDEX('Draft Log'!$A$2:$A$301,MATCH(D236,'Draft Log'!$B$2:$B$301,0)),"")</f>
        <v/>
      </c>
      <c r="W236" t="str">
        <f>IFERROR(INDEX('Draft Log'!$C$2:$C$301,MATCH(D236,'Draft Log'!$B$2:$B$301,0)),"")</f>
        <v/>
      </c>
    </row>
    <row r="237" spans="1:23">
      <c r="A237">
        <f t="shared" si="32"/>
        <v>234</v>
      </c>
      <c r="D237" t="str">
        <f>IF($D$1="ESPN",INDEX(Table2[Mapped Name],MATCH('Rankings Master'!$A237,Table2[Overall Rank],0)),IF('Rankings Master'!$D$1="NFL.com",INDEX(Table3[Name Clean],MATCH('Rankings Master'!$A237,Table3[Rank],0)),IF('Rankings Master'!$D$1="Sleeper",INDEX(Sleeper!$B$2:$B$201,MATCH('Rankings Master'!$A237,Sleeper!$A$2:$A$201,0)),"Need platform")))</f>
        <v>Antonio Williams</v>
      </c>
      <c r="E237" t="str">
        <f>IF($D$1="ESPN",INDEX(Table2[Position],MATCH('Rankings Master'!$A237,Table2[Overall Rank],0)),IF('Rankings Master'!$D$1="NFL.com",INDEX(Table3[Position],MATCH('Rankings Master'!$A237,Table3[Rank],0)),INDEX(Sleeper!$C$2:$C$201,MATCH('Rankings Master'!A237,Sleeper!$A$2:$A$201,0))))</f>
        <v>WR</v>
      </c>
      <c r="F237">
        <f>INDEX(Table4[RK],MATCH('Rankings Master'!D237,Table4[PLAYER NAME],0))</f>
        <v>247</v>
      </c>
      <c r="G237">
        <f t="shared" si="28"/>
        <v>-13</v>
      </c>
      <c r="H237">
        <f t="shared" si="29"/>
        <v>-5.2631578947368418E-2</v>
      </c>
      <c r="I237" t="str">
        <f t="shared" si="27"/>
        <v>Slightly Overvalued</v>
      </c>
      <c r="J237" t="str">
        <f t="shared" si="31"/>
        <v/>
      </c>
      <c r="M237" t="str">
        <f>IFERROR(INDEX(PlayerSummaryTable[Rushing Yds],MATCH('Rankings Master'!D237,PlayerSummaryTable[Player],0)),"")</f>
        <v/>
      </c>
      <c r="N237" t="str">
        <f>IFERROR(INDEX(PlayerSummaryTable[Receiving Yds],MATCH('Rankings Master'!D237,PlayerSummaryTable[Player],0)),"")</f>
        <v/>
      </c>
      <c r="O237" t="str">
        <f>IFERROR(INDEX(PlayerSummaryTable[Passing Yds],MATCH('Rankings Master'!D237,PlayerSummaryTable[Player],0)),"")</f>
        <v/>
      </c>
      <c r="U237" t="str">
        <f>IF(COUNTIF('Draft Log'!$B$2:$B$301,D237)&gt;0,"DRAFTED","")</f>
        <v/>
      </c>
      <c r="V237" t="str">
        <f>IFERROR(INDEX('Draft Log'!$A$2:$A$301,MATCH(D237,'Draft Log'!$B$2:$B$301,0)),"")</f>
        <v/>
      </c>
      <c r="W237" t="str">
        <f>IFERROR(INDEX('Draft Log'!$C$2:$C$301,MATCH(D237,'Draft Log'!$B$2:$B$301,0)),"")</f>
        <v/>
      </c>
    </row>
    <row r="238" spans="1:23">
      <c r="A238">
        <f t="shared" si="32"/>
        <v>235</v>
      </c>
      <c r="D238" t="str">
        <f>IF($D$1="ESPN",INDEX(Table2[Mapped Name],MATCH('Rankings Master'!$A238,Table2[Overall Rank],0)),IF('Rankings Master'!$D$1="NFL.com",INDEX(Table3[Name Clean],MATCH('Rankings Master'!$A238,Table3[Rank],0)),IF('Rankings Master'!$D$1="Sleeper",INDEX(Sleeper!$B$2:$B$201,MATCH('Rankings Master'!$A238,Sleeper!$A$2:$A$201,0)),"Need platform")))</f>
        <v>Tampa Bay Buccaneers</v>
      </c>
      <c r="E238" t="str">
        <f>IF($D$1="ESPN",INDEX(Table2[Position],MATCH('Rankings Master'!$A238,Table2[Overall Rank],0)),IF('Rankings Master'!$D$1="NFL.com",INDEX(Table3[Position],MATCH('Rankings Master'!$A238,Table3[Rank],0)),INDEX(Sleeper!$C$2:$C$201,MATCH('Rankings Master'!A238,Sleeper!$A$2:$A$201,0))))</f>
        <v>DST</v>
      </c>
      <c r="F238">
        <f>INDEX(Table4[RK],MATCH('Rankings Master'!D238,Table4[PLAYER NAME],0))</f>
        <v>373</v>
      </c>
      <c r="G238">
        <f t="shared" si="28"/>
        <v>-138</v>
      </c>
      <c r="H238">
        <f t="shared" si="29"/>
        <v>-0.36997319034852549</v>
      </c>
      <c r="I238" t="str">
        <f t="shared" ref="I238:I301" si="33">IF(AND(H238 &gt; -1, H238 &lt;= -0.5), "Extremely Overvalued",
IF(AND(H238 &gt; -0.5, H238 &lt;= -0.15), "Pretty Overvalued",
IF(AND(H238 &gt; -0.15, H238 &lt; 0), "Slightly Overvalued",
IF(H238 = 0, "At ADP",
IF(AND(H238 &gt; 0, H238 &lt;= 0.15), "Slightly Undervalued",
IF(AND(H238 &gt; 0.15, H238 &lt;= 0.5), "Pretty Undervalued",
IF(AND(H238 &gt; 0.5, H238 &lt;= 1), "Extremely Undervalued", "")))))))</f>
        <v>Pretty Overvalued</v>
      </c>
      <c r="J238" t="str">
        <f t="shared" si="31"/>
        <v/>
      </c>
      <c r="M238" t="str">
        <f>IFERROR(INDEX(PlayerSummaryTable[Rushing Yds],MATCH('Rankings Master'!D238,PlayerSummaryTable[Player],0)),"")</f>
        <v/>
      </c>
      <c r="N238" t="str">
        <f>IFERROR(INDEX(PlayerSummaryTable[Receiving Yds],MATCH('Rankings Master'!D238,PlayerSummaryTable[Player],0)),"")</f>
        <v/>
      </c>
      <c r="O238" t="str">
        <f>IFERROR(INDEX(PlayerSummaryTable[Passing Yds],MATCH('Rankings Master'!D238,PlayerSummaryTable[Player],0)),"")</f>
        <v/>
      </c>
      <c r="U238" t="str">
        <f>IF(COUNTIF('Draft Log'!$B$2:$B$301,D238)&gt;0,"DRAFTED","")</f>
        <v/>
      </c>
      <c r="V238" t="str">
        <f>IFERROR(INDEX('Draft Log'!$A$2:$A$301,MATCH(D238,'Draft Log'!$B$2:$B$301,0)),"")</f>
        <v/>
      </c>
      <c r="W238" t="str">
        <f>IFERROR(INDEX('Draft Log'!$C$2:$C$301,MATCH(D238,'Draft Log'!$B$2:$B$301,0)),"")</f>
        <v/>
      </c>
    </row>
    <row r="239" spans="1:23">
      <c r="A239">
        <f t="shared" si="32"/>
        <v>236</v>
      </c>
      <c r="D239" t="str">
        <f>IF($D$1="ESPN",INDEX(Table2[Mapped Name],MATCH('Rankings Master'!$A239,Table2[Overall Rank],0)),IF('Rankings Master'!$D$1="NFL.com",INDEX(Table3[Name Clean],MATCH('Rankings Master'!$A239,Table3[Rank],0)),IF('Rankings Master'!$D$1="Sleeper",INDEX(Sleeper!$B$2:$B$201,MATCH('Rankings Master'!$A239,Sleeper!$A$2:$A$201,0)),"Need platform")))</f>
        <v>Green Bay Packers</v>
      </c>
      <c r="E239" t="str">
        <f>IF($D$1="ESPN",INDEX(Table2[Position],MATCH('Rankings Master'!$A239,Table2[Overall Rank],0)),IF('Rankings Master'!$D$1="NFL.com",INDEX(Table3[Position],MATCH('Rankings Master'!$A239,Table3[Rank],0)),INDEX(Sleeper!$C$2:$C$201,MATCH('Rankings Master'!A239,Sleeper!$A$2:$A$201,0))))</f>
        <v>DST</v>
      </c>
      <c r="F239">
        <f>INDEX(Table4[RK],MATCH('Rankings Master'!D239,Table4[PLAYER NAME],0))</f>
        <v>212</v>
      </c>
      <c r="G239">
        <f t="shared" si="28"/>
        <v>24</v>
      </c>
      <c r="H239">
        <f t="shared" si="29"/>
        <v>0.11320754716981132</v>
      </c>
      <c r="I239" t="str">
        <f t="shared" si="33"/>
        <v>Slightly Undervalued</v>
      </c>
      <c r="J239" t="str">
        <f t="shared" si="31"/>
        <v/>
      </c>
      <c r="M239" t="str">
        <f>IFERROR(INDEX(PlayerSummaryTable[Rushing Yds],MATCH('Rankings Master'!D239,PlayerSummaryTable[Player],0)),"")</f>
        <v/>
      </c>
      <c r="N239" t="str">
        <f>IFERROR(INDEX(PlayerSummaryTable[Receiving Yds],MATCH('Rankings Master'!D239,PlayerSummaryTable[Player],0)),"")</f>
        <v/>
      </c>
      <c r="O239" t="str">
        <f>IFERROR(INDEX(PlayerSummaryTable[Passing Yds],MATCH('Rankings Master'!D239,PlayerSummaryTable[Player],0)),"")</f>
        <v/>
      </c>
      <c r="U239" t="str">
        <f>IF(COUNTIF('Draft Log'!$B$2:$B$301,D239)&gt;0,"DRAFTED","")</f>
        <v/>
      </c>
      <c r="V239" t="str">
        <f>IFERROR(INDEX('Draft Log'!$A$2:$A$301,MATCH(D239,'Draft Log'!$B$2:$B$301,0)),"")</f>
        <v/>
      </c>
      <c r="W239" t="str">
        <f>IFERROR(INDEX('Draft Log'!$C$2:$C$301,MATCH(D239,'Draft Log'!$B$2:$B$301,0)),"")</f>
        <v/>
      </c>
    </row>
    <row r="240" spans="1:23">
      <c r="A240">
        <f t="shared" si="32"/>
        <v>237</v>
      </c>
      <c r="D240" t="str">
        <f>IF($D$1="ESPN",INDEX(Table2[Mapped Name],MATCH('Rankings Master'!$A240,Table2[Overall Rank],0)),IF('Rankings Master'!$D$1="NFL.com",INDEX(Table3[Name Clean],MATCH('Rankings Master'!$A240,Table3[Rank],0)),IF('Rankings Master'!$D$1="Sleeper",INDEX(Sleeper!$B$2:$B$201,MATCH('Rankings Master'!$A240,Sleeper!$A$2:$A$201,0)),"Need platform")))</f>
        <v>Chris Boswell</v>
      </c>
      <c r="E240" t="str">
        <f>IF($D$1="ESPN",INDEX(Table2[Position],MATCH('Rankings Master'!$A240,Table2[Overall Rank],0)),IF('Rankings Master'!$D$1="NFL.com",INDEX(Table3[Position],MATCH('Rankings Master'!$A240,Table3[Rank],0)),INDEX(Sleeper!$C$2:$C$201,MATCH('Rankings Master'!A240,Sleeper!$A$2:$A$201,0))))</f>
        <v>K</v>
      </c>
      <c r="F240">
        <f>INDEX(Table4[RK],MATCH('Rankings Master'!D240,Table4[PLAYER NAME],0))</f>
        <v>257</v>
      </c>
      <c r="G240">
        <f t="shared" si="28"/>
        <v>-20</v>
      </c>
      <c r="H240">
        <f t="shared" si="29"/>
        <v>-7.7821011673151752E-2</v>
      </c>
      <c r="I240" t="str">
        <f t="shared" si="33"/>
        <v>Slightly Overvalued</v>
      </c>
      <c r="J240" t="str">
        <f t="shared" si="31"/>
        <v/>
      </c>
      <c r="M240" t="str">
        <f>IFERROR(INDEX(PlayerSummaryTable[Rushing Yds],MATCH('Rankings Master'!D240,PlayerSummaryTable[Player],0)),"")</f>
        <v/>
      </c>
      <c r="N240" t="str">
        <f>IFERROR(INDEX(PlayerSummaryTable[Receiving Yds],MATCH('Rankings Master'!D240,PlayerSummaryTable[Player],0)),"")</f>
        <v/>
      </c>
      <c r="O240" t="str">
        <f>IFERROR(INDEX(PlayerSummaryTable[Passing Yds],MATCH('Rankings Master'!D240,PlayerSummaryTable[Player],0)),"")</f>
        <v/>
      </c>
      <c r="U240" t="str">
        <f>IF(COUNTIF('Draft Log'!$B$2:$B$301,D240)&gt;0,"DRAFTED","")</f>
        <v/>
      </c>
      <c r="V240" t="str">
        <f>IFERROR(INDEX('Draft Log'!$A$2:$A$301,MATCH(D240,'Draft Log'!$B$2:$B$301,0)),"")</f>
        <v/>
      </c>
      <c r="W240" t="str">
        <f>IFERROR(INDEX('Draft Log'!$C$2:$C$301,MATCH(D240,'Draft Log'!$B$2:$B$301,0)),"")</f>
        <v/>
      </c>
    </row>
    <row r="241" spans="1:23">
      <c r="A241">
        <f t="shared" si="32"/>
        <v>238</v>
      </c>
      <c r="D241" t="str">
        <f>IF($D$1="ESPN",INDEX(Table2[Mapped Name],MATCH('Rankings Master'!$A241,Table2[Overall Rank],0)),IF('Rankings Master'!$D$1="NFL.com",INDEX(Table3[Name Clean],MATCH('Rankings Master'!$A241,Table3[Rank],0)),IF('Rankings Master'!$D$1="Sleeper",INDEX(Sleeper!$B$2:$B$201,MATCH('Rankings Master'!$A241,Sleeper!$A$2:$A$201,0)),"Need platform")))</f>
        <v>Chase McLaughlin</v>
      </c>
      <c r="E241" t="str">
        <f>IF($D$1="ESPN",INDEX(Table2[Position],MATCH('Rankings Master'!$A241,Table2[Overall Rank],0)),IF('Rankings Master'!$D$1="NFL.com",INDEX(Table3[Position],MATCH('Rankings Master'!$A241,Table3[Rank],0)),INDEX(Sleeper!$C$2:$C$201,MATCH('Rankings Master'!A241,Sleeper!$A$2:$A$201,0))))</f>
        <v>K</v>
      </c>
      <c r="F241">
        <f>INDEX(Table4[RK],MATCH('Rankings Master'!D241,Table4[PLAYER NAME],0))</f>
        <v>236</v>
      </c>
      <c r="G241">
        <f t="shared" si="28"/>
        <v>2</v>
      </c>
      <c r="H241">
        <f t="shared" si="29"/>
        <v>8.4745762711864406E-3</v>
      </c>
      <c r="I241" t="str">
        <f t="shared" si="33"/>
        <v>Slightly Undervalued</v>
      </c>
      <c r="J241" t="str">
        <f t="shared" si="31"/>
        <v/>
      </c>
      <c r="M241" t="str">
        <f>IFERROR(INDEX(PlayerSummaryTable[Rushing Yds],MATCH('Rankings Master'!D241,PlayerSummaryTable[Player],0)),"")</f>
        <v/>
      </c>
      <c r="N241" t="str">
        <f>IFERROR(INDEX(PlayerSummaryTable[Receiving Yds],MATCH('Rankings Master'!D241,PlayerSummaryTable[Player],0)),"")</f>
        <v/>
      </c>
      <c r="O241" t="str">
        <f>IFERROR(INDEX(PlayerSummaryTable[Passing Yds],MATCH('Rankings Master'!D241,PlayerSummaryTable[Player],0)),"")</f>
        <v/>
      </c>
      <c r="U241" t="str">
        <f>IF(COUNTIF('Draft Log'!$B$2:$B$301,D241)&gt;0,"DRAFTED","")</f>
        <v/>
      </c>
      <c r="V241" t="str">
        <f>IFERROR(INDEX('Draft Log'!$A$2:$A$301,MATCH(D241,'Draft Log'!$B$2:$B$301,0)),"")</f>
        <v/>
      </c>
      <c r="W241" t="str">
        <f>IFERROR(INDEX('Draft Log'!$C$2:$C$301,MATCH(D241,'Draft Log'!$B$2:$B$301,0)),"")</f>
        <v/>
      </c>
    </row>
    <row r="242" spans="1:23">
      <c r="A242">
        <f t="shared" si="32"/>
        <v>239</v>
      </c>
      <c r="D242" t="str">
        <f>IF($D$1="ESPN",INDEX(Table2[Mapped Name],MATCH('Rankings Master'!$A242,Table2[Overall Rank],0)),IF('Rankings Master'!$D$1="NFL.com",INDEX(Table3[Name Clean],MATCH('Rankings Master'!$A242,Table3[Rank],0)),IF('Rankings Master'!$D$1="Sleeper",INDEX(Sleeper!$B$2:$B$201,MATCH('Rankings Master'!$A242,Sleeper!$A$2:$A$201,0)),"Need platform")))</f>
        <v>Emmett Johnson</v>
      </c>
      <c r="E242" t="str">
        <f>IF($D$1="ESPN",INDEX(Table2[Position],MATCH('Rankings Master'!$A242,Table2[Overall Rank],0)),IF('Rankings Master'!$D$1="NFL.com",INDEX(Table3[Position],MATCH('Rankings Master'!$A242,Table3[Rank],0)),INDEX(Sleeper!$C$2:$C$201,MATCH('Rankings Master'!A242,Sleeper!$A$2:$A$201,0))))</f>
        <v>RB</v>
      </c>
      <c r="F242">
        <f>INDEX(Table4[RK],MATCH('Rankings Master'!D242,Table4[PLAYER NAME],0))</f>
        <v>161</v>
      </c>
      <c r="G242">
        <f t="shared" si="28"/>
        <v>78</v>
      </c>
      <c r="H242">
        <f t="shared" si="29"/>
        <v>0.48447204968944102</v>
      </c>
      <c r="I242" t="str">
        <f t="shared" si="33"/>
        <v>Pretty Undervalued</v>
      </c>
      <c r="J242" t="str">
        <f t="shared" si="31"/>
        <v/>
      </c>
      <c r="M242" t="str">
        <f>IFERROR(INDEX(PlayerSummaryTable[Rushing Yds],MATCH('Rankings Master'!D242,PlayerSummaryTable[Player],0)),"")</f>
        <v/>
      </c>
      <c r="N242" t="str">
        <f>IFERROR(INDEX(PlayerSummaryTable[Receiving Yds],MATCH('Rankings Master'!D242,PlayerSummaryTable[Player],0)),"")</f>
        <v/>
      </c>
      <c r="O242" t="str">
        <f>IFERROR(INDEX(PlayerSummaryTable[Passing Yds],MATCH('Rankings Master'!D242,PlayerSummaryTable[Player],0)),"")</f>
        <v/>
      </c>
      <c r="U242" t="str">
        <f>IF(COUNTIF('Draft Log'!$B$2:$B$301,D242)&gt;0,"DRAFTED","")</f>
        <v/>
      </c>
      <c r="V242" t="str">
        <f>IFERROR(INDEX('Draft Log'!$A$2:$A$301,MATCH(D242,'Draft Log'!$B$2:$B$301,0)),"")</f>
        <v/>
      </c>
      <c r="W242" t="str">
        <f>IFERROR(INDEX('Draft Log'!$C$2:$C$301,MATCH(D242,'Draft Log'!$B$2:$B$301,0)),"")</f>
        <v/>
      </c>
    </row>
    <row r="243" spans="1:23">
      <c r="A243">
        <f t="shared" si="32"/>
        <v>240</v>
      </c>
      <c r="D243" t="str">
        <f>IF($D$1="ESPN",INDEX(Table2[Mapped Name],MATCH('Rankings Master'!$A243,Table2[Overall Rank],0)),IF('Rankings Master'!$D$1="NFL.com",INDEX(Table3[Name Clean],MATCH('Rankings Master'!$A243,Table3[Rank],0)),IF('Rankings Master'!$D$1="Sleeper",INDEX(Sleeper!$B$2:$B$201,MATCH('Rankings Master'!$A243,Sleeper!$A$2:$A$201,0)),"Need platform")))</f>
        <v>Isiah Pacheco</v>
      </c>
      <c r="E243" t="str">
        <f>IF($D$1="ESPN",INDEX(Table2[Position],MATCH('Rankings Master'!$A243,Table2[Overall Rank],0)),IF('Rankings Master'!$D$1="NFL.com",INDEX(Table3[Position],MATCH('Rankings Master'!$A243,Table3[Rank],0)),INDEX(Sleeper!$C$2:$C$201,MATCH('Rankings Master'!A243,Sleeper!$A$2:$A$201,0))))</f>
        <v>RB</v>
      </c>
      <c r="F243">
        <f>INDEX(Table4[RK],MATCH('Rankings Master'!D243,Table4[PLAYER NAME],0))</f>
        <v>182</v>
      </c>
      <c r="G243">
        <f t="shared" si="28"/>
        <v>58</v>
      </c>
      <c r="H243">
        <f t="shared" si="29"/>
        <v>0.31868131868131866</v>
      </c>
      <c r="I243" t="str">
        <f t="shared" si="33"/>
        <v>Pretty Undervalued</v>
      </c>
      <c r="J243" t="str">
        <f t="shared" si="31"/>
        <v/>
      </c>
      <c r="M243" t="str">
        <f>IFERROR(INDEX(PlayerSummaryTable[Rushing Yds],MATCH('Rankings Master'!D243,PlayerSummaryTable[Player],0)),"")</f>
        <v/>
      </c>
      <c r="N243" t="str">
        <f>IFERROR(INDEX(PlayerSummaryTable[Receiving Yds],MATCH('Rankings Master'!D243,PlayerSummaryTable[Player],0)),"")</f>
        <v/>
      </c>
      <c r="O243" t="str">
        <f>IFERROR(INDEX(PlayerSummaryTable[Passing Yds],MATCH('Rankings Master'!D243,PlayerSummaryTable[Player],0)),"")</f>
        <v/>
      </c>
      <c r="U243" t="str">
        <f>IF(COUNTIF('Draft Log'!$B$2:$B$301,D243)&gt;0,"DRAFTED","")</f>
        <v/>
      </c>
      <c r="V243" t="str">
        <f>IFERROR(INDEX('Draft Log'!$A$2:$A$301,MATCH(D243,'Draft Log'!$B$2:$B$301,0)),"")</f>
        <v/>
      </c>
      <c r="W243" t="str">
        <f>IFERROR(INDEX('Draft Log'!$C$2:$C$301,MATCH(D243,'Draft Log'!$B$2:$B$301,0)),"")</f>
        <v/>
      </c>
    </row>
    <row r="244" spans="1:23">
      <c r="A244">
        <f t="shared" si="32"/>
        <v>241</v>
      </c>
      <c r="D244" t="str">
        <f>IF($D$1="ESPN",INDEX(Table2[Mapped Name],MATCH('Rankings Master'!$A244,Table2[Overall Rank],0)),IF('Rankings Master'!$D$1="NFL.com",INDEX(Table3[Name Clean],MATCH('Rankings Master'!$A244,Table3[Rank],0)),IF('Rankings Master'!$D$1="Sleeper",INDEX(Sleeper!$B$2:$B$201,MATCH('Rankings Master'!$A244,Sleeper!$A$2:$A$201,0)),"Need platform")))</f>
        <v>Isaiah Davis</v>
      </c>
      <c r="E244" t="str">
        <f>IF($D$1="ESPN",INDEX(Table2[Position],MATCH('Rankings Master'!$A244,Table2[Overall Rank],0)),IF('Rankings Master'!$D$1="NFL.com",INDEX(Table3[Position],MATCH('Rankings Master'!$A244,Table3[Rank],0)),INDEX(Sleeper!$C$2:$C$201,MATCH('Rankings Master'!A244,Sleeper!$A$2:$A$201,0))))</f>
        <v>RB</v>
      </c>
      <c r="F244">
        <f>INDEX(Table4[RK],MATCH('Rankings Master'!D244,Table4[PLAYER NAME],0))</f>
        <v>267</v>
      </c>
      <c r="G244">
        <f t="shared" si="28"/>
        <v>-26</v>
      </c>
      <c r="H244">
        <f t="shared" si="29"/>
        <v>-9.7378277153558054E-2</v>
      </c>
      <c r="I244" t="str">
        <f t="shared" si="33"/>
        <v>Slightly Overvalued</v>
      </c>
      <c r="J244" t="str">
        <f t="shared" si="31"/>
        <v/>
      </c>
      <c r="M244" t="str">
        <f>IFERROR(INDEX(PlayerSummaryTable[Rushing Yds],MATCH('Rankings Master'!D244,PlayerSummaryTable[Player],0)),"")</f>
        <v/>
      </c>
      <c r="N244" t="str">
        <f>IFERROR(INDEX(PlayerSummaryTable[Receiving Yds],MATCH('Rankings Master'!D244,PlayerSummaryTable[Player],0)),"")</f>
        <v/>
      </c>
      <c r="O244" t="str">
        <f>IFERROR(INDEX(PlayerSummaryTable[Passing Yds],MATCH('Rankings Master'!D244,PlayerSummaryTable[Player],0)),"")</f>
        <v/>
      </c>
      <c r="U244" t="str">
        <f>IF(COUNTIF('Draft Log'!$B$2:$B$301,D244)&gt;0,"DRAFTED","")</f>
        <v/>
      </c>
      <c r="V244" t="str">
        <f>IFERROR(INDEX('Draft Log'!$A$2:$A$301,MATCH(D244,'Draft Log'!$B$2:$B$301,0)),"")</f>
        <v/>
      </c>
      <c r="W244" t="str">
        <f>IFERROR(INDEX('Draft Log'!$C$2:$C$301,MATCH(D244,'Draft Log'!$B$2:$B$301,0)),"")</f>
        <v/>
      </c>
    </row>
    <row r="245" spans="1:23">
      <c r="A245">
        <f t="shared" si="32"/>
        <v>242</v>
      </c>
      <c r="D245" t="e">
        <f>IF($D$1="ESPN",INDEX(Table2[Mapped Name],MATCH('Rankings Master'!$A245,Table2[Overall Rank],0)),IF('Rankings Master'!$D$1="NFL.com",INDEX(Table3[Name Clean],MATCH('Rankings Master'!$A245,Table3[Rank],0)),IF('Rankings Master'!$D$1="Sleeper",INDEX(Sleeper!$B$2:$B$201,MATCH('Rankings Master'!$A245,Sleeper!$A$2:$A$201,0)),"Need platform")))</f>
        <v>#N/A</v>
      </c>
      <c r="E245" t="str">
        <f>IF($D$1="ESPN",INDEX(Table2[Position],MATCH('Rankings Master'!$A245,Table2[Overall Rank],0)),IF('Rankings Master'!$D$1="NFL.com",INDEX(Table3[Position],MATCH('Rankings Master'!$A245,Table3[Rank],0)),INDEX(Sleeper!$C$2:$C$201,MATCH('Rankings Master'!A245,Sleeper!$A$2:$A$201,0))))</f>
        <v>RB</v>
      </c>
      <c r="F245" t="e">
        <f>INDEX(Table4[RK],MATCH('Rankings Master'!D245,Table4[PLAYER NAME],0))</f>
        <v>#N/A</v>
      </c>
      <c r="G245" t="e">
        <f t="shared" si="28"/>
        <v>#N/A</v>
      </c>
      <c r="H245" t="e">
        <f t="shared" si="29"/>
        <v>#N/A</v>
      </c>
      <c r="I245" t="e">
        <f t="shared" si="33"/>
        <v>#N/A</v>
      </c>
      <c r="J245" t="str">
        <f t="shared" si="31"/>
        <v/>
      </c>
      <c r="M245" t="str">
        <f>IFERROR(INDEX(PlayerSummaryTable[Rushing Yds],MATCH('Rankings Master'!D245,PlayerSummaryTable[Player],0)),"")</f>
        <v/>
      </c>
      <c r="N245" t="str">
        <f>IFERROR(INDEX(PlayerSummaryTable[Receiving Yds],MATCH('Rankings Master'!D245,PlayerSummaryTable[Player],0)),"")</f>
        <v/>
      </c>
      <c r="O245" t="str">
        <f>IFERROR(INDEX(PlayerSummaryTable[Passing Yds],MATCH('Rankings Master'!D245,PlayerSummaryTable[Player],0)),"")</f>
        <v/>
      </c>
      <c r="U245" t="str">
        <f>IF(COUNTIF('Draft Log'!$B$2:$B$301,D245)&gt;0,"DRAFTED","")</f>
        <v/>
      </c>
      <c r="V245" t="str">
        <f>IFERROR(INDEX('Draft Log'!$A$2:$A$301,MATCH(D245,'Draft Log'!$B$2:$B$301,0)),"")</f>
        <v/>
      </c>
      <c r="W245" t="str">
        <f>IFERROR(INDEX('Draft Log'!$C$2:$C$301,MATCH(D245,'Draft Log'!$B$2:$B$301,0)),"")</f>
        <v/>
      </c>
    </row>
    <row r="246" spans="1:23">
      <c r="A246">
        <f t="shared" si="32"/>
        <v>243</v>
      </c>
      <c r="D246" t="str">
        <f>IF($D$1="ESPN",INDEX(Table2[Mapped Name],MATCH('Rankings Master'!$A246,Table2[Overall Rank],0)),IF('Rankings Master'!$D$1="NFL.com",INDEX(Table3[Name Clean],MATCH('Rankings Master'!$A246,Table3[Rank],0)),IF('Rankings Master'!$D$1="Sleeper",INDEX(Sleeper!$B$2:$B$201,MATCH('Rankings Master'!$A246,Sleeper!$A$2:$A$201,0)),"Need platform")))</f>
        <v>LeQuint Allen Jr.</v>
      </c>
      <c r="E246" t="str">
        <f>IF($D$1="ESPN",INDEX(Table2[Position],MATCH('Rankings Master'!$A246,Table2[Overall Rank],0)),IF('Rankings Master'!$D$1="NFL.com",INDEX(Table3[Position],MATCH('Rankings Master'!$A246,Table3[Rank],0)),INDEX(Sleeper!$C$2:$C$201,MATCH('Rankings Master'!A246,Sleeper!$A$2:$A$201,0))))</f>
        <v>RB</v>
      </c>
      <c r="F246">
        <f>INDEX(Table4[RK],MATCH('Rankings Master'!D246,Table4[PLAYER NAME],0))</f>
        <v>281</v>
      </c>
      <c r="G246">
        <f t="shared" si="28"/>
        <v>-38</v>
      </c>
      <c r="H246">
        <f t="shared" si="29"/>
        <v>-0.13523131672597866</v>
      </c>
      <c r="I246" t="str">
        <f t="shared" si="33"/>
        <v>Slightly Overvalued</v>
      </c>
      <c r="J246" t="str">
        <f t="shared" si="31"/>
        <v/>
      </c>
      <c r="M246" t="str">
        <f>IFERROR(INDEX(PlayerSummaryTable[Rushing Yds],MATCH('Rankings Master'!D246,PlayerSummaryTable[Player],0)),"")</f>
        <v/>
      </c>
      <c r="N246" t="str">
        <f>IFERROR(INDEX(PlayerSummaryTable[Receiving Yds],MATCH('Rankings Master'!D246,PlayerSummaryTable[Player],0)),"")</f>
        <v/>
      </c>
      <c r="O246" t="str">
        <f>IFERROR(INDEX(PlayerSummaryTable[Passing Yds],MATCH('Rankings Master'!D246,PlayerSummaryTable[Player],0)),"")</f>
        <v/>
      </c>
      <c r="U246" t="str">
        <f>IF(COUNTIF('Draft Log'!$B$2:$B$301,D246)&gt;0,"DRAFTED","")</f>
        <v/>
      </c>
      <c r="V246" t="str">
        <f>IFERROR(INDEX('Draft Log'!$A$2:$A$301,MATCH(D246,'Draft Log'!$B$2:$B$301,0)),"")</f>
        <v/>
      </c>
      <c r="W246" t="str">
        <f>IFERROR(INDEX('Draft Log'!$C$2:$C$301,MATCH(D246,'Draft Log'!$B$2:$B$301,0)),"")</f>
        <v/>
      </c>
    </row>
    <row r="247" spans="1:23">
      <c r="A247">
        <f t="shared" si="32"/>
        <v>244</v>
      </c>
      <c r="D247" t="str">
        <f>IF($D$1="ESPN",INDEX(Table2[Mapped Name],MATCH('Rankings Master'!$A247,Table2[Overall Rank],0)),IF('Rankings Master'!$D$1="NFL.com",INDEX(Table3[Name Clean],MATCH('Rankings Master'!$A247,Table3[Rank],0)),IF('Rankings Master'!$D$1="Sleeper",INDEX(Sleeper!$B$2:$B$201,MATCH('Rankings Master'!$A247,Sleeper!$A$2:$A$201,0)),"Need platform")))</f>
        <v>George Holani</v>
      </c>
      <c r="E247" t="str">
        <f>IF($D$1="ESPN",INDEX(Table2[Position],MATCH('Rankings Master'!$A247,Table2[Overall Rank],0)),IF('Rankings Master'!$D$1="NFL.com",INDEX(Table3[Position],MATCH('Rankings Master'!$A247,Table3[Rank],0)),INDEX(Sleeper!$C$2:$C$201,MATCH('Rankings Master'!A247,Sleeper!$A$2:$A$201,0))))</f>
        <v>RB</v>
      </c>
      <c r="F247">
        <f>INDEX(Table4[RK],MATCH('Rankings Master'!D247,Table4[PLAYER NAME],0))</f>
        <v>224</v>
      </c>
      <c r="G247">
        <f t="shared" si="28"/>
        <v>20</v>
      </c>
      <c r="H247">
        <f t="shared" si="29"/>
        <v>8.9285714285714288E-2</v>
      </c>
      <c r="I247" t="str">
        <f t="shared" si="33"/>
        <v>Slightly Undervalued</v>
      </c>
      <c r="J247" t="str">
        <f t="shared" si="31"/>
        <v/>
      </c>
      <c r="M247" t="str">
        <f>IFERROR(INDEX(PlayerSummaryTable[Rushing Yds],MATCH('Rankings Master'!D247,PlayerSummaryTable[Player],0)),"")</f>
        <v/>
      </c>
      <c r="N247" t="str">
        <f>IFERROR(INDEX(PlayerSummaryTable[Receiving Yds],MATCH('Rankings Master'!D247,PlayerSummaryTable[Player],0)),"")</f>
        <v/>
      </c>
      <c r="O247" t="str">
        <f>IFERROR(INDEX(PlayerSummaryTable[Passing Yds],MATCH('Rankings Master'!D247,PlayerSummaryTable[Player],0)),"")</f>
        <v/>
      </c>
      <c r="U247" t="str">
        <f>IF(COUNTIF('Draft Log'!$B$2:$B$301,D247)&gt;0,"DRAFTED","")</f>
        <v/>
      </c>
      <c r="V247" t="str">
        <f>IFERROR(INDEX('Draft Log'!$A$2:$A$301,MATCH(D247,'Draft Log'!$B$2:$B$301,0)),"")</f>
        <v/>
      </c>
      <c r="W247" t="str">
        <f>IFERROR(INDEX('Draft Log'!$C$2:$C$301,MATCH(D247,'Draft Log'!$B$2:$B$301,0)),"")</f>
        <v/>
      </c>
    </row>
    <row r="248" spans="1:23">
      <c r="A248">
        <f t="shared" si="32"/>
        <v>245</v>
      </c>
      <c r="D248" t="str">
        <f>IF($D$1="ESPN",INDEX(Table2[Mapped Name],MATCH('Rankings Master'!$A248,Table2[Overall Rank],0)),IF('Rankings Master'!$D$1="NFL.com",INDEX(Table3[Name Clean],MATCH('Rankings Master'!$A248,Table3[Rank],0)),IF('Rankings Master'!$D$1="Sleeper",INDEX(Sleeper!$B$2:$B$201,MATCH('Rankings Master'!$A248,Sleeper!$A$2:$A$201,0)),"Need platform")))</f>
        <v>Tyrone Tracy Jr.</v>
      </c>
      <c r="E248" t="str">
        <f>IF($D$1="ESPN",INDEX(Table2[Position],MATCH('Rankings Master'!$A248,Table2[Overall Rank],0)),IF('Rankings Master'!$D$1="NFL.com",INDEX(Table3[Position],MATCH('Rankings Master'!$A248,Table3[Rank],0)),INDEX(Sleeper!$C$2:$C$201,MATCH('Rankings Master'!A248,Sleeper!$A$2:$A$201,0))))</f>
        <v>RB</v>
      </c>
      <c r="F248">
        <f>INDEX(Table4[RK],MATCH('Rankings Master'!D248,Table4[PLAYER NAME],0))</f>
        <v>162</v>
      </c>
      <c r="G248">
        <f t="shared" si="28"/>
        <v>83</v>
      </c>
      <c r="H248">
        <f t="shared" si="29"/>
        <v>0.51234567901234573</v>
      </c>
      <c r="I248" t="str">
        <f t="shared" si="33"/>
        <v>Extremely Undervalued</v>
      </c>
      <c r="J248" t="str">
        <f t="shared" si="31"/>
        <v>Y</v>
      </c>
      <c r="M248" t="str">
        <f>IFERROR(INDEX(PlayerSummaryTable[Rushing Yds],MATCH('Rankings Master'!D248,PlayerSummaryTable[Player],0)),"")</f>
        <v/>
      </c>
      <c r="N248" t="str">
        <f>IFERROR(INDEX(PlayerSummaryTable[Receiving Yds],MATCH('Rankings Master'!D248,PlayerSummaryTable[Player],0)),"")</f>
        <v/>
      </c>
      <c r="O248" t="str">
        <f>IFERROR(INDEX(PlayerSummaryTable[Passing Yds],MATCH('Rankings Master'!D248,PlayerSummaryTable[Player],0)),"")</f>
        <v/>
      </c>
      <c r="U248" t="str">
        <f>IF(COUNTIF('Draft Log'!$B$2:$B$301,D248)&gt;0,"DRAFTED","")</f>
        <v>DRAFTED</v>
      </c>
      <c r="V248">
        <f>IFERROR(INDEX('Draft Log'!$A$2:$A$301,MATCH(D248,'Draft Log'!$B$2:$B$301,0)),"")</f>
        <v>127</v>
      </c>
      <c r="W248" t="str">
        <f>IFERROR(INDEX('Draft Log'!$C$2:$C$301,MATCH(D248,'Draft Log'!$B$2:$B$301,0)),"")</f>
        <v>Eight Bell Tolls</v>
      </c>
    </row>
    <row r="249" spans="1:23">
      <c r="A249">
        <f t="shared" si="32"/>
        <v>246</v>
      </c>
      <c r="D249" t="str">
        <f>IF($D$1="ESPN",INDEX(Table2[Mapped Name],MATCH('Rankings Master'!$A249,Table2[Overall Rank],0)),IF('Rankings Master'!$D$1="NFL.com",INDEX(Table3[Name Clean],MATCH('Rankings Master'!$A249,Table3[Rank],0)),IF('Rankings Master'!$D$1="Sleeper",INDEX(Sleeper!$B$2:$B$201,MATCH('Rankings Master'!$A249,Sleeper!$A$2:$A$201,0)),"Need platform")))</f>
        <v>Sean Tucker</v>
      </c>
      <c r="E249" t="str">
        <f>IF($D$1="ESPN",INDEX(Table2[Position],MATCH('Rankings Master'!$A249,Table2[Overall Rank],0)),IF('Rankings Master'!$D$1="NFL.com",INDEX(Table3[Position],MATCH('Rankings Master'!$A249,Table3[Rank],0)),INDEX(Sleeper!$C$2:$C$201,MATCH('Rankings Master'!A249,Sleeper!$A$2:$A$201,0))))</f>
        <v>RB</v>
      </c>
      <c r="F249">
        <f>INDEX(Table4[RK],MATCH('Rankings Master'!D249,Table4[PLAYER NAME],0))</f>
        <v>205</v>
      </c>
      <c r="G249">
        <f t="shared" si="28"/>
        <v>41</v>
      </c>
      <c r="H249">
        <f t="shared" si="29"/>
        <v>0.2</v>
      </c>
      <c r="I249" t="str">
        <f t="shared" si="33"/>
        <v>Pretty Undervalued</v>
      </c>
      <c r="J249" t="str">
        <f t="shared" si="31"/>
        <v/>
      </c>
      <c r="M249" t="str">
        <f>IFERROR(INDEX(PlayerSummaryTable[Rushing Yds],MATCH('Rankings Master'!D249,PlayerSummaryTable[Player],0)),"")</f>
        <v/>
      </c>
      <c r="N249" t="str">
        <f>IFERROR(INDEX(PlayerSummaryTable[Receiving Yds],MATCH('Rankings Master'!D249,PlayerSummaryTable[Player],0)),"")</f>
        <v/>
      </c>
      <c r="O249" t="str">
        <f>IFERROR(INDEX(PlayerSummaryTable[Passing Yds],MATCH('Rankings Master'!D249,PlayerSummaryTable[Player],0)),"")</f>
        <v/>
      </c>
      <c r="U249" t="str">
        <f>IF(COUNTIF('Draft Log'!$B$2:$B$301,D249)&gt;0,"DRAFTED","")</f>
        <v/>
      </c>
      <c r="V249" t="str">
        <f>IFERROR(INDEX('Draft Log'!$A$2:$A$301,MATCH(D249,'Draft Log'!$B$2:$B$301,0)),"")</f>
        <v/>
      </c>
      <c r="W249" t="str">
        <f>IFERROR(INDEX('Draft Log'!$C$2:$C$301,MATCH(D249,'Draft Log'!$B$2:$B$301,0)),"")</f>
        <v/>
      </c>
    </row>
    <row r="250" spans="1:23">
      <c r="A250">
        <f t="shared" si="32"/>
        <v>247</v>
      </c>
      <c r="D250" t="str">
        <f>IF($D$1="ESPN",INDEX(Table2[Mapped Name],MATCH('Rankings Master'!$A250,Table2[Overall Rank],0)),IF('Rankings Master'!$D$1="NFL.com",INDEX(Table3[Name Clean],MATCH('Rankings Master'!$A250,Table3[Rank],0)),IF('Rankings Master'!$D$1="Sleeper",INDEX(Sleeper!$B$2:$B$201,MATCH('Rankings Master'!$A250,Sleeper!$A$2:$A$201,0)),"Need platform")))</f>
        <v>Seth McGowan</v>
      </c>
      <c r="E250" t="str">
        <f>IF($D$1="ESPN",INDEX(Table2[Position],MATCH('Rankings Master'!$A250,Table2[Overall Rank],0)),IF('Rankings Master'!$D$1="NFL.com",INDEX(Table3[Position],MATCH('Rankings Master'!$A250,Table3[Rank],0)),INDEX(Sleeper!$C$2:$C$201,MATCH('Rankings Master'!A250,Sleeper!$A$2:$A$201,0))))</f>
        <v>RB</v>
      </c>
      <c r="F250">
        <f>INDEX(Table4[RK],MATCH('Rankings Master'!D250,Table4[PLAYER NAME],0))</f>
        <v>258</v>
      </c>
      <c r="G250">
        <f t="shared" si="28"/>
        <v>-11</v>
      </c>
      <c r="H250">
        <f t="shared" si="29"/>
        <v>-4.2635658914728682E-2</v>
      </c>
      <c r="I250" t="str">
        <f t="shared" si="33"/>
        <v>Slightly Overvalued</v>
      </c>
      <c r="J250" t="str">
        <f t="shared" si="31"/>
        <v/>
      </c>
      <c r="M250" t="str">
        <f>IFERROR(INDEX(PlayerSummaryTable[Rushing Yds],MATCH('Rankings Master'!D250,PlayerSummaryTable[Player],0)),"")</f>
        <v/>
      </c>
      <c r="N250" t="str">
        <f>IFERROR(INDEX(PlayerSummaryTable[Receiving Yds],MATCH('Rankings Master'!D250,PlayerSummaryTable[Player],0)),"")</f>
        <v/>
      </c>
      <c r="O250" t="str">
        <f>IFERROR(INDEX(PlayerSummaryTable[Passing Yds],MATCH('Rankings Master'!D250,PlayerSummaryTable[Player],0)),"")</f>
        <v/>
      </c>
      <c r="U250" t="str">
        <f>IF(COUNTIF('Draft Log'!$B$2:$B$301,D250)&gt;0,"DRAFTED","")</f>
        <v/>
      </c>
      <c r="V250" t="str">
        <f>IFERROR(INDEX('Draft Log'!$A$2:$A$301,MATCH(D250,'Draft Log'!$B$2:$B$301,0)),"")</f>
        <v/>
      </c>
      <c r="W250" t="str">
        <f>IFERROR(INDEX('Draft Log'!$C$2:$C$301,MATCH(D250,'Draft Log'!$B$2:$B$301,0)),"")</f>
        <v/>
      </c>
    </row>
    <row r="251" spans="1:23">
      <c r="A251">
        <f t="shared" si="32"/>
        <v>248</v>
      </c>
      <c r="D251" t="str">
        <f>IF($D$1="ESPN",INDEX(Table2[Mapped Name],MATCH('Rankings Master'!$A251,Table2[Overall Rank],0)),IF('Rankings Master'!$D$1="NFL.com",INDEX(Table3[Name Clean],MATCH('Rankings Master'!$A251,Table3[Rank],0)),IF('Rankings Master'!$D$1="Sleeper",INDEX(Sleeper!$B$2:$B$201,MATCH('Rankings Master'!$A251,Sleeper!$A$2:$A$201,0)),"Need platform")))</f>
        <v>Jordan James</v>
      </c>
      <c r="E251" t="str">
        <f>IF($D$1="ESPN",INDEX(Table2[Position],MATCH('Rankings Master'!$A251,Table2[Overall Rank],0)),IF('Rankings Master'!$D$1="NFL.com",INDEX(Table3[Position],MATCH('Rankings Master'!$A251,Table3[Rank],0)),INDEX(Sleeper!$C$2:$C$201,MATCH('Rankings Master'!A251,Sleeper!$A$2:$A$201,0))))</f>
        <v>RB</v>
      </c>
      <c r="F251">
        <f>INDEX(Table4[RK],MATCH('Rankings Master'!D251,Table4[PLAYER NAME],0))</f>
        <v>264</v>
      </c>
      <c r="G251">
        <f t="shared" si="28"/>
        <v>-16</v>
      </c>
      <c r="H251">
        <f t="shared" si="29"/>
        <v>-6.0606060606060608E-2</v>
      </c>
      <c r="I251" t="str">
        <f t="shared" si="33"/>
        <v>Slightly Overvalued</v>
      </c>
      <c r="J251" t="str">
        <f t="shared" si="31"/>
        <v/>
      </c>
      <c r="M251" t="str">
        <f>IFERROR(INDEX(PlayerSummaryTable[Rushing Yds],MATCH('Rankings Master'!D251,PlayerSummaryTable[Player],0)),"")</f>
        <v/>
      </c>
      <c r="N251" t="str">
        <f>IFERROR(INDEX(PlayerSummaryTable[Receiving Yds],MATCH('Rankings Master'!D251,PlayerSummaryTable[Player],0)),"")</f>
        <v/>
      </c>
      <c r="O251" t="str">
        <f>IFERROR(INDEX(PlayerSummaryTable[Passing Yds],MATCH('Rankings Master'!D251,PlayerSummaryTable[Player],0)),"")</f>
        <v/>
      </c>
      <c r="U251" t="str">
        <f>IF(COUNTIF('Draft Log'!$B$2:$B$301,D251)&gt;0,"DRAFTED","")</f>
        <v/>
      </c>
      <c r="V251" t="str">
        <f>IFERROR(INDEX('Draft Log'!$A$2:$A$301,MATCH(D251,'Draft Log'!$B$2:$B$301,0)),"")</f>
        <v/>
      </c>
      <c r="W251" t="str">
        <f>IFERROR(INDEX('Draft Log'!$C$2:$C$301,MATCH(D251,'Draft Log'!$B$2:$B$301,0)),"")</f>
        <v/>
      </c>
    </row>
    <row r="252" spans="1:23">
      <c r="A252">
        <f t="shared" si="32"/>
        <v>249</v>
      </c>
      <c r="D252" t="str">
        <f>IF($D$1="ESPN",INDEX(Table2[Mapped Name],MATCH('Rankings Master'!$A252,Table2[Overall Rank],0)),IF('Rankings Master'!$D$1="NFL.com",INDEX(Table3[Name Clean],MATCH('Rankings Master'!$A252,Table3[Rank],0)),IF('Rankings Master'!$D$1="Sleeper",INDEX(Sleeper!$B$2:$B$201,MATCH('Rankings Master'!$A252,Sleeper!$A$2:$A$201,0)),"Need platform")))</f>
        <v>Will Shipley</v>
      </c>
      <c r="E252" t="str">
        <f>IF($D$1="ESPN",INDEX(Table2[Position],MATCH('Rankings Master'!$A252,Table2[Overall Rank],0)),IF('Rankings Master'!$D$1="NFL.com",INDEX(Table3[Position],MATCH('Rankings Master'!$A252,Table3[Rank],0)),INDEX(Sleeper!$C$2:$C$201,MATCH('Rankings Master'!A252,Sleeper!$A$2:$A$201,0))))</f>
        <v>RB</v>
      </c>
      <c r="F252">
        <f>INDEX(Table4[RK],MATCH('Rankings Master'!D252,Table4[PLAYER NAME],0))</f>
        <v>320</v>
      </c>
      <c r="G252">
        <f t="shared" si="28"/>
        <v>-71</v>
      </c>
      <c r="H252">
        <f t="shared" si="29"/>
        <v>-0.22187499999999999</v>
      </c>
      <c r="I252" t="str">
        <f t="shared" si="33"/>
        <v>Pretty Overvalued</v>
      </c>
      <c r="J252" t="str">
        <f t="shared" si="31"/>
        <v/>
      </c>
      <c r="M252" t="str">
        <f>IFERROR(INDEX(PlayerSummaryTable[Rushing Yds],MATCH('Rankings Master'!D252,PlayerSummaryTable[Player],0)),"")</f>
        <v/>
      </c>
      <c r="N252" t="str">
        <f>IFERROR(INDEX(PlayerSummaryTable[Receiving Yds],MATCH('Rankings Master'!D252,PlayerSummaryTable[Player],0)),"")</f>
        <v/>
      </c>
      <c r="O252" t="str">
        <f>IFERROR(INDEX(PlayerSummaryTable[Passing Yds],MATCH('Rankings Master'!D252,PlayerSummaryTable[Player],0)),"")</f>
        <v/>
      </c>
      <c r="U252" t="str">
        <f>IF(COUNTIF('Draft Log'!$B$2:$B$301,D252)&gt;0,"DRAFTED","")</f>
        <v/>
      </c>
      <c r="V252" t="str">
        <f>IFERROR(INDEX('Draft Log'!$A$2:$A$301,MATCH(D252,'Draft Log'!$B$2:$B$301,0)),"")</f>
        <v/>
      </c>
      <c r="W252" t="str">
        <f>IFERROR(INDEX('Draft Log'!$C$2:$C$301,MATCH(D252,'Draft Log'!$B$2:$B$301,0)),"")</f>
        <v/>
      </c>
    </row>
    <row r="253" spans="1:23">
      <c r="A253">
        <f t="shared" si="32"/>
        <v>250</v>
      </c>
      <c r="D253" t="str">
        <f>IF($D$1="ESPN",INDEX(Table2[Mapped Name],MATCH('Rankings Master'!$A253,Table2[Overall Rank],0)),IF('Rankings Master'!$D$1="NFL.com",INDEX(Table3[Name Clean],MATCH('Rankings Master'!$A253,Table3[Rank],0)),IF('Rankings Master'!$D$1="Sleeper",INDEX(Sleeper!$B$2:$B$201,MATCH('Rankings Master'!$A253,Sleeper!$A$2:$A$201,0)),"Need platform")))</f>
        <v>Emanuel Wilson</v>
      </c>
      <c r="E253" t="str">
        <f>IF($D$1="ESPN",INDEX(Table2[Position],MATCH('Rankings Master'!$A253,Table2[Overall Rank],0)),IF('Rankings Master'!$D$1="NFL.com",INDEX(Table3[Position],MATCH('Rankings Master'!$A253,Table3[Rank],0)),INDEX(Sleeper!$C$2:$C$201,MATCH('Rankings Master'!A253,Sleeper!$A$2:$A$201,0))))</f>
        <v>RB</v>
      </c>
      <c r="F253">
        <f>INDEX(Table4[RK],MATCH('Rankings Master'!D253,Table4[PLAYER NAME],0))</f>
        <v>219</v>
      </c>
      <c r="G253">
        <f t="shared" si="28"/>
        <v>31</v>
      </c>
      <c r="H253">
        <f t="shared" si="29"/>
        <v>0.14155251141552511</v>
      </c>
      <c r="I253" t="str">
        <f t="shared" si="33"/>
        <v>Slightly Undervalued</v>
      </c>
      <c r="J253" t="str">
        <f t="shared" si="31"/>
        <v/>
      </c>
      <c r="M253" t="str">
        <f>IFERROR(INDEX(PlayerSummaryTable[Rushing Yds],MATCH('Rankings Master'!D253,PlayerSummaryTable[Player],0)),"")</f>
        <v/>
      </c>
      <c r="N253" t="str">
        <f>IFERROR(INDEX(PlayerSummaryTable[Receiving Yds],MATCH('Rankings Master'!D253,PlayerSummaryTable[Player],0)),"")</f>
        <v/>
      </c>
      <c r="O253" t="str">
        <f>IFERROR(INDEX(PlayerSummaryTable[Passing Yds],MATCH('Rankings Master'!D253,PlayerSummaryTable[Player],0)),"")</f>
        <v/>
      </c>
      <c r="U253" t="str">
        <f>IF(COUNTIF('Draft Log'!$B$2:$B$301,D253)&gt;0,"DRAFTED","")</f>
        <v/>
      </c>
      <c r="V253" t="str">
        <f>IFERROR(INDEX('Draft Log'!$A$2:$A$301,MATCH(D253,'Draft Log'!$B$2:$B$301,0)),"")</f>
        <v/>
      </c>
      <c r="W253" t="str">
        <f>IFERROR(INDEX('Draft Log'!$C$2:$C$301,MATCH(D253,'Draft Log'!$B$2:$B$301,0)),"")</f>
        <v/>
      </c>
    </row>
    <row r="254" spans="1:23">
      <c r="A254">
        <f t="shared" si="32"/>
        <v>251</v>
      </c>
      <c r="D254" t="str">
        <f>IF($D$1="ESPN",INDEX(Table2[Mapped Name],MATCH('Rankings Master'!$A254,Table2[Overall Rank],0)),IF('Rankings Master'!$D$1="NFL.com",INDEX(Table3[Name Clean],MATCH('Rankings Master'!$A254,Table3[Rank],0)),IF('Rankings Master'!$D$1="Sleeper",INDEX(Sleeper!$B$2:$B$201,MATCH('Rankings Master'!$A254,Sleeper!$A$2:$A$201,0)),"Need platform")))</f>
        <v>Emari Demercado</v>
      </c>
      <c r="E254" t="str">
        <f>IF($D$1="ESPN",INDEX(Table2[Position],MATCH('Rankings Master'!$A254,Table2[Overall Rank],0)),IF('Rankings Master'!$D$1="NFL.com",INDEX(Table3[Position],MATCH('Rankings Master'!$A254,Table3[Rank],0)),INDEX(Sleeper!$C$2:$C$201,MATCH('Rankings Master'!A254,Sleeper!$A$2:$A$201,0))))</f>
        <v>RB</v>
      </c>
      <c r="F254">
        <f>INDEX(Table4[RK],MATCH('Rankings Master'!D254,Table4[PLAYER NAME],0))</f>
        <v>296</v>
      </c>
      <c r="G254">
        <f t="shared" si="28"/>
        <v>-45</v>
      </c>
      <c r="H254">
        <f t="shared" si="29"/>
        <v>-0.15202702702702703</v>
      </c>
      <c r="I254" t="str">
        <f t="shared" si="33"/>
        <v>Pretty Overvalued</v>
      </c>
      <c r="J254" t="str">
        <f t="shared" si="31"/>
        <v/>
      </c>
      <c r="M254" t="str">
        <f>IFERROR(INDEX(PlayerSummaryTable[Rushing Yds],MATCH('Rankings Master'!D254,PlayerSummaryTable[Player],0)),"")</f>
        <v/>
      </c>
      <c r="N254" t="str">
        <f>IFERROR(INDEX(PlayerSummaryTable[Receiving Yds],MATCH('Rankings Master'!D254,PlayerSummaryTable[Player],0)),"")</f>
        <v/>
      </c>
      <c r="O254" t="str">
        <f>IFERROR(INDEX(PlayerSummaryTable[Passing Yds],MATCH('Rankings Master'!D254,PlayerSummaryTable[Player],0)),"")</f>
        <v/>
      </c>
      <c r="U254" t="str">
        <f>IF(COUNTIF('Draft Log'!$B$2:$B$301,D254)&gt;0,"DRAFTED","")</f>
        <v/>
      </c>
      <c r="V254" t="str">
        <f>IFERROR(INDEX('Draft Log'!$A$2:$A$301,MATCH(D254,'Draft Log'!$B$2:$B$301,0)),"")</f>
        <v/>
      </c>
      <c r="W254" t="str">
        <f>IFERROR(INDEX('Draft Log'!$C$2:$C$301,MATCH(D254,'Draft Log'!$B$2:$B$301,0)),"")</f>
        <v/>
      </c>
    </row>
    <row r="255" spans="1:23">
      <c r="A255">
        <f t="shared" si="32"/>
        <v>252</v>
      </c>
      <c r="D255" t="str">
        <f>IF($D$1="ESPN",INDEX(Table2[Mapped Name],MATCH('Rankings Master'!$A255,Table2[Overall Rank],0)),IF('Rankings Master'!$D$1="NFL.com",INDEX(Table3[Name Clean],MATCH('Rankings Master'!$A255,Table3[Rank],0)),IF('Rankings Master'!$D$1="Sleeper",INDEX(Sleeper!$B$2:$B$201,MATCH('Rankings Master'!$A255,Sleeper!$A$2:$A$201,0)),"Need platform")))</f>
        <v>Tyquan Thornton</v>
      </c>
      <c r="E255" t="str">
        <f>IF($D$1="ESPN",INDEX(Table2[Position],MATCH('Rankings Master'!$A255,Table2[Overall Rank],0)),IF('Rankings Master'!$D$1="NFL.com",INDEX(Table3[Position],MATCH('Rankings Master'!$A255,Table3[Rank],0)),INDEX(Sleeper!$C$2:$C$201,MATCH('Rankings Master'!A255,Sleeper!$A$2:$A$201,0))))</f>
        <v>WR</v>
      </c>
      <c r="F255">
        <f>INDEX(Table4[RK],MATCH('Rankings Master'!D255,Table4[PLAYER NAME],0))</f>
        <v>262</v>
      </c>
      <c r="G255">
        <f t="shared" si="28"/>
        <v>-10</v>
      </c>
      <c r="H255">
        <f t="shared" si="29"/>
        <v>-3.8167938931297711E-2</v>
      </c>
      <c r="I255" t="str">
        <f t="shared" si="33"/>
        <v>Slightly Overvalued</v>
      </c>
      <c r="J255" t="str">
        <f t="shared" si="31"/>
        <v/>
      </c>
      <c r="M255" t="str">
        <f>IFERROR(INDEX(PlayerSummaryTable[Rushing Yds],MATCH('Rankings Master'!D255,PlayerSummaryTable[Player],0)),"")</f>
        <v/>
      </c>
      <c r="N255" t="str">
        <f>IFERROR(INDEX(PlayerSummaryTable[Receiving Yds],MATCH('Rankings Master'!D255,PlayerSummaryTable[Player],0)),"")</f>
        <v/>
      </c>
      <c r="O255" t="str">
        <f>IFERROR(INDEX(PlayerSummaryTable[Passing Yds],MATCH('Rankings Master'!D255,PlayerSummaryTable[Player],0)),"")</f>
        <v/>
      </c>
      <c r="U255" t="str">
        <f>IF(COUNTIF('Draft Log'!$B$2:$B$301,D255)&gt;0,"DRAFTED","")</f>
        <v/>
      </c>
      <c r="V255" t="str">
        <f>IFERROR(INDEX('Draft Log'!$A$2:$A$301,MATCH(D255,'Draft Log'!$B$2:$B$301,0)),"")</f>
        <v/>
      </c>
      <c r="W255" t="str">
        <f>IFERROR(INDEX('Draft Log'!$C$2:$C$301,MATCH(D255,'Draft Log'!$B$2:$B$301,0)),"")</f>
        <v/>
      </c>
    </row>
    <row r="256" spans="1:23">
      <c r="A256">
        <f t="shared" si="32"/>
        <v>253</v>
      </c>
      <c r="D256" t="str">
        <f>IF($D$1="ESPN",INDEX(Table2[Mapped Name],MATCH('Rankings Master'!$A256,Table2[Overall Rank],0)),IF('Rankings Master'!$D$1="NFL.com",INDEX(Table3[Name Clean],MATCH('Rankings Master'!$A256,Table3[Rank],0)),IF('Rankings Master'!$D$1="Sleeper",INDEX(Sleeper!$B$2:$B$201,MATCH('Rankings Master'!$A256,Sleeper!$A$2:$A$201,0)),"Need platform")))</f>
        <v>Keon Coleman</v>
      </c>
      <c r="E256" t="str">
        <f>IF($D$1="ESPN",INDEX(Table2[Position],MATCH('Rankings Master'!$A256,Table2[Overall Rank],0)),IF('Rankings Master'!$D$1="NFL.com",INDEX(Table3[Position],MATCH('Rankings Master'!$A256,Table3[Rank],0)),INDEX(Sleeper!$C$2:$C$201,MATCH('Rankings Master'!A256,Sleeper!$A$2:$A$201,0))))</f>
        <v>WR</v>
      </c>
      <c r="F256">
        <f>INDEX(Table4[RK],MATCH('Rankings Master'!D256,Table4[PLAYER NAME],0))</f>
        <v>249</v>
      </c>
      <c r="G256">
        <f t="shared" si="28"/>
        <v>4</v>
      </c>
      <c r="H256">
        <f t="shared" si="29"/>
        <v>1.6064257028112448E-2</v>
      </c>
      <c r="I256" t="str">
        <f t="shared" si="33"/>
        <v>Slightly Undervalued</v>
      </c>
      <c r="J256" t="str">
        <f t="shared" si="31"/>
        <v/>
      </c>
      <c r="M256" t="str">
        <f>IFERROR(INDEX(PlayerSummaryTable[Rushing Yds],MATCH('Rankings Master'!D256,PlayerSummaryTable[Player],0)),"")</f>
        <v/>
      </c>
      <c r="N256" t="str">
        <f>IFERROR(INDEX(PlayerSummaryTable[Receiving Yds],MATCH('Rankings Master'!D256,PlayerSummaryTable[Player],0)),"")</f>
        <v/>
      </c>
      <c r="O256" t="str">
        <f>IFERROR(INDEX(PlayerSummaryTable[Passing Yds],MATCH('Rankings Master'!D256,PlayerSummaryTable[Player],0)),"")</f>
        <v/>
      </c>
      <c r="U256" t="str">
        <f>IF(COUNTIF('Draft Log'!$B$2:$B$301,D256)&gt;0,"DRAFTED","")</f>
        <v/>
      </c>
      <c r="V256" t="str">
        <f>IFERROR(INDEX('Draft Log'!$A$2:$A$301,MATCH(D256,'Draft Log'!$B$2:$B$301,0)),"")</f>
        <v/>
      </c>
      <c r="W256" t="str">
        <f>IFERROR(INDEX('Draft Log'!$C$2:$C$301,MATCH(D256,'Draft Log'!$B$2:$B$301,0)),"")</f>
        <v/>
      </c>
    </row>
    <row r="257" spans="1:23">
      <c r="A257">
        <f t="shared" si="32"/>
        <v>254</v>
      </c>
      <c r="D257" t="str">
        <f>IF($D$1="ESPN",INDEX(Table2[Mapped Name],MATCH('Rankings Master'!$A257,Table2[Overall Rank],0)),IF('Rankings Master'!$D$1="NFL.com",INDEX(Table3[Name Clean],MATCH('Rankings Master'!$A257,Table3[Rank],0)),IF('Rankings Master'!$D$1="Sleeper",INDEX(Sleeper!$B$2:$B$201,MATCH('Rankings Master'!$A257,Sleeper!$A$2:$A$201,0)),"Need platform")))</f>
        <v>Jacksonville Jaguars</v>
      </c>
      <c r="E257" t="str">
        <f>IF($D$1="ESPN",INDEX(Table2[Position],MATCH('Rankings Master'!$A257,Table2[Overall Rank],0)),IF('Rankings Master'!$D$1="NFL.com",INDEX(Table3[Position],MATCH('Rankings Master'!$A257,Table3[Rank],0)),INDEX(Sleeper!$C$2:$C$201,MATCH('Rankings Master'!A257,Sleeper!$A$2:$A$201,0))))</f>
        <v>DST</v>
      </c>
      <c r="F257">
        <f>INDEX(Table4[RK],MATCH('Rankings Master'!D257,Table4[PLAYER NAME],0))</f>
        <v>186</v>
      </c>
      <c r="G257">
        <f t="shared" si="28"/>
        <v>68</v>
      </c>
      <c r="H257">
        <f t="shared" si="29"/>
        <v>0.36559139784946237</v>
      </c>
      <c r="I257" t="str">
        <f t="shared" si="33"/>
        <v>Pretty Undervalued</v>
      </c>
      <c r="J257" t="str">
        <f t="shared" si="31"/>
        <v/>
      </c>
      <c r="M257" t="str">
        <f>IFERROR(INDEX(PlayerSummaryTable[Rushing Yds],MATCH('Rankings Master'!D257,PlayerSummaryTable[Player],0)),"")</f>
        <v/>
      </c>
      <c r="N257" t="str">
        <f>IFERROR(INDEX(PlayerSummaryTable[Receiving Yds],MATCH('Rankings Master'!D257,PlayerSummaryTable[Player],0)),"")</f>
        <v/>
      </c>
      <c r="O257" t="str">
        <f>IFERROR(INDEX(PlayerSummaryTable[Passing Yds],MATCH('Rankings Master'!D257,PlayerSummaryTable[Player],0)),"")</f>
        <v/>
      </c>
      <c r="U257" t="str">
        <f>IF(COUNTIF('Draft Log'!$B$2:$B$301,D257)&gt;0,"DRAFTED","")</f>
        <v/>
      </c>
      <c r="V257" t="str">
        <f>IFERROR(INDEX('Draft Log'!$A$2:$A$301,MATCH(D257,'Draft Log'!$B$2:$B$301,0)),"")</f>
        <v/>
      </c>
      <c r="W257" t="str">
        <f>IFERROR(INDEX('Draft Log'!$C$2:$C$301,MATCH(D257,'Draft Log'!$B$2:$B$301,0)),"")</f>
        <v/>
      </c>
    </row>
    <row r="258" spans="1:23">
      <c r="A258">
        <f t="shared" si="32"/>
        <v>255</v>
      </c>
      <c r="D258" t="str">
        <f>IF($D$1="ESPN",INDEX(Table2[Mapped Name],MATCH('Rankings Master'!$A258,Table2[Overall Rank],0)),IF('Rankings Master'!$D$1="NFL.com",INDEX(Table3[Name Clean],MATCH('Rankings Master'!$A258,Table3[Rank],0)),IF('Rankings Master'!$D$1="Sleeper",INDEX(Sleeper!$B$2:$B$201,MATCH('Rankings Master'!$A258,Sleeper!$A$2:$A$201,0)),"Need platform")))</f>
        <v>New Orleans Saints</v>
      </c>
      <c r="E258" t="str">
        <f>IF($D$1="ESPN",INDEX(Table2[Position],MATCH('Rankings Master'!$A258,Table2[Overall Rank],0)),IF('Rankings Master'!$D$1="NFL.com",INDEX(Table3[Position],MATCH('Rankings Master'!$A258,Table3[Rank],0)),INDEX(Sleeper!$C$2:$C$201,MATCH('Rankings Master'!A258,Sleeper!$A$2:$A$201,0))))</f>
        <v>DST</v>
      </c>
      <c r="F258">
        <f>INDEX(Table4[RK],MATCH('Rankings Master'!D258,Table4[PLAYER NAME],0))</f>
        <v>289</v>
      </c>
      <c r="G258">
        <f t="shared" si="28"/>
        <v>-34</v>
      </c>
      <c r="H258">
        <f t="shared" si="29"/>
        <v>-0.11764705882352941</v>
      </c>
      <c r="I258" t="str">
        <f t="shared" si="33"/>
        <v>Slightly Overvalued</v>
      </c>
      <c r="J258" t="str">
        <f t="shared" si="31"/>
        <v/>
      </c>
      <c r="M258" t="str">
        <f>IFERROR(INDEX(PlayerSummaryTable[Rushing Yds],MATCH('Rankings Master'!D258,PlayerSummaryTable[Player],0)),"")</f>
        <v/>
      </c>
      <c r="N258" t="str">
        <f>IFERROR(INDEX(PlayerSummaryTable[Receiving Yds],MATCH('Rankings Master'!D258,PlayerSummaryTable[Player],0)),"")</f>
        <v/>
      </c>
      <c r="O258" t="str">
        <f>IFERROR(INDEX(PlayerSummaryTable[Passing Yds],MATCH('Rankings Master'!D258,PlayerSummaryTable[Player],0)),"")</f>
        <v/>
      </c>
      <c r="U258" t="str">
        <f>IF(COUNTIF('Draft Log'!$B$2:$B$301,D258)&gt;0,"DRAFTED","")</f>
        <v/>
      </c>
      <c r="V258" t="str">
        <f>IFERROR(INDEX('Draft Log'!$A$2:$A$301,MATCH(D258,'Draft Log'!$B$2:$B$301,0)),"")</f>
        <v/>
      </c>
      <c r="W258" t="str">
        <f>IFERROR(INDEX('Draft Log'!$C$2:$C$301,MATCH(D258,'Draft Log'!$B$2:$B$301,0)),"")</f>
        <v/>
      </c>
    </row>
    <row r="259" spans="1:23">
      <c r="A259">
        <f t="shared" si="32"/>
        <v>256</v>
      </c>
      <c r="D259" t="str">
        <f>IF($D$1="ESPN",INDEX(Table2[Mapped Name],MATCH('Rankings Master'!$A259,Table2[Overall Rank],0)),IF('Rankings Master'!$D$1="NFL.com",INDEX(Table3[Name Clean],MATCH('Rankings Master'!$A259,Table3[Rank],0)),IF('Rankings Master'!$D$1="Sleeper",INDEX(Sleeper!$B$2:$B$201,MATCH('Rankings Master'!$A259,Sleeper!$A$2:$A$201,0)),"Need platform")))</f>
        <v>Evan McPherson</v>
      </c>
      <c r="E259" t="str">
        <f>IF($D$1="ESPN",INDEX(Table2[Position],MATCH('Rankings Master'!$A259,Table2[Overall Rank],0)),IF('Rankings Master'!$D$1="NFL.com",INDEX(Table3[Position],MATCH('Rankings Master'!$A259,Table3[Rank],0)),INDEX(Sleeper!$C$2:$C$201,MATCH('Rankings Master'!A259,Sleeper!$A$2:$A$201,0))))</f>
        <v>K</v>
      </c>
      <c r="F259">
        <f>INDEX(Table4[RK],MATCH('Rankings Master'!D259,Table4[PLAYER NAME],0))</f>
        <v>221</v>
      </c>
      <c r="G259">
        <f t="shared" si="28"/>
        <v>35</v>
      </c>
      <c r="H259">
        <f t="shared" si="29"/>
        <v>0.15837104072398189</v>
      </c>
      <c r="I259" t="str">
        <f t="shared" si="33"/>
        <v>Pretty Undervalued</v>
      </c>
      <c r="J259" t="str">
        <f t="shared" si="31"/>
        <v/>
      </c>
      <c r="M259" t="str">
        <f>IFERROR(INDEX(PlayerSummaryTable[Rushing Yds],MATCH('Rankings Master'!D259,PlayerSummaryTable[Player],0)),"")</f>
        <v/>
      </c>
      <c r="N259" t="str">
        <f>IFERROR(INDEX(PlayerSummaryTable[Receiving Yds],MATCH('Rankings Master'!D259,PlayerSummaryTable[Player],0)),"")</f>
        <v/>
      </c>
      <c r="O259" t="str">
        <f>IFERROR(INDEX(PlayerSummaryTable[Passing Yds],MATCH('Rankings Master'!D259,PlayerSummaryTable[Player],0)),"")</f>
        <v/>
      </c>
      <c r="U259" t="str">
        <f>IF(COUNTIF('Draft Log'!$B$2:$B$301,D259)&gt;0,"DRAFTED","")</f>
        <v/>
      </c>
      <c r="V259" t="str">
        <f>IFERROR(INDEX('Draft Log'!$A$2:$A$301,MATCH(D259,'Draft Log'!$B$2:$B$301,0)),"")</f>
        <v/>
      </c>
      <c r="W259" t="str">
        <f>IFERROR(INDEX('Draft Log'!$C$2:$C$301,MATCH(D259,'Draft Log'!$B$2:$B$301,0)),"")</f>
        <v/>
      </c>
    </row>
    <row r="260" spans="1:23">
      <c r="A260">
        <f t="shared" si="32"/>
        <v>257</v>
      </c>
      <c r="D260" t="str">
        <f>IF($D$1="ESPN",INDEX(Table2[Mapped Name],MATCH('Rankings Master'!$A260,Table2[Overall Rank],0)),IF('Rankings Master'!$D$1="NFL.com",INDEX(Table3[Name Clean],MATCH('Rankings Master'!$A260,Table3[Rank],0)),IF('Rankings Master'!$D$1="Sleeper",INDEX(Sleeper!$B$2:$B$201,MATCH('Rankings Master'!$A260,Sleeper!$A$2:$A$201,0)),"Need platform")))</f>
        <v>Nick Folk</v>
      </c>
      <c r="E260" t="str">
        <f>IF($D$1="ESPN",INDEX(Table2[Position],MATCH('Rankings Master'!$A260,Table2[Overall Rank],0)),IF('Rankings Master'!$D$1="NFL.com",INDEX(Table3[Position],MATCH('Rankings Master'!$A260,Table3[Rank],0)),INDEX(Sleeper!$C$2:$C$201,MATCH('Rankings Master'!A260,Sleeper!$A$2:$A$201,0))))</f>
        <v>K</v>
      </c>
      <c r="F260">
        <f>INDEX(Table4[RK],MATCH('Rankings Master'!D260,Table4[PLAYER NAME],0))</f>
        <v>405</v>
      </c>
      <c r="G260">
        <f t="shared" ref="G260:G323" si="34">A260-F260</f>
        <v>-148</v>
      </c>
      <c r="H260">
        <f t="shared" ref="H260:H323" si="35">G260/F260</f>
        <v>-0.36543209876543209</v>
      </c>
      <c r="I260" t="str">
        <f t="shared" si="33"/>
        <v>Pretty Overvalued</v>
      </c>
      <c r="J260" t="str">
        <f t="shared" si="31"/>
        <v/>
      </c>
      <c r="M260" t="str">
        <f>IFERROR(INDEX(PlayerSummaryTable[Rushing Yds],MATCH('Rankings Master'!D260,PlayerSummaryTable[Player],0)),"")</f>
        <v/>
      </c>
      <c r="N260" t="str">
        <f>IFERROR(INDEX(PlayerSummaryTable[Receiving Yds],MATCH('Rankings Master'!D260,PlayerSummaryTable[Player],0)),"")</f>
        <v/>
      </c>
      <c r="O260" t="str">
        <f>IFERROR(INDEX(PlayerSummaryTable[Passing Yds],MATCH('Rankings Master'!D260,PlayerSummaryTable[Player],0)),"")</f>
        <v/>
      </c>
      <c r="U260" t="str">
        <f>IF(COUNTIF('Draft Log'!$B$2:$B$301,D260)&gt;0,"DRAFTED","")</f>
        <v/>
      </c>
      <c r="V260" t="str">
        <f>IFERROR(INDEX('Draft Log'!$A$2:$A$301,MATCH(D260,'Draft Log'!$B$2:$B$301,0)),"")</f>
        <v/>
      </c>
      <c r="W260" t="str">
        <f>IFERROR(INDEX('Draft Log'!$C$2:$C$301,MATCH(D260,'Draft Log'!$B$2:$B$301,0)),"")</f>
        <v/>
      </c>
    </row>
    <row r="261" spans="1:23">
      <c r="A261">
        <f t="shared" si="32"/>
        <v>258</v>
      </c>
      <c r="D261" t="str">
        <f>IF($D$1="ESPN",INDEX(Table2[Mapped Name],MATCH('Rankings Master'!$A261,Table2[Overall Rank],0)),IF('Rankings Master'!$D$1="NFL.com",INDEX(Table3[Name Clean],MATCH('Rankings Master'!$A261,Table3[Rank],0)),IF('Rankings Master'!$D$1="Sleeper",INDEX(Sleeper!$B$2:$B$201,MATCH('Rankings Master'!$A261,Sleeper!$A$2:$A$201,0)),"Need platform")))</f>
        <v>Darren Waller</v>
      </c>
      <c r="E261" t="str">
        <f>IF($D$1="ESPN",INDEX(Table2[Position],MATCH('Rankings Master'!$A261,Table2[Overall Rank],0)),IF('Rankings Master'!$D$1="NFL.com",INDEX(Table3[Position],MATCH('Rankings Master'!$A261,Table3[Rank],0)),INDEX(Sleeper!$C$2:$C$201,MATCH('Rankings Master'!A261,Sleeper!$A$2:$A$201,0))))</f>
        <v>TE</v>
      </c>
      <c r="F261">
        <f>INDEX(Table4[RK],MATCH('Rankings Master'!D261,Table4[PLAYER NAME],0))</f>
        <v>306</v>
      </c>
      <c r="G261">
        <f t="shared" si="34"/>
        <v>-48</v>
      </c>
      <c r="H261">
        <f t="shared" si="35"/>
        <v>-0.15686274509803921</v>
      </c>
      <c r="I261" t="str">
        <f t="shared" si="33"/>
        <v>Pretty Overvalued</v>
      </c>
      <c r="J261" t="str">
        <f t="shared" ref="J261:J324" si="36">IF(W261=$G$1,"M",IF(AND(U261="Drafted",W261&lt;&gt;$G$1),"Y",""))</f>
        <v/>
      </c>
      <c r="M261" t="str">
        <f>IFERROR(INDEX(PlayerSummaryTable[Rushing Yds],MATCH('Rankings Master'!D261,PlayerSummaryTable[Player],0)),"")</f>
        <v/>
      </c>
      <c r="N261" t="str">
        <f>IFERROR(INDEX(PlayerSummaryTable[Receiving Yds],MATCH('Rankings Master'!D261,PlayerSummaryTable[Player],0)),"")</f>
        <v/>
      </c>
      <c r="O261" t="str">
        <f>IFERROR(INDEX(PlayerSummaryTable[Passing Yds],MATCH('Rankings Master'!D261,PlayerSummaryTable[Player],0)),"")</f>
        <v/>
      </c>
      <c r="U261" t="str">
        <f>IF(COUNTIF('Draft Log'!$B$2:$B$301,D261)&gt;0,"DRAFTED","")</f>
        <v/>
      </c>
      <c r="V261" t="str">
        <f>IFERROR(INDEX('Draft Log'!$A$2:$A$301,MATCH(D261,'Draft Log'!$B$2:$B$301,0)),"")</f>
        <v/>
      </c>
      <c r="W261" t="str">
        <f>IFERROR(INDEX('Draft Log'!$C$2:$C$301,MATCH(D261,'Draft Log'!$B$2:$B$301,0)),"")</f>
        <v/>
      </c>
    </row>
    <row r="262" spans="1:23">
      <c r="A262">
        <f t="shared" si="32"/>
        <v>259</v>
      </c>
      <c r="D262" t="str">
        <f>IF($D$1="ESPN",INDEX(Table2[Mapped Name],MATCH('Rankings Master'!$A262,Table2[Overall Rank],0)),IF('Rankings Master'!$D$1="NFL.com",INDEX(Table3[Name Clean],MATCH('Rankings Master'!$A262,Table3[Rank],0)),IF('Rankings Master'!$D$1="Sleeper",INDEX(Sleeper!$B$2:$B$201,MATCH('Rankings Master'!$A262,Sleeper!$A$2:$A$201,0)),"Need platform")))</f>
        <v>Greg Dulcich</v>
      </c>
      <c r="E262" t="str">
        <f>IF($D$1="ESPN",INDEX(Table2[Position],MATCH('Rankings Master'!$A262,Table2[Overall Rank],0)),IF('Rankings Master'!$D$1="NFL.com",INDEX(Table3[Position],MATCH('Rankings Master'!$A262,Table3[Rank],0)),INDEX(Sleeper!$C$2:$C$201,MATCH('Rankings Master'!A262,Sleeper!$A$2:$A$201,0))))</f>
        <v>TE</v>
      </c>
      <c r="F262">
        <f>INDEX(Table4[RK],MATCH('Rankings Master'!D262,Table4[PLAYER NAME],0))</f>
        <v>241</v>
      </c>
      <c r="G262">
        <f t="shared" si="34"/>
        <v>18</v>
      </c>
      <c r="H262">
        <f t="shared" si="35"/>
        <v>7.4688796680497924E-2</v>
      </c>
      <c r="I262" t="str">
        <f t="shared" si="33"/>
        <v>Slightly Undervalued</v>
      </c>
      <c r="J262" t="str">
        <f t="shared" si="36"/>
        <v/>
      </c>
      <c r="M262" t="str">
        <f>IFERROR(INDEX(PlayerSummaryTable[Rushing Yds],MATCH('Rankings Master'!D262,PlayerSummaryTable[Player],0)),"")</f>
        <v/>
      </c>
      <c r="N262" t="str">
        <f>IFERROR(INDEX(PlayerSummaryTable[Receiving Yds],MATCH('Rankings Master'!D262,PlayerSummaryTable[Player],0)),"")</f>
        <v/>
      </c>
      <c r="O262" t="str">
        <f>IFERROR(INDEX(PlayerSummaryTable[Passing Yds],MATCH('Rankings Master'!D262,PlayerSummaryTable[Player],0)),"")</f>
        <v/>
      </c>
      <c r="U262" t="str">
        <f>IF(COUNTIF('Draft Log'!$B$2:$B$301,D262)&gt;0,"DRAFTED","")</f>
        <v/>
      </c>
      <c r="V262" t="str">
        <f>IFERROR(INDEX('Draft Log'!$A$2:$A$301,MATCH(D262,'Draft Log'!$B$2:$B$301,0)),"")</f>
        <v/>
      </c>
      <c r="W262" t="str">
        <f>IFERROR(INDEX('Draft Log'!$C$2:$C$301,MATCH(D262,'Draft Log'!$B$2:$B$301,0)),"")</f>
        <v/>
      </c>
    </row>
    <row r="263" spans="1:23">
      <c r="A263">
        <f t="shared" si="32"/>
        <v>260</v>
      </c>
      <c r="D263" t="str">
        <f>IF($D$1="ESPN",INDEX(Table2[Mapped Name],MATCH('Rankings Master'!$A263,Table2[Overall Rank],0)),IF('Rankings Master'!$D$1="NFL.com",INDEX(Table3[Name Clean],MATCH('Rankings Master'!$A263,Table3[Rank],0)),IF('Rankings Master'!$D$1="Sleeper",INDEX(Sleeper!$B$2:$B$201,MATCH('Rankings Master'!$A263,Sleeper!$A$2:$A$201,0)),"Need platform")))</f>
        <v>Cade Otton</v>
      </c>
      <c r="E263" t="str">
        <f>IF($D$1="ESPN",INDEX(Table2[Position],MATCH('Rankings Master'!$A263,Table2[Overall Rank],0)),IF('Rankings Master'!$D$1="NFL.com",INDEX(Table3[Position],MATCH('Rankings Master'!$A263,Table3[Rank],0)),INDEX(Sleeper!$C$2:$C$201,MATCH('Rankings Master'!A263,Sleeper!$A$2:$A$201,0))))</f>
        <v>TE</v>
      </c>
      <c r="F263">
        <f>INDEX(Table4[RK],MATCH('Rankings Master'!D263,Table4[PLAYER NAME],0))</f>
        <v>239</v>
      </c>
      <c r="G263">
        <f t="shared" si="34"/>
        <v>21</v>
      </c>
      <c r="H263">
        <f t="shared" si="35"/>
        <v>8.7866108786610872E-2</v>
      </c>
      <c r="I263" t="str">
        <f t="shared" si="33"/>
        <v>Slightly Undervalued</v>
      </c>
      <c r="J263" t="str">
        <f t="shared" si="36"/>
        <v/>
      </c>
      <c r="M263" t="str">
        <f>IFERROR(INDEX(PlayerSummaryTable[Rushing Yds],MATCH('Rankings Master'!D263,PlayerSummaryTable[Player],0)),"")</f>
        <v/>
      </c>
      <c r="N263" t="str">
        <f>IFERROR(INDEX(PlayerSummaryTable[Receiving Yds],MATCH('Rankings Master'!D263,PlayerSummaryTable[Player],0)),"")</f>
        <v/>
      </c>
      <c r="O263" t="str">
        <f>IFERROR(INDEX(PlayerSummaryTable[Passing Yds],MATCH('Rankings Master'!D263,PlayerSummaryTable[Player],0)),"")</f>
        <v/>
      </c>
      <c r="U263" t="str">
        <f>IF(COUNTIF('Draft Log'!$B$2:$B$301,D263)&gt;0,"DRAFTED","")</f>
        <v/>
      </c>
      <c r="V263" t="str">
        <f>IFERROR(INDEX('Draft Log'!$A$2:$A$301,MATCH(D263,'Draft Log'!$B$2:$B$301,0)),"")</f>
        <v/>
      </c>
      <c r="W263" t="str">
        <f>IFERROR(INDEX('Draft Log'!$C$2:$C$301,MATCH(D263,'Draft Log'!$B$2:$B$301,0)),"")</f>
        <v/>
      </c>
    </row>
    <row r="264" spans="1:23">
      <c r="A264">
        <f t="shared" si="32"/>
        <v>261</v>
      </c>
      <c r="D264" t="str">
        <f>IF($D$1="ESPN",INDEX(Table2[Mapped Name],MATCH('Rankings Master'!$A264,Table2[Overall Rank],0)),IF('Rankings Master'!$D$1="NFL.com",INDEX(Table3[Name Clean],MATCH('Rankings Master'!$A264,Table3[Rank],0)),IF('Rankings Master'!$D$1="Sleeper",INDEX(Sleeper!$B$2:$B$201,MATCH('Rankings Master'!$A264,Sleeper!$A$2:$A$201,0)),"Need platform")))</f>
        <v>Isaac TeSlaa</v>
      </c>
      <c r="E264" t="str">
        <f>IF($D$1="ESPN",INDEX(Table2[Position],MATCH('Rankings Master'!$A264,Table2[Overall Rank],0)),IF('Rankings Master'!$D$1="NFL.com",INDEX(Table3[Position],MATCH('Rankings Master'!$A264,Table3[Rank],0)),INDEX(Sleeper!$C$2:$C$201,MATCH('Rankings Master'!A264,Sleeper!$A$2:$A$201,0))))</f>
        <v>WR</v>
      </c>
      <c r="F264">
        <f>INDEX(Table4[RK],MATCH('Rankings Master'!D264,Table4[PLAYER NAME],0))</f>
        <v>213</v>
      </c>
      <c r="G264">
        <f t="shared" si="34"/>
        <v>48</v>
      </c>
      <c r="H264">
        <f t="shared" si="35"/>
        <v>0.22535211267605634</v>
      </c>
      <c r="I264" t="str">
        <f t="shared" si="33"/>
        <v>Pretty Undervalued</v>
      </c>
      <c r="J264" t="str">
        <f t="shared" si="36"/>
        <v/>
      </c>
      <c r="M264" t="str">
        <f>IFERROR(INDEX(PlayerSummaryTable[Rushing Yds],MATCH('Rankings Master'!D264,PlayerSummaryTable[Player],0)),"")</f>
        <v/>
      </c>
      <c r="N264" t="str">
        <f>IFERROR(INDEX(PlayerSummaryTable[Receiving Yds],MATCH('Rankings Master'!D264,PlayerSummaryTable[Player],0)),"")</f>
        <v/>
      </c>
      <c r="O264" t="str">
        <f>IFERROR(INDEX(PlayerSummaryTable[Passing Yds],MATCH('Rankings Master'!D264,PlayerSummaryTable[Player],0)),"")</f>
        <v/>
      </c>
      <c r="U264" t="str">
        <f>IF(COUNTIF('Draft Log'!$B$2:$B$301,D264)&gt;0,"DRAFTED","")</f>
        <v/>
      </c>
      <c r="V264" t="str">
        <f>IFERROR(INDEX('Draft Log'!$A$2:$A$301,MATCH(D264,'Draft Log'!$B$2:$B$301,0)),"")</f>
        <v/>
      </c>
      <c r="W264" t="str">
        <f>IFERROR(INDEX('Draft Log'!$C$2:$C$301,MATCH(D264,'Draft Log'!$B$2:$B$301,0)),"")</f>
        <v/>
      </c>
    </row>
    <row r="265" spans="1:23">
      <c r="A265">
        <f t="shared" si="32"/>
        <v>262</v>
      </c>
      <c r="D265" t="str">
        <f>IF($D$1="ESPN",INDEX(Table2[Mapped Name],MATCH('Rankings Master'!$A265,Table2[Overall Rank],0)),IF('Rankings Master'!$D$1="NFL.com",INDEX(Table3[Name Clean],MATCH('Rankings Master'!$A265,Table3[Rank],0)),IF('Rankings Master'!$D$1="Sleeper",INDEX(Sleeper!$B$2:$B$201,MATCH('Rankings Master'!$A265,Sleeper!$A$2:$A$201,0)),"Need platform")))</f>
        <v>Pat Bryant</v>
      </c>
      <c r="E265" t="str">
        <f>IF($D$1="ESPN",INDEX(Table2[Position],MATCH('Rankings Master'!$A265,Table2[Overall Rank],0)),IF('Rankings Master'!$D$1="NFL.com",INDEX(Table3[Position],MATCH('Rankings Master'!$A265,Table3[Rank],0)),INDEX(Sleeper!$C$2:$C$201,MATCH('Rankings Master'!A265,Sleeper!$A$2:$A$201,0))))</f>
        <v>WR</v>
      </c>
      <c r="F265">
        <f>INDEX(Table4[RK],MATCH('Rankings Master'!D265,Table4[PLAYER NAME],0))</f>
        <v>188</v>
      </c>
      <c r="G265">
        <f t="shared" si="34"/>
        <v>74</v>
      </c>
      <c r="H265">
        <f t="shared" si="35"/>
        <v>0.39361702127659576</v>
      </c>
      <c r="I265" t="str">
        <f t="shared" si="33"/>
        <v>Pretty Undervalued</v>
      </c>
      <c r="J265" t="str">
        <f t="shared" si="36"/>
        <v/>
      </c>
      <c r="M265" t="str">
        <f>IFERROR(INDEX(PlayerSummaryTable[Rushing Yds],MATCH('Rankings Master'!D265,PlayerSummaryTable[Player],0)),"")</f>
        <v/>
      </c>
      <c r="N265" t="str">
        <f>IFERROR(INDEX(PlayerSummaryTable[Receiving Yds],MATCH('Rankings Master'!D265,PlayerSummaryTable[Player],0)),"")</f>
        <v/>
      </c>
      <c r="O265" t="str">
        <f>IFERROR(INDEX(PlayerSummaryTable[Passing Yds],MATCH('Rankings Master'!D265,PlayerSummaryTable[Player],0)),"")</f>
        <v/>
      </c>
      <c r="U265" t="str">
        <f>IF(COUNTIF('Draft Log'!$B$2:$B$301,D265)&gt;0,"DRAFTED","")</f>
        <v/>
      </c>
      <c r="V265" t="str">
        <f>IFERROR(INDEX('Draft Log'!$A$2:$A$301,MATCH(D265,'Draft Log'!$B$2:$B$301,0)),"")</f>
        <v/>
      </c>
      <c r="W265" t="str">
        <f>IFERROR(INDEX('Draft Log'!$C$2:$C$301,MATCH(D265,'Draft Log'!$B$2:$B$301,0)),"")</f>
        <v/>
      </c>
    </row>
    <row r="266" spans="1:23">
      <c r="A266">
        <f t="shared" si="32"/>
        <v>263</v>
      </c>
      <c r="D266" t="str">
        <f>IF($D$1="ESPN",INDEX(Table2[Mapped Name],MATCH('Rankings Master'!$A266,Table2[Overall Rank],0)),IF('Rankings Master'!$D$1="NFL.com",INDEX(Table3[Name Clean],MATCH('Rankings Master'!$A266,Table3[Rank],0)),IF('Rankings Master'!$D$1="Sleeper",INDEX(Sleeper!$B$2:$B$201,MATCH('Rankings Master'!$A266,Sleeper!$A$2:$A$201,0)),"Need platform")))</f>
        <v>Marvin Mims Jr.</v>
      </c>
      <c r="E266" t="str">
        <f>IF($D$1="ESPN",INDEX(Table2[Position],MATCH('Rankings Master'!$A266,Table2[Overall Rank],0)),IF('Rankings Master'!$D$1="NFL.com",INDEX(Table3[Position],MATCH('Rankings Master'!$A266,Table3[Rank],0)),INDEX(Sleeper!$C$2:$C$201,MATCH('Rankings Master'!A266,Sleeper!$A$2:$A$201,0))))</f>
        <v>WR</v>
      </c>
      <c r="F266">
        <f>INDEX(Table4[RK],MATCH('Rankings Master'!D266,Table4[PLAYER NAME],0))</f>
        <v>278</v>
      </c>
      <c r="G266">
        <f t="shared" si="34"/>
        <v>-15</v>
      </c>
      <c r="H266">
        <f t="shared" si="35"/>
        <v>-5.3956834532374098E-2</v>
      </c>
      <c r="I266" t="str">
        <f t="shared" si="33"/>
        <v>Slightly Overvalued</v>
      </c>
      <c r="J266" t="str">
        <f t="shared" si="36"/>
        <v>Y</v>
      </c>
      <c r="M266" t="str">
        <f>IFERROR(INDEX(PlayerSummaryTable[Rushing Yds],MATCH('Rankings Master'!D266,PlayerSummaryTable[Player],0)),"")</f>
        <v/>
      </c>
      <c r="N266" t="str">
        <f>IFERROR(INDEX(PlayerSummaryTable[Receiving Yds],MATCH('Rankings Master'!D266,PlayerSummaryTable[Player],0)),"")</f>
        <v/>
      </c>
      <c r="O266" t="str">
        <f>IFERROR(INDEX(PlayerSummaryTable[Passing Yds],MATCH('Rankings Master'!D266,PlayerSummaryTable[Player],0)),"")</f>
        <v/>
      </c>
      <c r="U266" t="str">
        <f>IF(COUNTIF('Draft Log'!$B$2:$B$301,D266)&gt;0,"DRAFTED","")</f>
        <v>DRAFTED</v>
      </c>
      <c r="V266">
        <f>IFERROR(INDEX('Draft Log'!$A$2:$A$301,MATCH(D266,'Draft Log'!$B$2:$B$301,0)),"")</f>
        <v>109</v>
      </c>
      <c r="W266" t="str">
        <f>IFERROR(INDEX('Draft Log'!$C$2:$C$301,MATCH(D266,'Draft Log'!$B$2:$B$301,0)),"")</f>
        <v>The Good, Bad and Ugly</v>
      </c>
    </row>
    <row r="267" spans="1:23">
      <c r="A267">
        <f t="shared" si="32"/>
        <v>264</v>
      </c>
      <c r="D267" t="str">
        <f>IF($D$1="ESPN",INDEX(Table2[Mapped Name],MATCH('Rankings Master'!$A267,Table2[Overall Rank],0)),IF('Rankings Master'!$D$1="NFL.com",INDEX(Table3[Name Clean],MATCH('Rankings Master'!$A267,Table3[Rank],0)),IF('Rankings Master'!$D$1="Sleeper",INDEX(Sleeper!$B$2:$B$201,MATCH('Rankings Master'!$A267,Sleeper!$A$2:$A$201,0)),"Need platform")))</f>
        <v>Andrei Iosivas</v>
      </c>
      <c r="E267" t="str">
        <f>IF($D$1="ESPN",INDEX(Table2[Position],MATCH('Rankings Master'!$A267,Table2[Overall Rank],0)),IF('Rankings Master'!$D$1="NFL.com",INDEX(Table3[Position],MATCH('Rankings Master'!$A267,Table3[Rank],0)),INDEX(Sleeper!$C$2:$C$201,MATCH('Rankings Master'!A267,Sleeper!$A$2:$A$201,0))))</f>
        <v>WR</v>
      </c>
      <c r="F267">
        <f>INDEX(Table4[RK],MATCH('Rankings Master'!D267,Table4[PLAYER NAME],0))</f>
        <v>308</v>
      </c>
      <c r="G267">
        <f t="shared" si="34"/>
        <v>-44</v>
      </c>
      <c r="H267">
        <f t="shared" si="35"/>
        <v>-0.14285714285714285</v>
      </c>
      <c r="I267" t="str">
        <f t="shared" si="33"/>
        <v>Slightly Overvalued</v>
      </c>
      <c r="J267" t="str">
        <f t="shared" si="36"/>
        <v/>
      </c>
      <c r="M267" t="str">
        <f>IFERROR(INDEX(PlayerSummaryTable[Rushing Yds],MATCH('Rankings Master'!D267,PlayerSummaryTable[Player],0)),"")</f>
        <v/>
      </c>
      <c r="N267" t="str">
        <f>IFERROR(INDEX(PlayerSummaryTable[Receiving Yds],MATCH('Rankings Master'!D267,PlayerSummaryTable[Player],0)),"")</f>
        <v/>
      </c>
      <c r="O267" t="str">
        <f>IFERROR(INDEX(PlayerSummaryTable[Passing Yds],MATCH('Rankings Master'!D267,PlayerSummaryTable[Player],0)),"")</f>
        <v/>
      </c>
      <c r="U267" t="str">
        <f>IF(COUNTIF('Draft Log'!$B$2:$B$301,D267)&gt;0,"DRAFTED","")</f>
        <v/>
      </c>
      <c r="V267" t="str">
        <f>IFERROR(INDEX('Draft Log'!$A$2:$A$301,MATCH(D267,'Draft Log'!$B$2:$B$301,0)),"")</f>
        <v/>
      </c>
      <c r="W267" t="str">
        <f>IFERROR(INDEX('Draft Log'!$C$2:$C$301,MATCH(D267,'Draft Log'!$B$2:$B$301,0)),"")</f>
        <v/>
      </c>
    </row>
    <row r="268" spans="1:23">
      <c r="A268">
        <f t="shared" si="32"/>
        <v>265</v>
      </c>
      <c r="D268" t="str">
        <f>IF($D$1="ESPN",INDEX(Table2[Mapped Name],MATCH('Rankings Master'!$A268,Table2[Overall Rank],0)),IF('Rankings Master'!$D$1="NFL.com",INDEX(Table3[Name Clean],MATCH('Rankings Master'!$A268,Table3[Rank],0)),IF('Rankings Master'!$D$1="Sleeper",INDEX(Sleeper!$B$2:$B$201,MATCH('Rankings Master'!$A268,Sleeper!$A$2:$A$201,0)),"Need platform")))</f>
        <v>Kaleb Johnson</v>
      </c>
      <c r="E268" t="str">
        <f>IF($D$1="ESPN",INDEX(Table2[Position],MATCH('Rankings Master'!$A268,Table2[Overall Rank],0)),IF('Rankings Master'!$D$1="NFL.com",INDEX(Table3[Position],MATCH('Rankings Master'!$A268,Table3[Rank],0)),INDEX(Sleeper!$C$2:$C$201,MATCH('Rankings Master'!A268,Sleeper!$A$2:$A$201,0))))</f>
        <v>RB</v>
      </c>
      <c r="F268">
        <f>INDEX(Table4[RK],MATCH('Rankings Master'!D268,Table4[PLAYER NAME],0))</f>
        <v>222</v>
      </c>
      <c r="G268">
        <f t="shared" si="34"/>
        <v>43</v>
      </c>
      <c r="H268">
        <f t="shared" si="35"/>
        <v>0.19369369369369369</v>
      </c>
      <c r="I268" t="str">
        <f t="shared" si="33"/>
        <v>Pretty Undervalued</v>
      </c>
      <c r="J268" t="str">
        <f t="shared" si="36"/>
        <v/>
      </c>
      <c r="M268" t="str">
        <f>IFERROR(INDEX(PlayerSummaryTable[Rushing Yds],MATCH('Rankings Master'!D268,PlayerSummaryTable[Player],0)),"")</f>
        <v/>
      </c>
      <c r="N268" t="str">
        <f>IFERROR(INDEX(PlayerSummaryTable[Receiving Yds],MATCH('Rankings Master'!D268,PlayerSummaryTable[Player],0)),"")</f>
        <v/>
      </c>
      <c r="O268" t="str">
        <f>IFERROR(INDEX(PlayerSummaryTable[Passing Yds],MATCH('Rankings Master'!D268,PlayerSummaryTable[Player],0)),"")</f>
        <v/>
      </c>
      <c r="U268" t="str">
        <f>IF(COUNTIF('Draft Log'!$B$2:$B$301,D268)&gt;0,"DRAFTED","")</f>
        <v/>
      </c>
      <c r="V268" t="str">
        <f>IFERROR(INDEX('Draft Log'!$A$2:$A$301,MATCH(D268,'Draft Log'!$B$2:$B$301,0)),"")</f>
        <v/>
      </c>
      <c r="W268" t="str">
        <f>IFERROR(INDEX('Draft Log'!$C$2:$C$301,MATCH(D268,'Draft Log'!$B$2:$B$301,0)),"")</f>
        <v/>
      </c>
    </row>
    <row r="269" spans="1:23">
      <c r="A269">
        <f t="shared" ref="A269:A332" si="37">A268+1</f>
        <v>266</v>
      </c>
      <c r="D269" t="str">
        <f>IF($D$1="ESPN",INDEX(Table2[Mapped Name],MATCH('Rankings Master'!$A269,Table2[Overall Rank],0)),IF('Rankings Master'!$D$1="NFL.com",INDEX(Table3[Name Clean],MATCH('Rankings Master'!$A269,Table3[Rank],0)),IF('Rankings Master'!$D$1="Sleeper",INDEX(Sleeper!$B$2:$B$201,MATCH('Rankings Master'!$A269,Sleeper!$A$2:$A$201,0)),"Need platform")))</f>
        <v>Nicholas Singleton</v>
      </c>
      <c r="E269" t="str">
        <f>IF($D$1="ESPN",INDEX(Table2[Position],MATCH('Rankings Master'!$A269,Table2[Overall Rank],0)),IF('Rankings Master'!$D$1="NFL.com",INDEX(Table3[Position],MATCH('Rankings Master'!$A269,Table3[Rank],0)),INDEX(Sleeper!$C$2:$C$201,MATCH('Rankings Master'!A269,Sleeper!$A$2:$A$201,0))))</f>
        <v>RB</v>
      </c>
      <c r="F269">
        <f>INDEX(Table4[RK],MATCH('Rankings Master'!D269,Table4[PLAYER NAME],0))</f>
        <v>200</v>
      </c>
      <c r="G269">
        <f t="shared" si="34"/>
        <v>66</v>
      </c>
      <c r="H269">
        <f t="shared" si="35"/>
        <v>0.33</v>
      </c>
      <c r="I269" t="str">
        <f t="shared" si="33"/>
        <v>Pretty Undervalued</v>
      </c>
      <c r="J269" t="str">
        <f t="shared" si="36"/>
        <v/>
      </c>
      <c r="M269" t="str">
        <f>IFERROR(INDEX(PlayerSummaryTable[Rushing Yds],MATCH('Rankings Master'!D269,PlayerSummaryTable[Player],0)),"")</f>
        <v/>
      </c>
      <c r="N269" t="str">
        <f>IFERROR(INDEX(PlayerSummaryTable[Receiving Yds],MATCH('Rankings Master'!D269,PlayerSummaryTable[Player],0)),"")</f>
        <v/>
      </c>
      <c r="O269" t="str">
        <f>IFERROR(INDEX(PlayerSummaryTable[Passing Yds],MATCH('Rankings Master'!D269,PlayerSummaryTable[Player],0)),"")</f>
        <v/>
      </c>
      <c r="U269" t="str">
        <f>IF(COUNTIF('Draft Log'!$B$2:$B$301,D269)&gt;0,"DRAFTED","")</f>
        <v/>
      </c>
      <c r="V269" t="str">
        <f>IFERROR(INDEX('Draft Log'!$A$2:$A$301,MATCH(D269,'Draft Log'!$B$2:$B$301,0)),"")</f>
        <v/>
      </c>
      <c r="W269" t="str">
        <f>IFERROR(INDEX('Draft Log'!$C$2:$C$301,MATCH(D269,'Draft Log'!$B$2:$B$301,0)),"")</f>
        <v/>
      </c>
    </row>
    <row r="270" spans="1:23">
      <c r="A270">
        <f t="shared" si="37"/>
        <v>267</v>
      </c>
      <c r="D270" t="str">
        <f>IF($D$1="ESPN",INDEX(Table2[Mapped Name],MATCH('Rankings Master'!$A270,Table2[Overall Rank],0)),IF('Rankings Master'!$D$1="NFL.com",INDEX(Table3[Name Clean],MATCH('Rankings Master'!$A270,Table3[Rank],0)),IF('Rankings Master'!$D$1="Sleeper",INDEX(Sleeper!$B$2:$B$201,MATCH('Rankings Master'!$A270,Sleeper!$A$2:$A$201,0)),"Need platform")))</f>
        <v>Geno Smith</v>
      </c>
      <c r="E270" t="str">
        <f>IF($D$1="ESPN",INDEX(Table2[Position],MATCH('Rankings Master'!$A270,Table2[Overall Rank],0)),IF('Rankings Master'!$D$1="NFL.com",INDEX(Table3[Position],MATCH('Rankings Master'!$A270,Table3[Rank],0)),INDEX(Sleeper!$C$2:$C$201,MATCH('Rankings Master'!A270,Sleeper!$A$2:$A$201,0))))</f>
        <v>QB</v>
      </c>
      <c r="F270">
        <f>INDEX(Table4[RK],MATCH('Rankings Master'!D270,Table4[PLAYER NAME],0))</f>
        <v>235</v>
      </c>
      <c r="G270">
        <f t="shared" si="34"/>
        <v>32</v>
      </c>
      <c r="H270">
        <f t="shared" si="35"/>
        <v>0.13617021276595745</v>
      </c>
      <c r="I270" t="str">
        <f t="shared" si="33"/>
        <v>Slightly Undervalued</v>
      </c>
      <c r="J270" t="str">
        <f t="shared" si="36"/>
        <v/>
      </c>
      <c r="M270" t="str">
        <f>IFERROR(INDEX(PlayerSummaryTable[Rushing Yds],MATCH('Rankings Master'!D270,PlayerSummaryTable[Player],0)),"")</f>
        <v/>
      </c>
      <c r="N270" t="str">
        <f>IFERROR(INDEX(PlayerSummaryTable[Receiving Yds],MATCH('Rankings Master'!D270,PlayerSummaryTable[Player],0)),"")</f>
        <v/>
      </c>
      <c r="O270" t="str">
        <f>IFERROR(INDEX(PlayerSummaryTable[Passing Yds],MATCH('Rankings Master'!D270,PlayerSummaryTable[Player],0)),"")</f>
        <v/>
      </c>
      <c r="U270" t="str">
        <f>IF(COUNTIF('Draft Log'!$B$2:$B$301,D270)&gt;0,"DRAFTED","")</f>
        <v/>
      </c>
      <c r="V270" t="str">
        <f>IFERROR(INDEX('Draft Log'!$A$2:$A$301,MATCH(D270,'Draft Log'!$B$2:$B$301,0)),"")</f>
        <v/>
      </c>
      <c r="W270" t="str">
        <f>IFERROR(INDEX('Draft Log'!$C$2:$C$301,MATCH(D270,'Draft Log'!$B$2:$B$301,0)),"")</f>
        <v/>
      </c>
    </row>
    <row r="271" spans="1:23">
      <c r="A271">
        <f t="shared" si="37"/>
        <v>268</v>
      </c>
      <c r="D271" t="str">
        <f>IF($D$1="ESPN",INDEX(Table2[Mapped Name],MATCH('Rankings Master'!$A271,Table2[Overall Rank],0)),IF('Rankings Master'!$D$1="NFL.com",INDEX(Table3[Name Clean],MATCH('Rankings Master'!$A271,Table3[Rank],0)),IF('Rankings Master'!$D$1="Sleeper",INDEX(Sleeper!$B$2:$B$201,MATCH('Rankings Master'!$A271,Sleeper!$A$2:$A$201,0)),"Need platform")))</f>
        <v>Fernando Mendoza</v>
      </c>
      <c r="E271" t="str">
        <f>IF($D$1="ESPN",INDEX(Table2[Position],MATCH('Rankings Master'!$A271,Table2[Overall Rank],0)),IF('Rankings Master'!$D$1="NFL.com",INDEX(Table3[Position],MATCH('Rankings Master'!$A271,Table3[Rank],0)),INDEX(Sleeper!$C$2:$C$201,MATCH('Rankings Master'!A271,Sleeper!$A$2:$A$201,0))))</f>
        <v>QB</v>
      </c>
      <c r="F271">
        <f>INDEX(Table4[RK],MATCH('Rankings Master'!D271,Table4[PLAYER NAME],0))</f>
        <v>272</v>
      </c>
      <c r="G271">
        <f t="shared" si="34"/>
        <v>-4</v>
      </c>
      <c r="H271">
        <f t="shared" si="35"/>
        <v>-1.4705882352941176E-2</v>
      </c>
      <c r="I271" t="str">
        <f t="shared" si="33"/>
        <v>Slightly Overvalued</v>
      </c>
      <c r="J271" t="str">
        <f t="shared" si="36"/>
        <v/>
      </c>
      <c r="M271" t="str">
        <f>IFERROR(INDEX(PlayerSummaryTable[Rushing Yds],MATCH('Rankings Master'!D271,PlayerSummaryTable[Player],0)),"")</f>
        <v>N/A</v>
      </c>
      <c r="N271" t="str">
        <f>IFERROR(INDEX(PlayerSummaryTable[Receiving Yds],MATCH('Rankings Master'!D271,PlayerSummaryTable[Player],0)),"")</f>
        <v>N/A</v>
      </c>
      <c r="O271">
        <f>IFERROR(INDEX(PlayerSummaryTable[Passing Yds],MATCH('Rankings Master'!D271,PlayerSummaryTable[Player],0)),"")</f>
        <v>2499.5</v>
      </c>
      <c r="U271" t="str">
        <f>IF(COUNTIF('Draft Log'!$B$2:$B$301,D271)&gt;0,"DRAFTED","")</f>
        <v/>
      </c>
      <c r="V271" t="str">
        <f>IFERROR(INDEX('Draft Log'!$A$2:$A$301,MATCH(D271,'Draft Log'!$B$2:$B$301,0)),"")</f>
        <v/>
      </c>
      <c r="W271" t="str">
        <f>IFERROR(INDEX('Draft Log'!$C$2:$C$301,MATCH(D271,'Draft Log'!$B$2:$B$301,0)),"")</f>
        <v/>
      </c>
    </row>
    <row r="272" spans="1:23">
      <c r="A272">
        <f t="shared" si="37"/>
        <v>269</v>
      </c>
      <c r="D272" t="str">
        <f>IF($D$1="ESPN",INDEX(Table2[Mapped Name],MATCH('Rankings Master'!$A272,Table2[Overall Rank],0)),IF('Rankings Master'!$D$1="NFL.com",INDEX(Table3[Name Clean],MATCH('Rankings Master'!$A272,Table3[Rank],0)),IF('Rankings Master'!$D$1="Sleeper",INDEX(Sleeper!$B$2:$B$201,MATCH('Rankings Master'!$A272,Sleeper!$A$2:$A$201,0)),"Need platform")))</f>
        <v>Aaron Rodgers</v>
      </c>
      <c r="E272" t="str">
        <f>IF($D$1="ESPN",INDEX(Table2[Position],MATCH('Rankings Master'!$A272,Table2[Overall Rank],0)),IF('Rankings Master'!$D$1="NFL.com",INDEX(Table3[Position],MATCH('Rankings Master'!$A272,Table3[Rank],0)),INDEX(Sleeper!$C$2:$C$201,MATCH('Rankings Master'!A272,Sleeper!$A$2:$A$201,0))))</f>
        <v>QB</v>
      </c>
      <c r="F272">
        <f>INDEX(Table4[RK],MATCH('Rankings Master'!D272,Table4[PLAYER NAME],0))</f>
        <v>223</v>
      </c>
      <c r="G272">
        <f t="shared" si="34"/>
        <v>46</v>
      </c>
      <c r="H272">
        <f t="shared" si="35"/>
        <v>0.20627802690582961</v>
      </c>
      <c r="I272" t="str">
        <f t="shared" si="33"/>
        <v>Pretty Undervalued</v>
      </c>
      <c r="J272" t="str">
        <f t="shared" si="36"/>
        <v/>
      </c>
      <c r="M272" t="str">
        <f>IFERROR(INDEX(PlayerSummaryTable[Rushing Yds],MATCH('Rankings Master'!D272,PlayerSummaryTable[Player],0)),"")</f>
        <v>N/A</v>
      </c>
      <c r="N272" t="str">
        <f>IFERROR(INDEX(PlayerSummaryTable[Receiving Yds],MATCH('Rankings Master'!D272,PlayerSummaryTable[Player],0)),"")</f>
        <v>N/A</v>
      </c>
      <c r="O272">
        <f>IFERROR(INDEX(PlayerSummaryTable[Passing Yds],MATCH('Rankings Master'!D272,PlayerSummaryTable[Player],0)),"")</f>
        <v>3099.5</v>
      </c>
      <c r="U272" t="str">
        <f>IF(COUNTIF('Draft Log'!$B$2:$B$301,D272)&gt;0,"DRAFTED","")</f>
        <v/>
      </c>
      <c r="V272" t="str">
        <f>IFERROR(INDEX('Draft Log'!$A$2:$A$301,MATCH(D272,'Draft Log'!$B$2:$B$301,0)),"")</f>
        <v/>
      </c>
      <c r="W272" t="str">
        <f>IFERROR(INDEX('Draft Log'!$C$2:$C$301,MATCH(D272,'Draft Log'!$B$2:$B$301,0)),"")</f>
        <v/>
      </c>
    </row>
    <row r="273" spans="1:23">
      <c r="A273">
        <f t="shared" si="37"/>
        <v>270</v>
      </c>
      <c r="D273" t="str">
        <f>IF($D$1="ESPN",INDEX(Table2[Mapped Name],MATCH('Rankings Master'!$A273,Table2[Overall Rank],0)),IF('Rankings Master'!$D$1="NFL.com",INDEX(Table3[Name Clean],MATCH('Rankings Master'!$A273,Table3[Rank],0)),IF('Rankings Master'!$D$1="Sleeper",INDEX(Sleeper!$B$2:$B$201,MATCH('Rankings Master'!$A273,Sleeper!$A$2:$A$201,0)),"Need platform")))</f>
        <v>Deshaun Watson</v>
      </c>
      <c r="E273" t="str">
        <f>IF($D$1="ESPN",INDEX(Table2[Position],MATCH('Rankings Master'!$A273,Table2[Overall Rank],0)),IF('Rankings Master'!$D$1="NFL.com",INDEX(Table3[Position],MATCH('Rankings Master'!$A273,Table3[Rank],0)),INDEX(Sleeper!$C$2:$C$201,MATCH('Rankings Master'!A273,Sleeper!$A$2:$A$201,0))))</f>
        <v>QB</v>
      </c>
      <c r="F273">
        <f>INDEX(Table4[RK],MATCH('Rankings Master'!D273,Table4[PLAYER NAME],0))</f>
        <v>290</v>
      </c>
      <c r="G273">
        <f t="shared" si="34"/>
        <v>-20</v>
      </c>
      <c r="H273">
        <f t="shared" si="35"/>
        <v>-6.8965517241379309E-2</v>
      </c>
      <c r="I273" t="str">
        <f t="shared" si="33"/>
        <v>Slightly Overvalued</v>
      </c>
      <c r="J273" t="str">
        <f t="shared" si="36"/>
        <v/>
      </c>
      <c r="M273" t="str">
        <f>IFERROR(INDEX(PlayerSummaryTable[Rushing Yds],MATCH('Rankings Master'!D273,PlayerSummaryTable[Player],0)),"")</f>
        <v>N/A</v>
      </c>
      <c r="N273" t="str">
        <f>IFERROR(INDEX(PlayerSummaryTable[Receiving Yds],MATCH('Rankings Master'!D273,PlayerSummaryTable[Player],0)),"")</f>
        <v>N/A</v>
      </c>
      <c r="O273">
        <f>IFERROR(INDEX(PlayerSummaryTable[Passing Yds],MATCH('Rankings Master'!D273,PlayerSummaryTable[Player],0)),"")</f>
        <v>1749.5</v>
      </c>
      <c r="U273" t="str">
        <f>IF(COUNTIF('Draft Log'!$B$2:$B$301,D273)&gt;0,"DRAFTED","")</f>
        <v/>
      </c>
      <c r="V273" t="str">
        <f>IFERROR(INDEX('Draft Log'!$A$2:$A$301,MATCH(D273,'Draft Log'!$B$2:$B$301,0)),"")</f>
        <v/>
      </c>
      <c r="W273" t="str">
        <f>IFERROR(INDEX('Draft Log'!$C$2:$C$301,MATCH(D273,'Draft Log'!$B$2:$B$301,0)),"")</f>
        <v/>
      </c>
    </row>
    <row r="274" spans="1:23">
      <c r="A274">
        <f t="shared" si="37"/>
        <v>271</v>
      </c>
      <c r="D274" t="e">
        <f>IF($D$1="ESPN",INDEX(Table2[Mapped Name],MATCH('Rankings Master'!$A274,Table2[Overall Rank],0)),IF('Rankings Master'!$D$1="NFL.com",INDEX(Table3[Name Clean],MATCH('Rankings Master'!$A274,Table3[Rank],0)),IF('Rankings Master'!$D$1="Sleeper",INDEX(Sleeper!$B$2:$B$201,MATCH('Rankings Master'!$A274,Sleeper!$A$2:$A$201,0)),"Need platform")))</f>
        <v>#N/A</v>
      </c>
      <c r="E274" t="str">
        <f>IF($D$1="ESPN",INDEX(Table2[Position],MATCH('Rankings Master'!$A274,Table2[Overall Rank],0)),IF('Rankings Master'!$D$1="NFL.com",INDEX(Table3[Position],MATCH('Rankings Master'!$A274,Table3[Rank],0)),INDEX(Sleeper!$C$2:$C$201,MATCH('Rankings Master'!A274,Sleeper!$A$2:$A$201,0))))</f>
        <v>WR</v>
      </c>
      <c r="F274" t="e">
        <f>INDEX(Table4[RK],MATCH('Rankings Master'!D274,Table4[PLAYER NAME],0))</f>
        <v>#N/A</v>
      </c>
      <c r="G274" t="e">
        <f t="shared" si="34"/>
        <v>#N/A</v>
      </c>
      <c r="H274" t="e">
        <f t="shared" si="35"/>
        <v>#N/A</v>
      </c>
      <c r="I274" t="e">
        <f t="shared" si="33"/>
        <v>#N/A</v>
      </c>
      <c r="J274" t="str">
        <f t="shared" si="36"/>
        <v/>
      </c>
      <c r="M274" t="str">
        <f>IFERROR(INDEX(PlayerSummaryTable[Rushing Yds],MATCH('Rankings Master'!D274,PlayerSummaryTable[Player],0)),"")</f>
        <v/>
      </c>
      <c r="N274" t="str">
        <f>IFERROR(INDEX(PlayerSummaryTable[Receiving Yds],MATCH('Rankings Master'!D274,PlayerSummaryTable[Player],0)),"")</f>
        <v/>
      </c>
      <c r="O274" t="str">
        <f>IFERROR(INDEX(PlayerSummaryTable[Passing Yds],MATCH('Rankings Master'!D274,PlayerSummaryTable[Player],0)),"")</f>
        <v/>
      </c>
      <c r="U274" t="str">
        <f>IF(COUNTIF('Draft Log'!$B$2:$B$301,D274)&gt;0,"DRAFTED","")</f>
        <v/>
      </c>
      <c r="V274" t="str">
        <f>IFERROR(INDEX('Draft Log'!$A$2:$A$301,MATCH(D274,'Draft Log'!$B$2:$B$301,0)),"")</f>
        <v/>
      </c>
      <c r="W274" t="str">
        <f>IFERROR(INDEX('Draft Log'!$C$2:$C$301,MATCH(D274,'Draft Log'!$B$2:$B$301,0)),"")</f>
        <v/>
      </c>
    </row>
    <row r="275" spans="1:23">
      <c r="A275">
        <f t="shared" si="37"/>
        <v>272</v>
      </c>
      <c r="D275" t="str">
        <f>IF($D$1="ESPN",INDEX(Table2[Mapped Name],MATCH('Rankings Master'!$A275,Table2[Overall Rank],0)),IF('Rankings Master'!$D$1="NFL.com",INDEX(Table3[Name Clean],MATCH('Rankings Master'!$A275,Table3[Rank],0)),IF('Rankings Master'!$D$1="Sleeper",INDEX(Sleeper!$B$2:$B$201,MATCH('Rankings Master'!$A275,Sleeper!$A$2:$A$201,0)),"Need platform")))</f>
        <v>KaVontae Turpin</v>
      </c>
      <c r="E275" t="str">
        <f>IF($D$1="ESPN",INDEX(Table2[Position],MATCH('Rankings Master'!$A275,Table2[Overall Rank],0)),IF('Rankings Master'!$D$1="NFL.com",INDEX(Table3[Position],MATCH('Rankings Master'!$A275,Table3[Rank],0)),INDEX(Sleeper!$C$2:$C$201,MATCH('Rankings Master'!A275,Sleeper!$A$2:$A$201,0))))</f>
        <v>WR</v>
      </c>
      <c r="F275">
        <f>INDEX(Table4[RK],MATCH('Rankings Master'!D275,Table4[PLAYER NAME],0))</f>
        <v>358</v>
      </c>
      <c r="G275">
        <f t="shared" si="34"/>
        <v>-86</v>
      </c>
      <c r="H275">
        <f t="shared" si="35"/>
        <v>-0.24022346368715083</v>
      </c>
      <c r="I275" t="str">
        <f t="shared" si="33"/>
        <v>Pretty Overvalued</v>
      </c>
      <c r="J275" t="str">
        <f t="shared" si="36"/>
        <v>Y</v>
      </c>
      <c r="M275" t="str">
        <f>IFERROR(INDEX(PlayerSummaryTable[Rushing Yds],MATCH('Rankings Master'!D275,PlayerSummaryTable[Player],0)),"")</f>
        <v/>
      </c>
      <c r="N275" t="str">
        <f>IFERROR(INDEX(PlayerSummaryTable[Receiving Yds],MATCH('Rankings Master'!D275,PlayerSummaryTable[Player],0)),"")</f>
        <v/>
      </c>
      <c r="O275" t="str">
        <f>IFERROR(INDEX(PlayerSummaryTable[Passing Yds],MATCH('Rankings Master'!D275,PlayerSummaryTable[Player],0)),"")</f>
        <v/>
      </c>
      <c r="U275" t="str">
        <f>IF(COUNTIF('Draft Log'!$B$2:$B$301,D275)&gt;0,"DRAFTED","")</f>
        <v>DRAFTED</v>
      </c>
      <c r="V275">
        <f>IFERROR(INDEX('Draft Log'!$A$2:$A$301,MATCH(D275,'Draft Log'!$B$2:$B$301,0)),"")</f>
        <v>67</v>
      </c>
      <c r="W275" t="str">
        <f>IFERROR(INDEX('Draft Log'!$C$2:$C$301,MATCH(D275,'Draft Log'!$B$2:$B$301,0)),"")</f>
        <v>Eight Bell Tolls</v>
      </c>
    </row>
    <row r="276" spans="1:23">
      <c r="A276">
        <f t="shared" si="37"/>
        <v>273</v>
      </c>
      <c r="D276" t="str">
        <f>IF($D$1="ESPN",INDEX(Table2[Mapped Name],MATCH('Rankings Master'!$A276,Table2[Overall Rank],0)),IF('Rankings Master'!$D$1="NFL.com",INDEX(Table3[Name Clean],MATCH('Rankings Master'!$A276,Table3[Rank],0)),IF('Rankings Master'!$D$1="Sleeper",INDEX(Sleeper!$B$2:$B$201,MATCH('Rankings Master'!$A276,Sleeper!$A$2:$A$201,0)),"Need platform")))</f>
        <v>Tank Dell</v>
      </c>
      <c r="E276" t="str">
        <f>IF($D$1="ESPN",INDEX(Table2[Position],MATCH('Rankings Master'!$A276,Table2[Overall Rank],0)),IF('Rankings Master'!$D$1="NFL.com",INDEX(Table3[Position],MATCH('Rankings Master'!$A276,Table3[Rank],0)),INDEX(Sleeper!$C$2:$C$201,MATCH('Rankings Master'!A276,Sleeper!$A$2:$A$201,0))))</f>
        <v>WR</v>
      </c>
      <c r="F276">
        <f>INDEX(Table4[RK],MATCH('Rankings Master'!D276,Table4[PLAYER NAME],0))</f>
        <v>244</v>
      </c>
      <c r="G276">
        <f t="shared" si="34"/>
        <v>29</v>
      </c>
      <c r="H276">
        <f t="shared" si="35"/>
        <v>0.11885245901639344</v>
      </c>
      <c r="I276" t="str">
        <f t="shared" si="33"/>
        <v>Slightly Undervalued</v>
      </c>
      <c r="J276" t="str">
        <f t="shared" si="36"/>
        <v/>
      </c>
      <c r="M276" t="str">
        <f>IFERROR(INDEX(PlayerSummaryTable[Rushing Yds],MATCH('Rankings Master'!D276,PlayerSummaryTable[Player],0)),"")</f>
        <v/>
      </c>
      <c r="N276" t="str">
        <f>IFERROR(INDEX(PlayerSummaryTable[Receiving Yds],MATCH('Rankings Master'!D276,PlayerSummaryTable[Player],0)),"")</f>
        <v/>
      </c>
      <c r="O276" t="str">
        <f>IFERROR(INDEX(PlayerSummaryTable[Passing Yds],MATCH('Rankings Master'!D276,PlayerSummaryTable[Player],0)),"")</f>
        <v/>
      </c>
      <c r="U276" t="str">
        <f>IF(COUNTIF('Draft Log'!$B$2:$B$301,D276)&gt;0,"DRAFTED","")</f>
        <v/>
      </c>
      <c r="V276" t="str">
        <f>IFERROR(INDEX('Draft Log'!$A$2:$A$301,MATCH(D276,'Draft Log'!$B$2:$B$301,0)),"")</f>
        <v/>
      </c>
      <c r="W276" t="str">
        <f>IFERROR(INDEX('Draft Log'!$C$2:$C$301,MATCH(D276,'Draft Log'!$B$2:$B$301,0)),"")</f>
        <v/>
      </c>
    </row>
    <row r="277" spans="1:23">
      <c r="A277">
        <f t="shared" si="37"/>
        <v>274</v>
      </c>
      <c r="D277" t="str">
        <f>IF($D$1="ESPN",INDEX(Table2[Mapped Name],MATCH('Rankings Master'!$A277,Table2[Overall Rank],0)),IF('Rankings Master'!$D$1="NFL.com",INDEX(Table3[Name Clean],MATCH('Rankings Master'!$A277,Table3[Rank],0)),IF('Rankings Master'!$D$1="Sleeper",INDEX(Sleeper!$B$2:$B$201,MATCH('Rankings Master'!$A277,Sleeper!$A$2:$A$201,0)),"Need platform")))</f>
        <v>Jack Bech</v>
      </c>
      <c r="E277" t="str">
        <f>IF($D$1="ESPN",INDEX(Table2[Position],MATCH('Rankings Master'!$A277,Table2[Overall Rank],0)),IF('Rankings Master'!$D$1="NFL.com",INDEX(Table3[Position],MATCH('Rankings Master'!$A277,Table3[Rank],0)),INDEX(Sleeper!$C$2:$C$201,MATCH('Rankings Master'!A277,Sleeper!$A$2:$A$201,0))))</f>
        <v>WR</v>
      </c>
      <c r="F277">
        <f>INDEX(Table4[RK],MATCH('Rankings Master'!D277,Table4[PLAYER NAME],0))</f>
        <v>268</v>
      </c>
      <c r="G277">
        <f t="shared" si="34"/>
        <v>6</v>
      </c>
      <c r="H277">
        <f t="shared" si="35"/>
        <v>2.2388059701492536E-2</v>
      </c>
      <c r="I277" t="str">
        <f t="shared" si="33"/>
        <v>Slightly Undervalued</v>
      </c>
      <c r="J277" t="str">
        <f t="shared" si="36"/>
        <v/>
      </c>
      <c r="M277" t="str">
        <f>IFERROR(INDEX(PlayerSummaryTable[Rushing Yds],MATCH('Rankings Master'!D277,PlayerSummaryTable[Player],0)),"")</f>
        <v/>
      </c>
      <c r="N277" t="str">
        <f>IFERROR(INDEX(PlayerSummaryTable[Receiving Yds],MATCH('Rankings Master'!D277,PlayerSummaryTable[Player],0)),"")</f>
        <v/>
      </c>
      <c r="O277" t="str">
        <f>IFERROR(INDEX(PlayerSummaryTable[Passing Yds],MATCH('Rankings Master'!D277,PlayerSummaryTable[Player],0)),"")</f>
        <v/>
      </c>
      <c r="U277" t="str">
        <f>IF(COUNTIF('Draft Log'!$B$2:$B$301,D277)&gt;0,"DRAFTED","")</f>
        <v/>
      </c>
      <c r="V277" t="str">
        <f>IFERROR(INDEX('Draft Log'!$A$2:$A$301,MATCH(D277,'Draft Log'!$B$2:$B$301,0)),"")</f>
        <v/>
      </c>
      <c r="W277" t="str">
        <f>IFERROR(INDEX('Draft Log'!$C$2:$C$301,MATCH(D277,'Draft Log'!$B$2:$B$301,0)),"")</f>
        <v/>
      </c>
    </row>
    <row r="278" spans="1:23">
      <c r="A278">
        <f t="shared" si="37"/>
        <v>275</v>
      </c>
      <c r="D278" t="str">
        <f>IF($D$1="ESPN",INDEX(Table2[Mapped Name],MATCH('Rankings Master'!$A278,Table2[Overall Rank],0)),IF('Rankings Master'!$D$1="NFL.com",INDEX(Table3[Name Clean],MATCH('Rankings Master'!$A278,Table3[Rank],0)),IF('Rankings Master'!$D$1="Sleeper",INDEX(Sleeper!$B$2:$B$201,MATCH('Rankings Master'!$A278,Sleeper!$A$2:$A$201,0)),"Need platform")))</f>
        <v>Tory Horton</v>
      </c>
      <c r="E278" t="str">
        <f>IF($D$1="ESPN",INDEX(Table2[Position],MATCH('Rankings Master'!$A278,Table2[Overall Rank],0)),IF('Rankings Master'!$D$1="NFL.com",INDEX(Table3[Position],MATCH('Rankings Master'!$A278,Table3[Rank],0)),INDEX(Sleeper!$C$2:$C$201,MATCH('Rankings Master'!A278,Sleeper!$A$2:$A$201,0))))</f>
        <v>WR</v>
      </c>
      <c r="F278">
        <f>INDEX(Table4[RK],MATCH('Rankings Master'!D278,Table4[PLAYER NAME],0))</f>
        <v>269</v>
      </c>
      <c r="G278">
        <f t="shared" si="34"/>
        <v>6</v>
      </c>
      <c r="H278">
        <f t="shared" si="35"/>
        <v>2.2304832713754646E-2</v>
      </c>
      <c r="I278" t="str">
        <f t="shared" si="33"/>
        <v>Slightly Undervalued</v>
      </c>
      <c r="J278" t="str">
        <f t="shared" si="36"/>
        <v/>
      </c>
      <c r="M278" t="str">
        <f>IFERROR(INDEX(PlayerSummaryTable[Rushing Yds],MATCH('Rankings Master'!D278,PlayerSummaryTable[Player],0)),"")</f>
        <v/>
      </c>
      <c r="N278" t="str">
        <f>IFERROR(INDEX(PlayerSummaryTable[Receiving Yds],MATCH('Rankings Master'!D278,PlayerSummaryTable[Player],0)),"")</f>
        <v/>
      </c>
      <c r="O278" t="str">
        <f>IFERROR(INDEX(PlayerSummaryTable[Passing Yds],MATCH('Rankings Master'!D278,PlayerSummaryTable[Player],0)),"")</f>
        <v/>
      </c>
      <c r="U278" t="str">
        <f>IF(COUNTIF('Draft Log'!$B$2:$B$301,D278)&gt;0,"DRAFTED","")</f>
        <v/>
      </c>
      <c r="V278" t="str">
        <f>IFERROR(INDEX('Draft Log'!$A$2:$A$301,MATCH(D278,'Draft Log'!$B$2:$B$301,0)),"")</f>
        <v/>
      </c>
      <c r="W278" t="str">
        <f>IFERROR(INDEX('Draft Log'!$C$2:$C$301,MATCH(D278,'Draft Log'!$B$2:$B$301,0)),"")</f>
        <v/>
      </c>
    </row>
    <row r="279" spans="1:23">
      <c r="A279">
        <f t="shared" si="37"/>
        <v>276</v>
      </c>
      <c r="D279" t="str">
        <f>IF($D$1="ESPN",INDEX(Table2[Mapped Name],MATCH('Rankings Master'!$A279,Table2[Overall Rank],0)),IF('Rankings Master'!$D$1="NFL.com",INDEX(Table3[Name Clean],MATCH('Rankings Master'!$A279,Table3[Rank],0)),IF('Rankings Master'!$D$1="Sleeper",INDEX(Sleeper!$B$2:$B$201,MATCH('Rankings Master'!$A279,Sleeper!$A$2:$A$201,0)),"Need platform")))</f>
        <v>Kendre Miller</v>
      </c>
      <c r="E279" t="str">
        <f>IF($D$1="ESPN",INDEX(Table2[Position],MATCH('Rankings Master'!$A279,Table2[Overall Rank],0)),IF('Rankings Master'!$D$1="NFL.com",INDEX(Table3[Position],MATCH('Rankings Master'!$A279,Table3[Rank],0)),INDEX(Sleeper!$C$2:$C$201,MATCH('Rankings Master'!A279,Sleeper!$A$2:$A$201,0))))</f>
        <v>RB</v>
      </c>
      <c r="F279">
        <f>INDEX(Table4[RK],MATCH('Rankings Master'!D279,Table4[PLAYER NAME],0))</f>
        <v>266</v>
      </c>
      <c r="G279">
        <f t="shared" si="34"/>
        <v>10</v>
      </c>
      <c r="H279">
        <f t="shared" si="35"/>
        <v>3.7593984962406013E-2</v>
      </c>
      <c r="I279" t="str">
        <f t="shared" si="33"/>
        <v>Slightly Undervalued</v>
      </c>
      <c r="J279" t="str">
        <f t="shared" si="36"/>
        <v/>
      </c>
      <c r="M279" t="str">
        <f>IFERROR(INDEX(PlayerSummaryTable[Rushing Yds],MATCH('Rankings Master'!D279,PlayerSummaryTable[Player],0)),"")</f>
        <v/>
      </c>
      <c r="N279" t="str">
        <f>IFERROR(INDEX(PlayerSummaryTable[Receiving Yds],MATCH('Rankings Master'!D279,PlayerSummaryTable[Player],0)),"")</f>
        <v/>
      </c>
      <c r="O279" t="str">
        <f>IFERROR(INDEX(PlayerSummaryTable[Passing Yds],MATCH('Rankings Master'!D279,PlayerSummaryTable[Player],0)),"")</f>
        <v/>
      </c>
      <c r="U279" t="str">
        <f>IF(COUNTIF('Draft Log'!$B$2:$B$301,D279)&gt;0,"DRAFTED","")</f>
        <v/>
      </c>
      <c r="V279" t="str">
        <f>IFERROR(INDEX('Draft Log'!$A$2:$A$301,MATCH(D279,'Draft Log'!$B$2:$B$301,0)),"")</f>
        <v/>
      </c>
      <c r="W279" t="str">
        <f>IFERROR(INDEX('Draft Log'!$C$2:$C$301,MATCH(D279,'Draft Log'!$B$2:$B$301,0)),"")</f>
        <v/>
      </c>
    </row>
    <row r="280" spans="1:23">
      <c r="A280">
        <f t="shared" si="37"/>
        <v>277</v>
      </c>
      <c r="D280" t="str">
        <f>IF($D$1="ESPN",INDEX(Table2[Mapped Name],MATCH('Rankings Master'!$A280,Table2[Overall Rank],0)),IF('Rankings Master'!$D$1="NFL.com",INDEX(Table3[Name Clean],MATCH('Rankings Master'!$A280,Table3[Rank],0)),IF('Rankings Master'!$D$1="Sleeper",INDEX(Sleeper!$B$2:$B$201,MATCH('Rankings Master'!$A280,Sleeper!$A$2:$A$201,0)),"Need platform")))</f>
        <v>Tahj Brooks</v>
      </c>
      <c r="E280" t="str">
        <f>IF($D$1="ESPN",INDEX(Table2[Position],MATCH('Rankings Master'!$A280,Table2[Overall Rank],0)),IF('Rankings Master'!$D$1="NFL.com",INDEX(Table3[Position],MATCH('Rankings Master'!$A280,Table3[Rank],0)),INDEX(Sleeper!$C$2:$C$201,MATCH('Rankings Master'!A280,Sleeper!$A$2:$A$201,0))))</f>
        <v>RB</v>
      </c>
      <c r="F280">
        <f>INDEX(Table4[RK],MATCH('Rankings Master'!D280,Table4[PLAYER NAME],0))</f>
        <v>319</v>
      </c>
      <c r="G280">
        <f t="shared" si="34"/>
        <v>-42</v>
      </c>
      <c r="H280">
        <f t="shared" si="35"/>
        <v>-0.13166144200626959</v>
      </c>
      <c r="I280" t="str">
        <f t="shared" si="33"/>
        <v>Slightly Overvalued</v>
      </c>
      <c r="J280" t="str">
        <f t="shared" si="36"/>
        <v/>
      </c>
      <c r="M280" t="str">
        <f>IFERROR(INDEX(PlayerSummaryTable[Rushing Yds],MATCH('Rankings Master'!D280,PlayerSummaryTable[Player],0)),"")</f>
        <v/>
      </c>
      <c r="N280" t="str">
        <f>IFERROR(INDEX(PlayerSummaryTable[Receiving Yds],MATCH('Rankings Master'!D280,PlayerSummaryTable[Player],0)),"")</f>
        <v/>
      </c>
      <c r="O280" t="str">
        <f>IFERROR(INDEX(PlayerSummaryTable[Passing Yds],MATCH('Rankings Master'!D280,PlayerSummaryTable[Player],0)),"")</f>
        <v/>
      </c>
      <c r="U280" t="str">
        <f>IF(COUNTIF('Draft Log'!$B$2:$B$301,D280)&gt;0,"DRAFTED","")</f>
        <v/>
      </c>
      <c r="V280" t="str">
        <f>IFERROR(INDEX('Draft Log'!$A$2:$A$301,MATCH(D280,'Draft Log'!$B$2:$B$301,0)),"")</f>
        <v/>
      </c>
      <c r="W280" t="str">
        <f>IFERROR(INDEX('Draft Log'!$C$2:$C$301,MATCH(D280,'Draft Log'!$B$2:$B$301,0)),"")</f>
        <v/>
      </c>
    </row>
    <row r="281" spans="1:23">
      <c r="A281">
        <f t="shared" si="37"/>
        <v>278</v>
      </c>
      <c r="D281" t="str">
        <f>IF($D$1="ESPN",INDEX(Table2[Mapped Name],MATCH('Rankings Master'!$A281,Table2[Overall Rank],0)),IF('Rankings Master'!$D$1="NFL.com",INDEX(Table3[Name Clean],MATCH('Rankings Master'!$A281,Table3[Rank],0)),IF('Rankings Master'!$D$1="Sleeper",INDEX(Sleeper!$B$2:$B$201,MATCH('Rankings Master'!$A281,Sleeper!$A$2:$A$201,0)),"Need platform")))</f>
        <v>Demond Claiborne</v>
      </c>
      <c r="E281" t="str">
        <f>IF($D$1="ESPN",INDEX(Table2[Position],MATCH('Rankings Master'!$A281,Table2[Overall Rank],0)),IF('Rankings Master'!$D$1="NFL.com",INDEX(Table3[Position],MATCH('Rankings Master'!$A281,Table3[Rank],0)),INDEX(Sleeper!$C$2:$C$201,MATCH('Rankings Master'!A281,Sleeper!$A$2:$A$201,0))))</f>
        <v>RB</v>
      </c>
      <c r="F281">
        <f>INDEX(Table4[RK],MATCH('Rankings Master'!D281,Table4[PLAYER NAME],0))</f>
        <v>253</v>
      </c>
      <c r="G281">
        <f t="shared" si="34"/>
        <v>25</v>
      </c>
      <c r="H281">
        <f t="shared" si="35"/>
        <v>9.8814229249011856E-2</v>
      </c>
      <c r="I281" t="str">
        <f t="shared" si="33"/>
        <v>Slightly Undervalued</v>
      </c>
      <c r="J281" t="str">
        <f t="shared" si="36"/>
        <v/>
      </c>
      <c r="M281" t="str">
        <f>IFERROR(INDEX(PlayerSummaryTable[Rushing Yds],MATCH('Rankings Master'!D281,PlayerSummaryTable[Player],0)),"")</f>
        <v/>
      </c>
      <c r="N281" t="str">
        <f>IFERROR(INDEX(PlayerSummaryTable[Receiving Yds],MATCH('Rankings Master'!D281,PlayerSummaryTable[Player],0)),"")</f>
        <v/>
      </c>
      <c r="O281" t="str">
        <f>IFERROR(INDEX(PlayerSummaryTable[Passing Yds],MATCH('Rankings Master'!D281,PlayerSummaryTable[Player],0)),"")</f>
        <v/>
      </c>
      <c r="U281" t="str">
        <f>IF(COUNTIF('Draft Log'!$B$2:$B$301,D281)&gt;0,"DRAFTED","")</f>
        <v/>
      </c>
      <c r="V281" t="str">
        <f>IFERROR(INDEX('Draft Log'!$A$2:$A$301,MATCH(D281,'Draft Log'!$B$2:$B$301,0)),"")</f>
        <v/>
      </c>
      <c r="W281" t="str">
        <f>IFERROR(INDEX('Draft Log'!$C$2:$C$301,MATCH(D281,'Draft Log'!$B$2:$B$301,0)),"")</f>
        <v/>
      </c>
    </row>
    <row r="282" spans="1:23">
      <c r="A282">
        <f t="shared" si="37"/>
        <v>279</v>
      </c>
      <c r="D282" t="e">
        <f>IF($D$1="ESPN",INDEX(Table2[Mapped Name],MATCH('Rankings Master'!$A282,Table2[Overall Rank],0)),IF('Rankings Master'!$D$1="NFL.com",INDEX(Table3[Name Clean],MATCH('Rankings Master'!$A282,Table3[Rank],0)),IF('Rankings Master'!$D$1="Sleeper",INDEX(Sleeper!$B$2:$B$201,MATCH('Rankings Master'!$A282,Sleeper!$A$2:$A$201,0)),"Need platform")))</f>
        <v>#N/A</v>
      </c>
      <c r="E282" t="str">
        <f>IF($D$1="ESPN",INDEX(Table2[Position],MATCH('Rankings Master'!$A282,Table2[Overall Rank],0)),IF('Rankings Master'!$D$1="NFL.com",INDEX(Table3[Position],MATCH('Rankings Master'!$A282,Table3[Rank],0)),INDEX(Sleeper!$C$2:$C$201,MATCH('Rankings Master'!A282,Sleeper!$A$2:$A$201,0))))</f>
        <v>RB</v>
      </c>
      <c r="F282" t="e">
        <f>INDEX(Table4[RK],MATCH('Rankings Master'!D282,Table4[PLAYER NAME],0))</f>
        <v>#N/A</v>
      </c>
      <c r="G282" t="e">
        <f t="shared" si="34"/>
        <v>#N/A</v>
      </c>
      <c r="H282" t="e">
        <f t="shared" si="35"/>
        <v>#N/A</v>
      </c>
      <c r="I282" t="e">
        <f t="shared" si="33"/>
        <v>#N/A</v>
      </c>
      <c r="J282" t="str">
        <f t="shared" si="36"/>
        <v/>
      </c>
      <c r="M282" t="str">
        <f>IFERROR(INDEX(PlayerSummaryTable[Rushing Yds],MATCH('Rankings Master'!D282,PlayerSummaryTable[Player],0)),"")</f>
        <v/>
      </c>
      <c r="N282" t="str">
        <f>IFERROR(INDEX(PlayerSummaryTable[Receiving Yds],MATCH('Rankings Master'!D282,PlayerSummaryTable[Player],0)),"")</f>
        <v/>
      </c>
      <c r="O282" t="str">
        <f>IFERROR(INDEX(PlayerSummaryTable[Passing Yds],MATCH('Rankings Master'!D282,PlayerSummaryTable[Player],0)),"")</f>
        <v/>
      </c>
      <c r="U282" t="str">
        <f>IF(COUNTIF('Draft Log'!$B$2:$B$301,D282)&gt;0,"DRAFTED","")</f>
        <v/>
      </c>
      <c r="V282" t="str">
        <f>IFERROR(INDEX('Draft Log'!$A$2:$A$301,MATCH(D282,'Draft Log'!$B$2:$B$301,0)),"")</f>
        <v/>
      </c>
      <c r="W282" t="str">
        <f>IFERROR(INDEX('Draft Log'!$C$2:$C$301,MATCH(D282,'Draft Log'!$B$2:$B$301,0)),"")</f>
        <v/>
      </c>
    </row>
    <row r="283" spans="1:23">
      <c r="A283">
        <f t="shared" si="37"/>
        <v>280</v>
      </c>
      <c r="D283" t="str">
        <f>IF($D$1="ESPN",INDEX(Table2[Mapped Name],MATCH('Rankings Master'!$A283,Table2[Overall Rank],0)),IF('Rankings Master'!$D$1="NFL.com",INDEX(Table3[Name Clean],MATCH('Rankings Master'!$A283,Table3[Rank],0)),IF('Rankings Master'!$D$1="Sleeper",INDEX(Sleeper!$B$2:$B$201,MATCH('Rankings Master'!$A283,Sleeper!$A$2:$A$201,0)),"Need platform")))</f>
        <v>Kaytron Allen</v>
      </c>
      <c r="E283" t="str">
        <f>IF($D$1="ESPN",INDEX(Table2[Position],MATCH('Rankings Master'!$A283,Table2[Overall Rank],0)),IF('Rankings Master'!$D$1="NFL.com",INDEX(Table3[Position],MATCH('Rankings Master'!$A283,Table3[Rank],0)),INDEX(Sleeper!$C$2:$C$201,MATCH('Rankings Master'!A283,Sleeper!$A$2:$A$201,0))))</f>
        <v>RB</v>
      </c>
      <c r="F283">
        <f>INDEX(Table4[RK],MATCH('Rankings Master'!D283,Table4[PLAYER NAME],0))</f>
        <v>207</v>
      </c>
      <c r="G283">
        <f t="shared" si="34"/>
        <v>73</v>
      </c>
      <c r="H283">
        <f t="shared" si="35"/>
        <v>0.35265700483091789</v>
      </c>
      <c r="I283" t="str">
        <f t="shared" si="33"/>
        <v>Pretty Undervalued</v>
      </c>
      <c r="J283" t="str">
        <f t="shared" si="36"/>
        <v/>
      </c>
      <c r="M283" t="str">
        <f>IFERROR(INDEX(PlayerSummaryTable[Rushing Yds],MATCH('Rankings Master'!D283,PlayerSummaryTable[Player],0)),"")</f>
        <v/>
      </c>
      <c r="N283" t="str">
        <f>IFERROR(INDEX(PlayerSummaryTable[Receiving Yds],MATCH('Rankings Master'!D283,PlayerSummaryTable[Player],0)),"")</f>
        <v/>
      </c>
      <c r="O283" t="str">
        <f>IFERROR(INDEX(PlayerSummaryTable[Passing Yds],MATCH('Rankings Master'!D283,PlayerSummaryTable[Player],0)),"")</f>
        <v/>
      </c>
      <c r="U283" t="str">
        <f>IF(COUNTIF('Draft Log'!$B$2:$B$301,D283)&gt;0,"DRAFTED","")</f>
        <v/>
      </c>
      <c r="V283" t="str">
        <f>IFERROR(INDEX('Draft Log'!$A$2:$A$301,MATCH(D283,'Draft Log'!$B$2:$B$301,0)),"")</f>
        <v/>
      </c>
      <c r="W283" t="str">
        <f>IFERROR(INDEX('Draft Log'!$C$2:$C$301,MATCH(D283,'Draft Log'!$B$2:$B$301,0)),"")</f>
        <v/>
      </c>
    </row>
    <row r="284" spans="1:23">
      <c r="A284">
        <f t="shared" si="37"/>
        <v>281</v>
      </c>
      <c r="D284" t="str">
        <f>IF($D$1="ESPN",INDEX(Table2[Mapped Name],MATCH('Rankings Master'!$A284,Table2[Overall Rank],0)),IF('Rankings Master'!$D$1="NFL.com",INDEX(Table3[Name Clean],MATCH('Rankings Master'!$A284,Table3[Rank],0)),IF('Rankings Master'!$D$1="Sleeper",INDEX(Sleeper!$B$2:$B$201,MATCH('Rankings Master'!$A284,Sleeper!$A$2:$A$201,0)),"Need platform")))</f>
        <v>DJ Giddens</v>
      </c>
      <c r="E284" t="str">
        <f>IF($D$1="ESPN",INDEX(Table2[Position],MATCH('Rankings Master'!$A284,Table2[Overall Rank],0)),IF('Rankings Master'!$D$1="NFL.com",INDEX(Table3[Position],MATCH('Rankings Master'!$A284,Table3[Rank],0)),INDEX(Sleeper!$C$2:$C$201,MATCH('Rankings Master'!A284,Sleeper!$A$2:$A$201,0))))</f>
        <v>RB</v>
      </c>
      <c r="F284">
        <f>INDEX(Table4[RK],MATCH('Rankings Master'!D284,Table4[PLAYER NAME],0))</f>
        <v>280</v>
      </c>
      <c r="G284">
        <f t="shared" si="34"/>
        <v>1</v>
      </c>
      <c r="H284">
        <f t="shared" si="35"/>
        <v>3.5714285714285713E-3</v>
      </c>
      <c r="I284" t="str">
        <f t="shared" si="33"/>
        <v>Slightly Undervalued</v>
      </c>
      <c r="J284" t="str">
        <f t="shared" si="36"/>
        <v/>
      </c>
      <c r="M284" t="str">
        <f>IFERROR(INDEX(PlayerSummaryTable[Rushing Yds],MATCH('Rankings Master'!D284,PlayerSummaryTable[Player],0)),"")</f>
        <v/>
      </c>
      <c r="N284" t="str">
        <f>IFERROR(INDEX(PlayerSummaryTable[Receiving Yds],MATCH('Rankings Master'!D284,PlayerSummaryTable[Player],0)),"")</f>
        <v/>
      </c>
      <c r="O284" t="str">
        <f>IFERROR(INDEX(PlayerSummaryTable[Passing Yds],MATCH('Rankings Master'!D284,PlayerSummaryTable[Player],0)),"")</f>
        <v/>
      </c>
      <c r="U284" t="str">
        <f>IF(COUNTIF('Draft Log'!$B$2:$B$301,D284)&gt;0,"DRAFTED","")</f>
        <v/>
      </c>
      <c r="V284" t="str">
        <f>IFERROR(INDEX('Draft Log'!$A$2:$A$301,MATCH(D284,'Draft Log'!$B$2:$B$301,0)),"")</f>
        <v/>
      </c>
      <c r="W284" t="str">
        <f>IFERROR(INDEX('Draft Log'!$C$2:$C$301,MATCH(D284,'Draft Log'!$B$2:$B$301,0)),"")</f>
        <v/>
      </c>
    </row>
    <row r="285" spans="1:23">
      <c r="A285">
        <f t="shared" si="37"/>
        <v>282</v>
      </c>
      <c r="D285" t="e">
        <f>IF($D$1="ESPN",INDEX(Table2[Mapped Name],MATCH('Rankings Master'!$A285,Table2[Overall Rank],0)),IF('Rankings Master'!$D$1="NFL.com",INDEX(Table3[Name Clean],MATCH('Rankings Master'!$A285,Table3[Rank],0)),IF('Rankings Master'!$D$1="Sleeper",INDEX(Sleeper!$B$2:$B$201,MATCH('Rankings Master'!$A285,Sleeper!$A$2:$A$201,0)),"Need platform")))</f>
        <v>#N/A</v>
      </c>
      <c r="E285" t="str">
        <f>IF($D$1="ESPN",INDEX(Table2[Position],MATCH('Rankings Master'!$A285,Table2[Overall Rank],0)),IF('Rankings Master'!$D$1="NFL.com",INDEX(Table3[Position],MATCH('Rankings Master'!$A285,Table3[Rank],0)),INDEX(Sleeper!$C$2:$C$201,MATCH('Rankings Master'!A285,Sleeper!$A$2:$A$201,0))))</f>
        <v>RB</v>
      </c>
      <c r="F285" t="e">
        <f>INDEX(Table4[RK],MATCH('Rankings Master'!D285,Table4[PLAYER NAME],0))</f>
        <v>#N/A</v>
      </c>
      <c r="G285" t="e">
        <f t="shared" si="34"/>
        <v>#N/A</v>
      </c>
      <c r="H285" t="e">
        <f t="shared" si="35"/>
        <v>#N/A</v>
      </c>
      <c r="I285" t="e">
        <f t="shared" si="33"/>
        <v>#N/A</v>
      </c>
      <c r="J285" t="str">
        <f t="shared" si="36"/>
        <v/>
      </c>
      <c r="M285" t="str">
        <f>IFERROR(INDEX(PlayerSummaryTable[Rushing Yds],MATCH('Rankings Master'!D285,PlayerSummaryTable[Player],0)),"")</f>
        <v/>
      </c>
      <c r="N285" t="str">
        <f>IFERROR(INDEX(PlayerSummaryTable[Receiving Yds],MATCH('Rankings Master'!D285,PlayerSummaryTable[Player],0)),"")</f>
        <v/>
      </c>
      <c r="O285" t="str">
        <f>IFERROR(INDEX(PlayerSummaryTable[Passing Yds],MATCH('Rankings Master'!D285,PlayerSummaryTable[Player],0)),"")</f>
        <v/>
      </c>
      <c r="U285" t="str">
        <f>IF(COUNTIF('Draft Log'!$B$2:$B$301,D285)&gt;0,"DRAFTED","")</f>
        <v/>
      </c>
      <c r="V285" t="str">
        <f>IFERROR(INDEX('Draft Log'!$A$2:$A$301,MATCH(D285,'Draft Log'!$B$2:$B$301,0)),"")</f>
        <v/>
      </c>
      <c r="W285" t="str">
        <f>IFERROR(INDEX('Draft Log'!$C$2:$C$301,MATCH(D285,'Draft Log'!$B$2:$B$301,0)),"")</f>
        <v/>
      </c>
    </row>
    <row r="286" spans="1:23">
      <c r="A286">
        <f t="shared" si="37"/>
        <v>283</v>
      </c>
      <c r="D286" t="e">
        <f>IF($D$1="ESPN",INDEX(Table2[Mapped Name],MATCH('Rankings Master'!$A286,Table2[Overall Rank],0)),IF('Rankings Master'!$D$1="NFL.com",INDEX(Table3[Name Clean],MATCH('Rankings Master'!$A286,Table3[Rank],0)),IF('Rankings Master'!$D$1="Sleeper",INDEX(Sleeper!$B$2:$B$201,MATCH('Rankings Master'!$A286,Sleeper!$A$2:$A$201,0)),"Need platform")))</f>
        <v>#N/A</v>
      </c>
      <c r="E286" t="str">
        <f>IF($D$1="ESPN",INDEX(Table2[Position],MATCH('Rankings Master'!$A286,Table2[Overall Rank],0)),IF('Rankings Master'!$D$1="NFL.com",INDEX(Table3[Position],MATCH('Rankings Master'!$A286,Table3[Rank],0)),INDEX(Sleeper!$C$2:$C$201,MATCH('Rankings Master'!A286,Sleeper!$A$2:$A$201,0))))</f>
        <v>RB</v>
      </c>
      <c r="F286" t="e">
        <f>INDEX(Table4[RK],MATCH('Rankings Master'!D286,Table4[PLAYER NAME],0))</f>
        <v>#N/A</v>
      </c>
      <c r="G286" t="e">
        <f t="shared" si="34"/>
        <v>#N/A</v>
      </c>
      <c r="H286" t="e">
        <f t="shared" si="35"/>
        <v>#N/A</v>
      </c>
      <c r="I286" t="e">
        <f t="shared" si="33"/>
        <v>#N/A</v>
      </c>
      <c r="J286" t="str">
        <f t="shared" si="36"/>
        <v/>
      </c>
      <c r="M286" t="str">
        <f>IFERROR(INDEX(PlayerSummaryTable[Rushing Yds],MATCH('Rankings Master'!D286,PlayerSummaryTable[Player],0)),"")</f>
        <v/>
      </c>
      <c r="N286" t="str">
        <f>IFERROR(INDEX(PlayerSummaryTable[Receiving Yds],MATCH('Rankings Master'!D286,PlayerSummaryTable[Player],0)),"")</f>
        <v/>
      </c>
      <c r="O286" t="str">
        <f>IFERROR(INDEX(PlayerSummaryTable[Passing Yds],MATCH('Rankings Master'!D286,PlayerSummaryTable[Player],0)),"")</f>
        <v/>
      </c>
      <c r="U286" t="str">
        <f>IF(COUNTIF('Draft Log'!$B$2:$B$301,D286)&gt;0,"DRAFTED","")</f>
        <v/>
      </c>
      <c r="V286" t="str">
        <f>IFERROR(INDEX('Draft Log'!$A$2:$A$301,MATCH(D286,'Draft Log'!$B$2:$B$301,0)),"")</f>
        <v/>
      </c>
      <c r="W286" t="str">
        <f>IFERROR(INDEX('Draft Log'!$C$2:$C$301,MATCH(D286,'Draft Log'!$B$2:$B$301,0)),"")</f>
        <v/>
      </c>
    </row>
    <row r="287" spans="1:23">
      <c r="A287">
        <f t="shared" si="37"/>
        <v>284</v>
      </c>
      <c r="D287" t="str">
        <f>IF($D$1="ESPN",INDEX(Table2[Mapped Name],MATCH('Rankings Master'!$A287,Table2[Overall Rank],0)),IF('Rankings Master'!$D$1="NFL.com",INDEX(Table3[Name Clean],MATCH('Rankings Master'!$A287,Table3[Rank],0)),IF('Rankings Master'!$D$1="Sleeper",INDEX(Sleeper!$B$2:$B$201,MATCH('Rankings Master'!$A287,Sleeper!$A$2:$A$201,0)),"Need platform")))</f>
        <v>Ted Hurst III</v>
      </c>
      <c r="E287" t="str">
        <f>IF($D$1="ESPN",INDEX(Table2[Position],MATCH('Rankings Master'!$A287,Table2[Overall Rank],0)),IF('Rankings Master'!$D$1="NFL.com",INDEX(Table3[Position],MATCH('Rankings Master'!$A287,Table3[Rank],0)),INDEX(Sleeper!$C$2:$C$201,MATCH('Rankings Master'!A287,Sleeper!$A$2:$A$201,0))))</f>
        <v>WR</v>
      </c>
      <c r="F287">
        <f>INDEX(Table4[RK],MATCH('Rankings Master'!D287,Table4[PLAYER NAME],0))</f>
        <v>250</v>
      </c>
      <c r="G287">
        <f t="shared" si="34"/>
        <v>34</v>
      </c>
      <c r="H287">
        <f t="shared" si="35"/>
        <v>0.13600000000000001</v>
      </c>
      <c r="I287" t="str">
        <f t="shared" si="33"/>
        <v>Slightly Undervalued</v>
      </c>
      <c r="J287" t="str">
        <f t="shared" si="36"/>
        <v/>
      </c>
      <c r="M287" t="str">
        <f>IFERROR(INDEX(PlayerSummaryTable[Rushing Yds],MATCH('Rankings Master'!D287,PlayerSummaryTable[Player],0)),"")</f>
        <v/>
      </c>
      <c r="N287" t="str">
        <f>IFERROR(INDEX(PlayerSummaryTable[Receiving Yds],MATCH('Rankings Master'!D287,PlayerSummaryTable[Player],0)),"")</f>
        <v/>
      </c>
      <c r="O287" t="str">
        <f>IFERROR(INDEX(PlayerSummaryTable[Passing Yds],MATCH('Rankings Master'!D287,PlayerSummaryTable[Player],0)),"")</f>
        <v/>
      </c>
      <c r="U287" t="str">
        <f>IF(COUNTIF('Draft Log'!$B$2:$B$301,D287)&gt;0,"DRAFTED","")</f>
        <v/>
      </c>
      <c r="V287" t="str">
        <f>IFERROR(INDEX('Draft Log'!$A$2:$A$301,MATCH(D287,'Draft Log'!$B$2:$B$301,0)),"")</f>
        <v/>
      </c>
      <c r="W287" t="str">
        <f>IFERROR(INDEX('Draft Log'!$C$2:$C$301,MATCH(D287,'Draft Log'!$B$2:$B$301,0)),"")</f>
        <v/>
      </c>
    </row>
    <row r="288" spans="1:23">
      <c r="A288">
        <f t="shared" si="37"/>
        <v>285</v>
      </c>
      <c r="D288" t="str">
        <f>IF($D$1="ESPN",INDEX(Table2[Mapped Name],MATCH('Rankings Master'!$A288,Table2[Overall Rank],0)),IF('Rankings Master'!$D$1="NFL.com",INDEX(Table3[Name Clean],MATCH('Rankings Master'!$A288,Table3[Rank],0)),IF('Rankings Master'!$D$1="Sleeper",INDEX(Sleeper!$B$2:$B$201,MATCH('Rankings Master'!$A288,Sleeper!$A$2:$A$201,0)),"Need platform")))</f>
        <v>New York Jets</v>
      </c>
      <c r="E288" t="str">
        <f>IF($D$1="ESPN",INDEX(Table2[Position],MATCH('Rankings Master'!$A288,Table2[Overall Rank],0)),IF('Rankings Master'!$D$1="NFL.com",INDEX(Table3[Position],MATCH('Rankings Master'!$A288,Table3[Rank],0)),INDEX(Sleeper!$C$2:$C$201,MATCH('Rankings Master'!A288,Sleeper!$A$2:$A$201,0))))</f>
        <v>DST</v>
      </c>
      <c r="F288" t="e">
        <f>INDEX(Table4[RK],MATCH('Rankings Master'!D288,Table4[PLAYER NAME],0))</f>
        <v>#N/A</v>
      </c>
      <c r="G288" t="e">
        <f t="shared" si="34"/>
        <v>#N/A</v>
      </c>
      <c r="H288" t="e">
        <f t="shared" si="35"/>
        <v>#N/A</v>
      </c>
      <c r="I288" t="e">
        <f t="shared" si="33"/>
        <v>#N/A</v>
      </c>
      <c r="J288" t="str">
        <f t="shared" si="36"/>
        <v/>
      </c>
      <c r="M288" t="str">
        <f>IFERROR(INDEX(PlayerSummaryTable[Rushing Yds],MATCH('Rankings Master'!D288,PlayerSummaryTable[Player],0)),"")</f>
        <v/>
      </c>
      <c r="N288" t="str">
        <f>IFERROR(INDEX(PlayerSummaryTable[Receiving Yds],MATCH('Rankings Master'!D288,PlayerSummaryTable[Player],0)),"")</f>
        <v/>
      </c>
      <c r="O288" t="str">
        <f>IFERROR(INDEX(PlayerSummaryTable[Passing Yds],MATCH('Rankings Master'!D288,PlayerSummaryTable[Player],0)),"")</f>
        <v/>
      </c>
      <c r="U288" t="str">
        <f>IF(COUNTIF('Draft Log'!$B$2:$B$301,D288)&gt;0,"DRAFTED","")</f>
        <v/>
      </c>
      <c r="V288" t="str">
        <f>IFERROR(INDEX('Draft Log'!$A$2:$A$301,MATCH(D288,'Draft Log'!$B$2:$B$301,0)),"")</f>
        <v/>
      </c>
      <c r="W288" t="str">
        <f>IFERROR(INDEX('Draft Log'!$C$2:$C$301,MATCH(D288,'Draft Log'!$B$2:$B$301,0)),"")</f>
        <v/>
      </c>
    </row>
    <row r="289" spans="1:23">
      <c r="A289">
        <f t="shared" si="37"/>
        <v>286</v>
      </c>
      <c r="D289" t="str">
        <f>IF($D$1="ESPN",INDEX(Table2[Mapped Name],MATCH('Rankings Master'!$A289,Table2[Overall Rank],0)),IF('Rankings Master'!$D$1="NFL.com",INDEX(Table3[Name Clean],MATCH('Rankings Master'!$A289,Table3[Rank],0)),IF('Rankings Master'!$D$1="Sleeper",INDEX(Sleeper!$B$2:$B$201,MATCH('Rankings Master'!$A289,Sleeper!$A$2:$A$201,0)),"Need platform")))</f>
        <v>San Francisco 49ers</v>
      </c>
      <c r="E289" t="str">
        <f>IF($D$1="ESPN",INDEX(Table2[Position],MATCH('Rankings Master'!$A289,Table2[Overall Rank],0)),IF('Rankings Master'!$D$1="NFL.com",INDEX(Table3[Position],MATCH('Rankings Master'!$A289,Table3[Rank],0)),INDEX(Sleeper!$C$2:$C$201,MATCH('Rankings Master'!A289,Sleeper!$A$2:$A$201,0))))</f>
        <v>DST</v>
      </c>
      <c r="F289">
        <f>INDEX(Table4[RK],MATCH('Rankings Master'!D289,Table4[PLAYER NAME],0))</f>
        <v>286</v>
      </c>
      <c r="G289">
        <f t="shared" si="34"/>
        <v>0</v>
      </c>
      <c r="H289">
        <f t="shared" si="35"/>
        <v>0</v>
      </c>
      <c r="I289" t="str">
        <f t="shared" si="33"/>
        <v>At ADP</v>
      </c>
      <c r="J289" t="str">
        <f t="shared" si="36"/>
        <v/>
      </c>
      <c r="M289" t="str">
        <f>IFERROR(INDEX(PlayerSummaryTable[Rushing Yds],MATCH('Rankings Master'!D289,PlayerSummaryTable[Player],0)),"")</f>
        <v/>
      </c>
      <c r="N289" t="str">
        <f>IFERROR(INDEX(PlayerSummaryTable[Receiving Yds],MATCH('Rankings Master'!D289,PlayerSummaryTable[Player],0)),"")</f>
        <v/>
      </c>
      <c r="O289" t="str">
        <f>IFERROR(INDEX(PlayerSummaryTable[Passing Yds],MATCH('Rankings Master'!D289,PlayerSummaryTable[Player],0)),"")</f>
        <v/>
      </c>
      <c r="U289" t="str">
        <f>IF(COUNTIF('Draft Log'!$B$2:$B$301,D289)&gt;0,"DRAFTED","")</f>
        <v/>
      </c>
      <c r="V289" t="str">
        <f>IFERROR(INDEX('Draft Log'!$A$2:$A$301,MATCH(D289,'Draft Log'!$B$2:$B$301,0)),"")</f>
        <v/>
      </c>
      <c r="W289" t="str">
        <f>IFERROR(INDEX('Draft Log'!$C$2:$C$301,MATCH(D289,'Draft Log'!$B$2:$B$301,0)),"")</f>
        <v/>
      </c>
    </row>
    <row r="290" spans="1:23">
      <c r="A290">
        <f t="shared" si="37"/>
        <v>287</v>
      </c>
      <c r="D290" t="str">
        <f>IF($D$1="ESPN",INDEX(Table2[Mapped Name],MATCH('Rankings Master'!$A290,Table2[Overall Rank],0)),IF('Rankings Master'!$D$1="NFL.com",INDEX(Table3[Name Clean],MATCH('Rankings Master'!$A290,Table3[Rank],0)),IF('Rankings Master'!$D$1="Sleeper",INDEX(Sleeper!$B$2:$B$201,MATCH('Rankings Master'!$A290,Sleeper!$A$2:$A$201,0)),"Need platform")))</f>
        <v>Trey Smack</v>
      </c>
      <c r="E290" t="str">
        <f>IF($D$1="ESPN",INDEX(Table2[Position],MATCH('Rankings Master'!$A290,Table2[Overall Rank],0)),IF('Rankings Master'!$D$1="NFL.com",INDEX(Table3[Position],MATCH('Rankings Master'!$A290,Table3[Rank],0)),INDEX(Sleeper!$C$2:$C$201,MATCH('Rankings Master'!A290,Sleeper!$A$2:$A$201,0))))</f>
        <v>K</v>
      </c>
      <c r="F290">
        <f>INDEX(Table4[RK],MATCH('Rankings Master'!D290,Table4[PLAYER NAME],0))</f>
        <v>359</v>
      </c>
      <c r="G290">
        <f t="shared" si="34"/>
        <v>-72</v>
      </c>
      <c r="H290">
        <f t="shared" si="35"/>
        <v>-0.20055710306406685</v>
      </c>
      <c r="I290" t="str">
        <f t="shared" si="33"/>
        <v>Pretty Overvalued</v>
      </c>
      <c r="J290" t="str">
        <f t="shared" si="36"/>
        <v/>
      </c>
      <c r="M290" t="str">
        <f>IFERROR(INDEX(PlayerSummaryTable[Rushing Yds],MATCH('Rankings Master'!D290,PlayerSummaryTable[Player],0)),"")</f>
        <v/>
      </c>
      <c r="N290" t="str">
        <f>IFERROR(INDEX(PlayerSummaryTable[Receiving Yds],MATCH('Rankings Master'!D290,PlayerSummaryTable[Player],0)),"")</f>
        <v/>
      </c>
      <c r="O290" t="str">
        <f>IFERROR(INDEX(PlayerSummaryTable[Passing Yds],MATCH('Rankings Master'!D290,PlayerSummaryTable[Player],0)),"")</f>
        <v/>
      </c>
      <c r="U290" t="str">
        <f>IF(COUNTIF('Draft Log'!$B$2:$B$301,D290)&gt;0,"DRAFTED","")</f>
        <v/>
      </c>
      <c r="V290" t="str">
        <f>IFERROR(INDEX('Draft Log'!$A$2:$A$301,MATCH(D290,'Draft Log'!$B$2:$B$301,0)),"")</f>
        <v/>
      </c>
      <c r="W290" t="str">
        <f>IFERROR(INDEX('Draft Log'!$C$2:$C$301,MATCH(D290,'Draft Log'!$B$2:$B$301,0)),"")</f>
        <v/>
      </c>
    </row>
    <row r="291" spans="1:23">
      <c r="A291">
        <f t="shared" si="37"/>
        <v>288</v>
      </c>
      <c r="D291" t="e">
        <f>IF($D$1="ESPN",INDEX(Table2[Mapped Name],MATCH('Rankings Master'!$A291,Table2[Overall Rank],0)),IF('Rankings Master'!$D$1="NFL.com",INDEX(Table3[Name Clean],MATCH('Rankings Master'!$A291,Table3[Rank],0)),IF('Rankings Master'!$D$1="Sleeper",INDEX(Sleeper!$B$2:$B$201,MATCH('Rankings Master'!$A291,Sleeper!$A$2:$A$201,0)),"Need platform")))</f>
        <v>#N/A</v>
      </c>
      <c r="E291" t="str">
        <f>IF($D$1="ESPN",INDEX(Table2[Position],MATCH('Rankings Master'!$A291,Table2[Overall Rank],0)),IF('Rankings Master'!$D$1="NFL.com",INDEX(Table3[Position],MATCH('Rankings Master'!$A291,Table3[Rank],0)),INDEX(Sleeper!$C$2:$C$201,MATCH('Rankings Master'!A291,Sleeper!$A$2:$A$201,0))))</f>
        <v>K</v>
      </c>
      <c r="F291" t="e">
        <f>INDEX(Table4[RK],MATCH('Rankings Master'!D291,Table4[PLAYER NAME],0))</f>
        <v>#N/A</v>
      </c>
      <c r="G291" t="e">
        <f t="shared" si="34"/>
        <v>#N/A</v>
      </c>
      <c r="H291" t="e">
        <f t="shared" si="35"/>
        <v>#N/A</v>
      </c>
      <c r="I291" t="e">
        <f t="shared" si="33"/>
        <v>#N/A</v>
      </c>
      <c r="J291" t="str">
        <f t="shared" si="36"/>
        <v/>
      </c>
      <c r="M291" t="str">
        <f>IFERROR(INDEX(PlayerSummaryTable[Rushing Yds],MATCH('Rankings Master'!D291,PlayerSummaryTable[Player],0)),"")</f>
        <v/>
      </c>
      <c r="N291" t="str">
        <f>IFERROR(INDEX(PlayerSummaryTable[Receiving Yds],MATCH('Rankings Master'!D291,PlayerSummaryTable[Player],0)),"")</f>
        <v/>
      </c>
      <c r="O291" t="str">
        <f>IFERROR(INDEX(PlayerSummaryTable[Passing Yds],MATCH('Rankings Master'!D291,PlayerSummaryTable[Player],0)),"")</f>
        <v/>
      </c>
      <c r="U291" t="str">
        <f>IF(COUNTIF('Draft Log'!$B$2:$B$301,D291)&gt;0,"DRAFTED","")</f>
        <v/>
      </c>
      <c r="V291" t="str">
        <f>IFERROR(INDEX('Draft Log'!$A$2:$A$301,MATCH(D291,'Draft Log'!$B$2:$B$301,0)),"")</f>
        <v/>
      </c>
      <c r="W291" t="str">
        <f>IFERROR(INDEX('Draft Log'!$C$2:$C$301,MATCH(D291,'Draft Log'!$B$2:$B$301,0)),"")</f>
        <v/>
      </c>
    </row>
    <row r="292" spans="1:23">
      <c r="A292">
        <f t="shared" si="37"/>
        <v>289</v>
      </c>
      <c r="D292" t="str">
        <f>IF($D$1="ESPN",INDEX(Table2[Mapped Name],MATCH('Rankings Master'!$A292,Table2[Overall Rank],0)),IF('Rankings Master'!$D$1="NFL.com",INDEX(Table3[Name Clean],MATCH('Rankings Master'!$A292,Table3[Rank],0)),IF('Rankings Master'!$D$1="Sleeper",INDEX(Sleeper!$B$2:$B$201,MATCH('Rankings Master'!$A292,Sleeper!$A$2:$A$201,0)),"Need platform")))</f>
        <v>David Njoku</v>
      </c>
      <c r="E292" t="str">
        <f>IF($D$1="ESPN",INDEX(Table2[Position],MATCH('Rankings Master'!$A292,Table2[Overall Rank],0)),IF('Rankings Master'!$D$1="NFL.com",INDEX(Table3[Position],MATCH('Rankings Master'!$A292,Table3[Rank],0)),INDEX(Sleeper!$C$2:$C$201,MATCH('Rankings Master'!A292,Sleeper!$A$2:$A$201,0))))</f>
        <v>TE</v>
      </c>
      <c r="F292">
        <f>INDEX(Table4[RK],MATCH('Rankings Master'!D292,Table4[PLAYER NAME],0))</f>
        <v>251</v>
      </c>
      <c r="G292">
        <f t="shared" si="34"/>
        <v>38</v>
      </c>
      <c r="H292">
        <f t="shared" si="35"/>
        <v>0.15139442231075698</v>
      </c>
      <c r="I292" t="str">
        <f t="shared" si="33"/>
        <v>Pretty Undervalued</v>
      </c>
      <c r="J292" t="str">
        <f t="shared" si="36"/>
        <v/>
      </c>
      <c r="M292" t="str">
        <f>IFERROR(INDEX(PlayerSummaryTable[Rushing Yds],MATCH('Rankings Master'!D292,PlayerSummaryTable[Player],0)),"")</f>
        <v/>
      </c>
      <c r="N292" t="str">
        <f>IFERROR(INDEX(PlayerSummaryTable[Receiving Yds],MATCH('Rankings Master'!D292,PlayerSummaryTable[Player],0)),"")</f>
        <v/>
      </c>
      <c r="O292" t="str">
        <f>IFERROR(INDEX(PlayerSummaryTable[Passing Yds],MATCH('Rankings Master'!D292,PlayerSummaryTable[Player],0)),"")</f>
        <v/>
      </c>
      <c r="U292" t="str">
        <f>IF(COUNTIF('Draft Log'!$B$2:$B$301,D292)&gt;0,"DRAFTED","")</f>
        <v/>
      </c>
      <c r="V292" t="str">
        <f>IFERROR(INDEX('Draft Log'!$A$2:$A$301,MATCH(D292,'Draft Log'!$B$2:$B$301,0)),"")</f>
        <v/>
      </c>
      <c r="W292" t="str">
        <f>IFERROR(INDEX('Draft Log'!$C$2:$C$301,MATCH(D292,'Draft Log'!$B$2:$B$301,0)),"")</f>
        <v/>
      </c>
    </row>
    <row r="293" spans="1:23">
      <c r="A293">
        <f t="shared" si="37"/>
        <v>290</v>
      </c>
      <c r="D293" t="str">
        <f>IF($D$1="ESPN",INDEX(Table2[Mapped Name],MATCH('Rankings Master'!$A293,Table2[Overall Rank],0)),IF('Rankings Master'!$D$1="NFL.com",INDEX(Table3[Name Clean],MATCH('Rankings Master'!$A293,Table3[Rank],0)),IF('Rankings Master'!$D$1="Sleeper",INDEX(Sleeper!$B$2:$B$201,MATCH('Rankings Master'!$A293,Sleeper!$A$2:$A$201,0)),"Need platform")))</f>
        <v>Evan Engram</v>
      </c>
      <c r="E293" t="str">
        <f>IF($D$1="ESPN",INDEX(Table2[Position],MATCH('Rankings Master'!$A293,Table2[Overall Rank],0)),IF('Rankings Master'!$D$1="NFL.com",INDEX(Table3[Position],MATCH('Rankings Master'!$A293,Table3[Rank],0)),INDEX(Sleeper!$C$2:$C$201,MATCH('Rankings Master'!A293,Sleeper!$A$2:$A$201,0))))</f>
        <v>TE</v>
      </c>
      <c r="F293">
        <f>INDEX(Table4[RK],MATCH('Rankings Master'!D293,Table4[PLAYER NAME],0))</f>
        <v>259</v>
      </c>
      <c r="G293">
        <f t="shared" si="34"/>
        <v>31</v>
      </c>
      <c r="H293">
        <f t="shared" si="35"/>
        <v>0.11969111969111969</v>
      </c>
      <c r="I293" t="str">
        <f t="shared" si="33"/>
        <v>Slightly Undervalued</v>
      </c>
      <c r="J293" t="str">
        <f t="shared" si="36"/>
        <v/>
      </c>
      <c r="M293" t="str">
        <f>IFERROR(INDEX(PlayerSummaryTable[Rushing Yds],MATCH('Rankings Master'!D293,PlayerSummaryTable[Player],0)),"")</f>
        <v/>
      </c>
      <c r="N293" t="str">
        <f>IFERROR(INDEX(PlayerSummaryTable[Receiving Yds],MATCH('Rankings Master'!D293,PlayerSummaryTable[Player],0)),"")</f>
        <v/>
      </c>
      <c r="O293" t="str">
        <f>IFERROR(INDEX(PlayerSummaryTable[Passing Yds],MATCH('Rankings Master'!D293,PlayerSummaryTable[Player],0)),"")</f>
        <v/>
      </c>
      <c r="U293" t="str">
        <f>IF(COUNTIF('Draft Log'!$B$2:$B$301,D293)&gt;0,"DRAFTED","")</f>
        <v/>
      </c>
      <c r="V293" t="str">
        <f>IFERROR(INDEX('Draft Log'!$A$2:$A$301,MATCH(D293,'Draft Log'!$B$2:$B$301,0)),"")</f>
        <v/>
      </c>
      <c r="W293" t="str">
        <f>IFERROR(INDEX('Draft Log'!$C$2:$C$301,MATCH(D293,'Draft Log'!$B$2:$B$301,0)),"")</f>
        <v/>
      </c>
    </row>
    <row r="294" spans="1:23">
      <c r="A294">
        <f t="shared" si="37"/>
        <v>291</v>
      </c>
      <c r="D294" t="str">
        <f>IF($D$1="ESPN",INDEX(Table2[Mapped Name],MATCH('Rankings Master'!$A294,Table2[Overall Rank],0)),IF('Rankings Master'!$D$1="NFL.com",INDEX(Table3[Name Clean],MATCH('Rankings Master'!$A294,Table3[Rank],0)),IF('Rankings Master'!$D$1="Sleeper",INDEX(Sleeper!$B$2:$B$201,MATCH('Rankings Master'!$A294,Sleeper!$A$2:$A$201,0)),"Need platform")))</f>
        <v>Oronde Gadsden II</v>
      </c>
      <c r="E294" t="str">
        <f>IF($D$1="ESPN",INDEX(Table2[Position],MATCH('Rankings Master'!$A294,Table2[Overall Rank],0)),IF('Rankings Master'!$D$1="NFL.com",INDEX(Table3[Position],MATCH('Rankings Master'!$A294,Table3[Rank],0)),INDEX(Sleeper!$C$2:$C$201,MATCH('Rankings Master'!A294,Sleeper!$A$2:$A$201,0))))</f>
        <v>TE</v>
      </c>
      <c r="F294">
        <f>INDEX(Table4[RK],MATCH('Rankings Master'!D294,Table4[PLAYER NAME],0))</f>
        <v>195</v>
      </c>
      <c r="G294">
        <f t="shared" si="34"/>
        <v>96</v>
      </c>
      <c r="H294">
        <f t="shared" si="35"/>
        <v>0.49230769230769234</v>
      </c>
      <c r="I294" t="str">
        <f t="shared" si="33"/>
        <v>Pretty Undervalued</v>
      </c>
      <c r="J294" t="str">
        <f t="shared" si="36"/>
        <v/>
      </c>
      <c r="M294" t="str">
        <f>IFERROR(INDEX(PlayerSummaryTable[Rushing Yds],MATCH('Rankings Master'!D294,PlayerSummaryTable[Player],0)),"")</f>
        <v/>
      </c>
      <c r="N294" t="str">
        <f>IFERROR(INDEX(PlayerSummaryTable[Receiving Yds],MATCH('Rankings Master'!D294,PlayerSummaryTable[Player],0)),"")</f>
        <v/>
      </c>
      <c r="O294" t="str">
        <f>IFERROR(INDEX(PlayerSummaryTable[Passing Yds],MATCH('Rankings Master'!D294,PlayerSummaryTable[Player],0)),"")</f>
        <v/>
      </c>
      <c r="U294" t="str">
        <f>IF(COUNTIF('Draft Log'!$B$2:$B$301,D294)&gt;0,"DRAFTED","")</f>
        <v/>
      </c>
      <c r="V294" t="str">
        <f>IFERROR(INDEX('Draft Log'!$A$2:$A$301,MATCH(D294,'Draft Log'!$B$2:$B$301,0)),"")</f>
        <v/>
      </c>
      <c r="W294" t="str">
        <f>IFERROR(INDEX('Draft Log'!$C$2:$C$301,MATCH(D294,'Draft Log'!$B$2:$B$301,0)),"")</f>
        <v/>
      </c>
    </row>
    <row r="295" spans="1:23">
      <c r="A295">
        <f t="shared" si="37"/>
        <v>292</v>
      </c>
      <c r="D295" t="str">
        <f>IF($D$1="ESPN",INDEX(Table2[Mapped Name],MATCH('Rankings Master'!$A295,Table2[Overall Rank],0)),IF('Rankings Master'!$D$1="NFL.com",INDEX(Table3[Name Clean],MATCH('Rankings Master'!$A295,Table3[Rank],0)),IF('Rankings Master'!$D$1="Sleeper",INDEX(Sleeper!$B$2:$B$201,MATCH('Rankings Master'!$A295,Sleeper!$A$2:$A$201,0)),"Need platform")))</f>
        <v>Mike Gesicki</v>
      </c>
      <c r="E295" t="str">
        <f>IF($D$1="ESPN",INDEX(Table2[Position],MATCH('Rankings Master'!$A295,Table2[Overall Rank],0)),IF('Rankings Master'!$D$1="NFL.com",INDEX(Table3[Position],MATCH('Rankings Master'!$A295,Table3[Rank],0)),INDEX(Sleeper!$C$2:$C$201,MATCH('Rankings Master'!A295,Sleeper!$A$2:$A$201,0))))</f>
        <v>TE</v>
      </c>
      <c r="F295">
        <f>INDEX(Table4[RK],MATCH('Rankings Master'!D295,Table4[PLAYER NAME],0))</f>
        <v>291</v>
      </c>
      <c r="G295">
        <f t="shared" si="34"/>
        <v>1</v>
      </c>
      <c r="H295">
        <f t="shared" si="35"/>
        <v>3.4364261168384879E-3</v>
      </c>
      <c r="I295" t="str">
        <f t="shared" si="33"/>
        <v>Slightly Undervalued</v>
      </c>
      <c r="J295" t="str">
        <f t="shared" si="36"/>
        <v/>
      </c>
      <c r="M295" t="str">
        <f>IFERROR(INDEX(PlayerSummaryTable[Rushing Yds],MATCH('Rankings Master'!D295,PlayerSummaryTable[Player],0)),"")</f>
        <v/>
      </c>
      <c r="N295" t="str">
        <f>IFERROR(INDEX(PlayerSummaryTable[Receiving Yds],MATCH('Rankings Master'!D295,PlayerSummaryTable[Player],0)),"")</f>
        <v/>
      </c>
      <c r="O295" t="str">
        <f>IFERROR(INDEX(PlayerSummaryTable[Passing Yds],MATCH('Rankings Master'!D295,PlayerSummaryTable[Player],0)),"")</f>
        <v/>
      </c>
      <c r="U295" t="str">
        <f>IF(COUNTIF('Draft Log'!$B$2:$B$301,D295)&gt;0,"DRAFTED","")</f>
        <v/>
      </c>
      <c r="V295" t="str">
        <f>IFERROR(INDEX('Draft Log'!$A$2:$A$301,MATCH(D295,'Draft Log'!$B$2:$B$301,0)),"")</f>
        <v/>
      </c>
      <c r="W295" t="str">
        <f>IFERROR(INDEX('Draft Log'!$C$2:$C$301,MATCH(D295,'Draft Log'!$B$2:$B$301,0)),"")</f>
        <v/>
      </c>
    </row>
    <row r="296" spans="1:23">
      <c r="A296">
        <f t="shared" si="37"/>
        <v>293</v>
      </c>
      <c r="D296" t="e">
        <f>IF($D$1="ESPN",INDEX(Table2[Mapped Name],MATCH('Rankings Master'!$A296,Table2[Overall Rank],0)),IF('Rankings Master'!$D$1="NFL.com",INDEX(Table3[Name Clean],MATCH('Rankings Master'!$A296,Table3[Rank],0)),IF('Rankings Master'!$D$1="Sleeper",INDEX(Sleeper!$B$2:$B$201,MATCH('Rankings Master'!$A296,Sleeper!$A$2:$A$201,0)),"Need platform")))</f>
        <v>#N/A</v>
      </c>
      <c r="E296" t="str">
        <f>IF($D$1="ESPN",INDEX(Table2[Position],MATCH('Rankings Master'!$A296,Table2[Overall Rank],0)),IF('Rankings Master'!$D$1="NFL.com",INDEX(Table3[Position],MATCH('Rankings Master'!$A296,Table3[Rank],0)),INDEX(Sleeper!$C$2:$C$201,MATCH('Rankings Master'!A296,Sleeper!$A$2:$A$201,0))))</f>
        <v>TE</v>
      </c>
      <c r="F296" t="e">
        <f>INDEX(Table4[RK],MATCH('Rankings Master'!D296,Table4[PLAYER NAME],0))</f>
        <v>#N/A</v>
      </c>
      <c r="G296" t="e">
        <f t="shared" si="34"/>
        <v>#N/A</v>
      </c>
      <c r="H296" t="e">
        <f t="shared" si="35"/>
        <v>#N/A</v>
      </c>
      <c r="I296" t="e">
        <f t="shared" si="33"/>
        <v>#N/A</v>
      </c>
      <c r="J296" t="str">
        <f t="shared" si="36"/>
        <v/>
      </c>
      <c r="M296" t="str">
        <f>IFERROR(INDEX(PlayerSummaryTable[Rushing Yds],MATCH('Rankings Master'!D296,PlayerSummaryTable[Player],0)),"")</f>
        <v/>
      </c>
      <c r="N296" t="str">
        <f>IFERROR(INDEX(PlayerSummaryTable[Receiving Yds],MATCH('Rankings Master'!D296,PlayerSummaryTable[Player],0)),"")</f>
        <v/>
      </c>
      <c r="O296" t="str">
        <f>IFERROR(INDEX(PlayerSummaryTable[Passing Yds],MATCH('Rankings Master'!D296,PlayerSummaryTable[Player],0)),"")</f>
        <v/>
      </c>
      <c r="U296" t="str">
        <f>IF(COUNTIF('Draft Log'!$B$2:$B$301,D296)&gt;0,"DRAFTED","")</f>
        <v/>
      </c>
      <c r="V296" t="str">
        <f>IFERROR(INDEX('Draft Log'!$A$2:$A$301,MATCH(D296,'Draft Log'!$B$2:$B$301,0)),"")</f>
        <v/>
      </c>
      <c r="W296" t="str">
        <f>IFERROR(INDEX('Draft Log'!$C$2:$C$301,MATCH(D296,'Draft Log'!$B$2:$B$301,0)),"")</f>
        <v/>
      </c>
    </row>
    <row r="297" spans="1:23">
      <c r="A297">
        <f t="shared" si="37"/>
        <v>294</v>
      </c>
      <c r="D297" t="str">
        <f>IF($D$1="ESPN",INDEX(Table2[Mapped Name],MATCH('Rankings Master'!$A297,Table2[Overall Rank],0)),IF('Rankings Master'!$D$1="NFL.com",INDEX(Table3[Name Clean],MATCH('Rankings Master'!$A297,Table3[Rank],0)),IF('Rankings Master'!$D$1="Sleeper",INDEX(Sleeper!$B$2:$B$201,MATCH('Rankings Master'!$A297,Sleeper!$A$2:$A$201,0)),"Need platform")))</f>
        <v>Darnell Mooney</v>
      </c>
      <c r="E297" t="str">
        <f>IF($D$1="ESPN",INDEX(Table2[Position],MATCH('Rankings Master'!$A297,Table2[Overall Rank],0)),IF('Rankings Master'!$D$1="NFL.com",INDEX(Table3[Position],MATCH('Rankings Master'!$A297,Table3[Rank],0)),INDEX(Sleeper!$C$2:$C$201,MATCH('Rankings Master'!A297,Sleeper!$A$2:$A$201,0))))</f>
        <v>WR</v>
      </c>
      <c r="F297">
        <f>INDEX(Table4[RK],MATCH('Rankings Master'!D297,Table4[PLAYER NAME],0))</f>
        <v>225</v>
      </c>
      <c r="G297">
        <f t="shared" si="34"/>
        <v>69</v>
      </c>
      <c r="H297">
        <f t="shared" si="35"/>
        <v>0.30666666666666664</v>
      </c>
      <c r="I297" t="str">
        <f t="shared" si="33"/>
        <v>Pretty Undervalued</v>
      </c>
      <c r="J297" t="str">
        <f t="shared" si="36"/>
        <v/>
      </c>
      <c r="M297" t="str">
        <f>IFERROR(INDEX(PlayerSummaryTable[Rushing Yds],MATCH('Rankings Master'!D297,PlayerSummaryTable[Player],0)),"")</f>
        <v/>
      </c>
      <c r="N297" t="str">
        <f>IFERROR(INDEX(PlayerSummaryTable[Receiving Yds],MATCH('Rankings Master'!D297,PlayerSummaryTable[Player],0)),"")</f>
        <v/>
      </c>
      <c r="O297" t="str">
        <f>IFERROR(INDEX(PlayerSummaryTable[Passing Yds],MATCH('Rankings Master'!D297,PlayerSummaryTable[Player],0)),"")</f>
        <v/>
      </c>
      <c r="U297" t="str">
        <f>IF(COUNTIF('Draft Log'!$B$2:$B$301,D297)&gt;0,"DRAFTED","")</f>
        <v/>
      </c>
      <c r="V297" t="str">
        <f>IFERROR(INDEX('Draft Log'!$A$2:$A$301,MATCH(D297,'Draft Log'!$B$2:$B$301,0)),"")</f>
        <v/>
      </c>
      <c r="W297" t="str">
        <f>IFERROR(INDEX('Draft Log'!$C$2:$C$301,MATCH(D297,'Draft Log'!$B$2:$B$301,0)),"")</f>
        <v/>
      </c>
    </row>
    <row r="298" spans="1:23">
      <c r="A298">
        <f t="shared" si="37"/>
        <v>295</v>
      </c>
      <c r="D298" t="str">
        <f>IF($D$1="ESPN",INDEX(Table2[Mapped Name],MATCH('Rankings Master'!$A298,Table2[Overall Rank],0)),IF('Rankings Master'!$D$1="NFL.com",INDEX(Table3[Name Clean],MATCH('Rankings Master'!$A298,Table3[Rank],0)),IF('Rankings Master'!$D$1="Sleeper",INDEX(Sleeper!$B$2:$B$201,MATCH('Rankings Master'!$A298,Sleeper!$A$2:$A$201,0)),"Need platform")))</f>
        <v>Mack Hollins</v>
      </c>
      <c r="E298" t="str">
        <f>IF($D$1="ESPN",INDEX(Table2[Position],MATCH('Rankings Master'!$A298,Table2[Overall Rank],0)),IF('Rankings Master'!$D$1="NFL.com",INDEX(Table3[Position],MATCH('Rankings Master'!$A298,Table3[Rank],0)),INDEX(Sleeper!$C$2:$C$201,MATCH('Rankings Master'!A298,Sleeper!$A$2:$A$201,0))))</f>
        <v>WR</v>
      </c>
      <c r="F298">
        <f>INDEX(Table4[RK],MATCH('Rankings Master'!D298,Table4[PLAYER NAME],0))</f>
        <v>301</v>
      </c>
      <c r="G298">
        <f t="shared" si="34"/>
        <v>-6</v>
      </c>
      <c r="H298">
        <f t="shared" si="35"/>
        <v>-1.9933554817275746E-2</v>
      </c>
      <c r="I298" t="str">
        <f t="shared" si="33"/>
        <v>Slightly Overvalued</v>
      </c>
      <c r="J298" t="str">
        <f t="shared" si="36"/>
        <v/>
      </c>
      <c r="M298" t="str">
        <f>IFERROR(INDEX(PlayerSummaryTable[Rushing Yds],MATCH('Rankings Master'!D298,PlayerSummaryTable[Player],0)),"")</f>
        <v/>
      </c>
      <c r="N298" t="str">
        <f>IFERROR(INDEX(PlayerSummaryTable[Receiving Yds],MATCH('Rankings Master'!D298,PlayerSummaryTable[Player],0)),"")</f>
        <v/>
      </c>
      <c r="O298" t="str">
        <f>IFERROR(INDEX(PlayerSummaryTable[Passing Yds],MATCH('Rankings Master'!D298,PlayerSummaryTable[Player],0)),"")</f>
        <v/>
      </c>
      <c r="U298" t="str">
        <f>IF(COUNTIF('Draft Log'!$B$2:$B$301,D298)&gt;0,"DRAFTED","")</f>
        <v/>
      </c>
      <c r="V298" t="str">
        <f>IFERROR(INDEX('Draft Log'!$A$2:$A$301,MATCH(D298,'Draft Log'!$B$2:$B$301,0)),"")</f>
        <v/>
      </c>
      <c r="W298" t="str">
        <f>IFERROR(INDEX('Draft Log'!$C$2:$C$301,MATCH(D298,'Draft Log'!$B$2:$B$301,0)),"")</f>
        <v/>
      </c>
    </row>
    <row r="299" spans="1:23">
      <c r="A299">
        <f t="shared" si="37"/>
        <v>296</v>
      </c>
      <c r="D299" t="str">
        <f>IF($D$1="ESPN",INDEX(Table2[Mapped Name],MATCH('Rankings Master'!$A299,Table2[Overall Rank],0)),IF('Rankings Master'!$D$1="NFL.com",INDEX(Table3[Name Clean],MATCH('Rankings Master'!$A299,Table3[Rank],0)),IF('Rankings Master'!$D$1="Sleeper",INDEX(Sleeper!$B$2:$B$201,MATCH('Rankings Master'!$A299,Sleeper!$A$2:$A$201,0)),"Need platform")))</f>
        <v>Tua Tagovailoa</v>
      </c>
      <c r="E299" t="str">
        <f>IF($D$1="ESPN",INDEX(Table2[Position],MATCH('Rankings Master'!$A299,Table2[Overall Rank],0)),IF('Rankings Master'!$D$1="NFL.com",INDEX(Table3[Position],MATCH('Rankings Master'!$A299,Table3[Rank],0)),INDEX(Sleeper!$C$2:$C$201,MATCH('Rankings Master'!A299,Sleeper!$A$2:$A$201,0))))</f>
        <v>QB</v>
      </c>
      <c r="F299">
        <f>INDEX(Table4[RK],MATCH('Rankings Master'!D299,Table4[PLAYER NAME],0))</f>
        <v>283</v>
      </c>
      <c r="G299">
        <f t="shared" si="34"/>
        <v>13</v>
      </c>
      <c r="H299">
        <f t="shared" si="35"/>
        <v>4.5936395759717315E-2</v>
      </c>
      <c r="I299" t="str">
        <f t="shared" si="33"/>
        <v>Slightly Undervalued</v>
      </c>
      <c r="J299" t="str">
        <f t="shared" si="36"/>
        <v/>
      </c>
      <c r="M299" t="str">
        <f>IFERROR(INDEX(PlayerSummaryTable[Rushing Yds],MATCH('Rankings Master'!D299,PlayerSummaryTable[Player],0)),"")</f>
        <v/>
      </c>
      <c r="N299" t="str">
        <f>IFERROR(INDEX(PlayerSummaryTable[Receiving Yds],MATCH('Rankings Master'!D299,PlayerSummaryTable[Player],0)),"")</f>
        <v/>
      </c>
      <c r="O299" t="str">
        <f>IFERROR(INDEX(PlayerSummaryTable[Passing Yds],MATCH('Rankings Master'!D299,PlayerSummaryTable[Player],0)),"")</f>
        <v/>
      </c>
      <c r="U299" t="str">
        <f>IF(COUNTIF('Draft Log'!$B$2:$B$301,D299)&gt;0,"DRAFTED","")</f>
        <v/>
      </c>
      <c r="V299" t="str">
        <f>IFERROR(INDEX('Draft Log'!$A$2:$A$301,MATCH(D299,'Draft Log'!$B$2:$B$301,0)),"")</f>
        <v/>
      </c>
      <c r="W299" t="str">
        <f>IFERROR(INDEX('Draft Log'!$C$2:$C$301,MATCH(D299,'Draft Log'!$B$2:$B$301,0)),"")</f>
        <v/>
      </c>
    </row>
    <row r="300" spans="1:23">
      <c r="A300">
        <f t="shared" si="37"/>
        <v>297</v>
      </c>
      <c r="D300" t="str">
        <f>IF($D$1="ESPN",INDEX(Table2[Mapped Name],MATCH('Rankings Master'!$A300,Table2[Overall Rank],0)),IF('Rankings Master'!$D$1="NFL.com",INDEX(Table3[Name Clean],MATCH('Rankings Master'!$A300,Table3[Rank],0)),IF('Rankings Master'!$D$1="Sleeper",INDEX(Sleeper!$B$2:$B$201,MATCH('Rankings Master'!$A300,Sleeper!$A$2:$A$201,0)),"Need platform")))</f>
        <v>Cowboys D/ST</v>
      </c>
      <c r="E300" t="str">
        <f>IF($D$1="ESPN",INDEX(Table2[Position],MATCH('Rankings Master'!$A300,Table2[Overall Rank],0)),IF('Rankings Master'!$D$1="NFL.com",INDEX(Table3[Position],MATCH('Rankings Master'!$A300,Table3[Rank],0)),INDEX(Sleeper!$C$2:$C$201,MATCH('Rankings Master'!A300,Sleeper!$A$2:$A$201,0))))</f>
        <v>DST</v>
      </c>
      <c r="F300" t="e">
        <f>INDEX(Table4[RK],MATCH('Rankings Master'!D300,Table4[PLAYER NAME],0))</f>
        <v>#N/A</v>
      </c>
      <c r="G300" t="e">
        <f t="shared" si="34"/>
        <v>#N/A</v>
      </c>
      <c r="H300" t="e">
        <f t="shared" si="35"/>
        <v>#N/A</v>
      </c>
      <c r="I300" t="e">
        <f t="shared" si="33"/>
        <v>#N/A</v>
      </c>
      <c r="J300" t="str">
        <f t="shared" si="36"/>
        <v/>
      </c>
      <c r="M300" t="str">
        <f>IFERROR(INDEX(PlayerSummaryTable[Rushing Yds],MATCH('Rankings Master'!D300,PlayerSummaryTable[Player],0)),"")</f>
        <v/>
      </c>
      <c r="N300" t="str">
        <f>IFERROR(INDEX(PlayerSummaryTable[Receiving Yds],MATCH('Rankings Master'!D300,PlayerSummaryTable[Player],0)),"")</f>
        <v/>
      </c>
      <c r="O300" t="str">
        <f>IFERROR(INDEX(PlayerSummaryTable[Passing Yds],MATCH('Rankings Master'!D300,PlayerSummaryTable[Player],0)),"")</f>
        <v/>
      </c>
      <c r="U300" t="str">
        <f>IF(COUNTIF('Draft Log'!$B$2:$B$301,D300)&gt;0,"DRAFTED","")</f>
        <v/>
      </c>
      <c r="V300" t="str">
        <f>IFERROR(INDEX('Draft Log'!$A$2:$A$301,MATCH(D300,'Draft Log'!$B$2:$B$301,0)),"")</f>
        <v/>
      </c>
      <c r="W300" t="str">
        <f>IFERROR(INDEX('Draft Log'!$C$2:$C$301,MATCH(D300,'Draft Log'!$B$2:$B$301,0)),"")</f>
        <v/>
      </c>
    </row>
    <row r="301" spans="1:23">
      <c r="A301">
        <f t="shared" si="37"/>
        <v>298</v>
      </c>
      <c r="D301" t="str">
        <f>IF($D$1="ESPN",INDEX(Table2[Mapped Name],MATCH('Rankings Master'!$A301,Table2[Overall Rank],0)),IF('Rankings Master'!$D$1="NFL.com",INDEX(Table3[Name Clean],MATCH('Rankings Master'!$A301,Table3[Rank],0)),IF('Rankings Master'!$D$1="Sleeper",INDEX(Sleeper!$B$2:$B$201,MATCH('Rankings Master'!$A301,Sleeper!$A$2:$A$201,0)),"Need platform")))</f>
        <v>Indianapolis Colts</v>
      </c>
      <c r="E301" t="str">
        <f>IF($D$1="ESPN",INDEX(Table2[Position],MATCH('Rankings Master'!$A301,Table2[Overall Rank],0)),IF('Rankings Master'!$D$1="NFL.com",INDEX(Table3[Position],MATCH('Rankings Master'!$A301,Table3[Rank],0)),INDEX(Sleeper!$C$2:$C$201,MATCH('Rankings Master'!A301,Sleeper!$A$2:$A$201,0))))</f>
        <v>DST</v>
      </c>
      <c r="F301">
        <f>INDEX(Table4[RK],MATCH('Rankings Master'!D301,Table4[PLAYER NAME],0))</f>
        <v>305</v>
      </c>
      <c r="G301">
        <f t="shared" si="34"/>
        <v>-7</v>
      </c>
      <c r="H301">
        <f t="shared" si="35"/>
        <v>-2.2950819672131147E-2</v>
      </c>
      <c r="I301" t="str">
        <f t="shared" si="33"/>
        <v>Slightly Overvalued</v>
      </c>
      <c r="J301" t="str">
        <f t="shared" si="36"/>
        <v/>
      </c>
      <c r="M301" t="str">
        <f>IFERROR(INDEX(PlayerSummaryTable[Rushing Yds],MATCH('Rankings Master'!D301,PlayerSummaryTable[Player],0)),"")</f>
        <v/>
      </c>
      <c r="N301" t="str">
        <f>IFERROR(INDEX(PlayerSummaryTable[Receiving Yds],MATCH('Rankings Master'!D301,PlayerSummaryTable[Player],0)),"")</f>
        <v/>
      </c>
      <c r="O301" t="str">
        <f>IFERROR(INDEX(PlayerSummaryTable[Passing Yds],MATCH('Rankings Master'!D301,PlayerSummaryTable[Player],0)),"")</f>
        <v/>
      </c>
      <c r="U301" t="str">
        <f>IF(COUNTIF('Draft Log'!$B$2:$B$301,D301)&gt;0,"DRAFTED","")</f>
        <v/>
      </c>
      <c r="V301" t="str">
        <f>IFERROR(INDEX('Draft Log'!$A$2:$A$301,MATCH(D301,'Draft Log'!$B$2:$B$301,0)),"")</f>
        <v/>
      </c>
      <c r="W301" t="str">
        <f>IFERROR(INDEX('Draft Log'!$C$2:$C$301,MATCH(D301,'Draft Log'!$B$2:$B$301,0)),"")</f>
        <v/>
      </c>
    </row>
    <row r="302" spans="1:23">
      <c r="A302">
        <f t="shared" si="37"/>
        <v>299</v>
      </c>
      <c r="D302" t="str">
        <f>IF($D$1="ESPN",INDEX(Table2[Mapped Name],MATCH('Rankings Master'!$A302,Table2[Overall Rank],0)),IF('Rankings Master'!$D$1="NFL.com",INDEX(Table3[Name Clean],MATCH('Rankings Master'!$A302,Table3[Rank],0)),IF('Rankings Master'!$D$1="Sleeper",INDEX(Sleeper!$B$2:$B$201,MATCH('Rankings Master'!$A302,Sleeper!$A$2:$A$201,0)),"Need platform")))</f>
        <v>Vikings D/ST</v>
      </c>
      <c r="E302" t="str">
        <f>IF($D$1="ESPN",INDEX(Table2[Position],MATCH('Rankings Master'!$A302,Table2[Overall Rank],0)),IF('Rankings Master'!$D$1="NFL.com",INDEX(Table3[Position],MATCH('Rankings Master'!$A302,Table3[Rank],0)),INDEX(Sleeper!$C$2:$C$201,MATCH('Rankings Master'!A302,Sleeper!$A$2:$A$201,0))))</f>
        <v>DST</v>
      </c>
      <c r="F302" t="e">
        <f>INDEX(Table4[RK],MATCH('Rankings Master'!D302,Table4[PLAYER NAME],0))</f>
        <v>#N/A</v>
      </c>
      <c r="G302" t="e">
        <f t="shared" si="34"/>
        <v>#N/A</v>
      </c>
      <c r="H302" t="e">
        <f t="shared" si="35"/>
        <v>#N/A</v>
      </c>
      <c r="I302" t="e">
        <f t="shared" ref="I302:I365" si="38">IF(AND(H302 &gt; -1, H302 &lt;= -0.5), "Extremely Overvalued",
IF(AND(H302 &gt; -0.5, H302 &lt;= -0.15), "Pretty Overvalued",
IF(AND(H302 &gt; -0.15, H302 &lt; 0), "Slightly Overvalued",
IF(H302 = 0, "At ADP",
IF(AND(H302 &gt; 0, H302 &lt;= 0.15), "Slightly Undervalued",
IF(AND(H302 &gt; 0.15, H302 &lt;= 0.5), "Pretty Undervalued",
IF(AND(H302 &gt; 0.5, H302 &lt;= 1), "Extremely Undervalued", "")))))))</f>
        <v>#N/A</v>
      </c>
      <c r="J302" t="str">
        <f t="shared" si="36"/>
        <v>Y</v>
      </c>
      <c r="M302" t="str">
        <f>IFERROR(INDEX(PlayerSummaryTable[Rushing Yds],MATCH('Rankings Master'!D302,PlayerSummaryTable[Player],0)),"")</f>
        <v/>
      </c>
      <c r="N302" t="str">
        <f>IFERROR(INDEX(PlayerSummaryTable[Receiving Yds],MATCH('Rankings Master'!D302,PlayerSummaryTable[Player],0)),"")</f>
        <v/>
      </c>
      <c r="O302" t="str">
        <f>IFERROR(INDEX(PlayerSummaryTable[Passing Yds],MATCH('Rankings Master'!D302,PlayerSummaryTable[Player],0)),"")</f>
        <v/>
      </c>
      <c r="U302" t="str">
        <f>IF(COUNTIF('Draft Log'!$B$2:$B$301,D302)&gt;0,"DRAFTED","")</f>
        <v>DRAFTED</v>
      </c>
      <c r="V302">
        <f>IFERROR(INDEX('Draft Log'!$A$2:$A$301,MATCH(D302,'Draft Log'!$B$2:$B$301,0)),"")</f>
        <v>170</v>
      </c>
      <c r="W302" t="str">
        <f>IFERROR(INDEX('Draft Log'!$C$2:$C$301,MATCH(D302,'Draft Log'!$B$2:$B$301,0)),"")</f>
        <v>Double Chubb Chocolate Cookie</v>
      </c>
    </row>
    <row r="303" spans="1:23">
      <c r="A303">
        <f t="shared" si="37"/>
        <v>300</v>
      </c>
      <c r="D303" t="str">
        <f>IF($D$1="ESPN",INDEX(Table2[Mapped Name],MATCH('Rankings Master'!$A303,Table2[Overall Rank],0)),IF('Rankings Master'!$D$1="NFL.com",INDEX(Table3[Name Clean],MATCH('Rankings Master'!$A303,Table3[Rank],0)),IF('Rankings Master'!$D$1="Sleeper",INDEX(Sleeper!$B$2:$B$201,MATCH('Rankings Master'!$A303,Sleeper!$A$2:$A$201,0)),"Need platform")))</f>
        <v>Cincinnati</v>
      </c>
      <c r="E303" t="str">
        <f>IF($D$1="ESPN",INDEX(Table2[Position],MATCH('Rankings Master'!$A303,Table2[Overall Rank],0)),IF('Rankings Master'!$D$1="NFL.com",INDEX(Table3[Position],MATCH('Rankings Master'!$A303,Table3[Rank],0)),INDEX(Sleeper!$C$2:$C$201,MATCH('Rankings Master'!A303,Sleeper!$A$2:$A$201,0))))</f>
        <v>DST</v>
      </c>
      <c r="F303" t="e">
        <f>INDEX(Table4[RK],MATCH('Rankings Master'!D303,Table4[PLAYER NAME],0))</f>
        <v>#N/A</v>
      </c>
      <c r="G303" t="e">
        <f t="shared" si="34"/>
        <v>#N/A</v>
      </c>
      <c r="H303" t="e">
        <f t="shared" si="35"/>
        <v>#N/A</v>
      </c>
      <c r="I303" t="e">
        <f t="shared" si="38"/>
        <v>#N/A</v>
      </c>
      <c r="J303" t="str">
        <f t="shared" si="36"/>
        <v/>
      </c>
      <c r="M303" t="str">
        <f>IFERROR(INDEX(PlayerSummaryTable[Rushing Yds],MATCH('Rankings Master'!D303,PlayerSummaryTable[Player],0)),"")</f>
        <v/>
      </c>
      <c r="N303" t="str">
        <f>IFERROR(INDEX(PlayerSummaryTable[Receiving Yds],MATCH('Rankings Master'!D303,PlayerSummaryTable[Player],0)),"")</f>
        <v/>
      </c>
      <c r="O303" t="str">
        <f>IFERROR(INDEX(PlayerSummaryTable[Passing Yds],MATCH('Rankings Master'!D303,PlayerSummaryTable[Player],0)),"")</f>
        <v/>
      </c>
      <c r="U303" t="str">
        <f>IF(COUNTIF('Draft Log'!$B$2:$B$301,D303)&gt;0,"DRAFTED","")</f>
        <v/>
      </c>
      <c r="V303" t="str">
        <f>IFERROR(INDEX('Draft Log'!$A$2:$A$301,MATCH(D303,'Draft Log'!$B$2:$B$301,0)),"")</f>
        <v/>
      </c>
      <c r="W303" t="str">
        <f>IFERROR(INDEX('Draft Log'!$C$2:$C$301,MATCH(D303,'Draft Log'!$B$2:$B$301,0)),"")</f>
        <v/>
      </c>
    </row>
    <row r="304" spans="1:23">
      <c r="A304">
        <f t="shared" si="37"/>
        <v>301</v>
      </c>
      <c r="D304" t="e">
        <f>IF($D$1="ESPN",INDEX(Table2[Mapped Name],MATCH('Rankings Master'!$A304,Table2[Overall Rank],0)),IF('Rankings Master'!$D$1="NFL.com",INDEX(Table3[Name Clean],MATCH('Rankings Master'!$A304,Table3[Rank],0)),IF('Rankings Master'!$D$1="Sleeper",INDEX(Sleeper!$B$2:$B$201,MATCH('Rankings Master'!$A304,Sleeper!$A$2:$A$201,0)),"Need platform")))</f>
        <v>#N/A</v>
      </c>
      <c r="E304" t="e">
        <f>IF($D$1="ESPN",INDEX(Table2[Position],MATCH('Rankings Master'!$A304,Table2[Overall Rank],0)),IF('Rankings Master'!$D$1="NFL.com",INDEX(Table3[Position],MATCH('Rankings Master'!$A304,Table3[Rank],0)),INDEX(Sleeper!$C$2:$C$201,MATCH('Rankings Master'!A304,Sleeper!$A$2:$A$201,0))))</f>
        <v>#N/A</v>
      </c>
      <c r="F304" t="e">
        <f>INDEX(Table4[RK],MATCH('Rankings Master'!D304,Table4[PLAYER NAME],0))</f>
        <v>#N/A</v>
      </c>
      <c r="G304" t="e">
        <f t="shared" si="34"/>
        <v>#N/A</v>
      </c>
      <c r="H304" t="e">
        <f t="shared" si="35"/>
        <v>#N/A</v>
      </c>
      <c r="I304" t="e">
        <f t="shared" si="38"/>
        <v>#N/A</v>
      </c>
      <c r="J304" t="str">
        <f t="shared" si="36"/>
        <v/>
      </c>
      <c r="M304" t="str">
        <f>IFERROR(INDEX(PlayerSummaryTable[Rushing Yds],MATCH('Rankings Master'!D304,PlayerSummaryTable[Player],0)),"")</f>
        <v/>
      </c>
      <c r="N304" t="str">
        <f>IFERROR(INDEX(PlayerSummaryTable[Receiving Yds],MATCH('Rankings Master'!D304,PlayerSummaryTable[Player],0)),"")</f>
        <v/>
      </c>
      <c r="O304" t="str">
        <f>IFERROR(INDEX(PlayerSummaryTable[Passing Yds],MATCH('Rankings Master'!D304,PlayerSummaryTable[Player],0)),"")</f>
        <v/>
      </c>
      <c r="U304" t="str">
        <f>IF(COUNTIF('Draft Log'!$B$2:$B$301,D304)&gt;0,"DRAFTED","")</f>
        <v/>
      </c>
      <c r="V304" t="str">
        <f>IFERROR(INDEX('Draft Log'!$A$2:$A$301,MATCH(D304,'Draft Log'!$B$2:$B$301,0)),"")</f>
        <v/>
      </c>
      <c r="W304" t="str">
        <f>IFERROR(INDEX('Draft Log'!$C$2:$C$301,MATCH(D304,'Draft Log'!$B$2:$B$301,0)),"")</f>
        <v/>
      </c>
    </row>
    <row r="305" spans="1:23">
      <c r="A305">
        <f t="shared" si="37"/>
        <v>302</v>
      </c>
      <c r="D305" t="e">
        <f>IF($D$1="ESPN",INDEX(Table2[Mapped Name],MATCH('Rankings Master'!$A305,Table2[Overall Rank],0)),IF('Rankings Master'!$D$1="NFL.com",INDEX(Table3[Name Clean],MATCH('Rankings Master'!$A305,Table3[Rank],0)),IF('Rankings Master'!$D$1="Sleeper",INDEX(Sleeper!$B$2:$B$201,MATCH('Rankings Master'!$A305,Sleeper!$A$2:$A$201,0)),"Need platform")))</f>
        <v>#N/A</v>
      </c>
      <c r="E305" t="e">
        <f>IF($D$1="ESPN",INDEX(Table2[Position],MATCH('Rankings Master'!$A305,Table2[Overall Rank],0)),IF('Rankings Master'!$D$1="NFL.com",INDEX(Table3[Position],MATCH('Rankings Master'!$A305,Table3[Rank],0)),INDEX(Sleeper!$C$2:$C$201,MATCH('Rankings Master'!A305,Sleeper!$A$2:$A$201,0))))</f>
        <v>#N/A</v>
      </c>
      <c r="F305" t="e">
        <f>INDEX(Table4[RK],MATCH('Rankings Master'!D305,Table4[PLAYER NAME],0))</f>
        <v>#N/A</v>
      </c>
      <c r="G305" t="e">
        <f t="shared" si="34"/>
        <v>#N/A</v>
      </c>
      <c r="H305" t="e">
        <f t="shared" si="35"/>
        <v>#N/A</v>
      </c>
      <c r="I305" t="e">
        <f t="shared" si="38"/>
        <v>#N/A</v>
      </c>
      <c r="J305" t="str">
        <f t="shared" si="36"/>
        <v/>
      </c>
      <c r="M305" t="str">
        <f>IFERROR(INDEX(PlayerSummaryTable[Rushing Yds],MATCH('Rankings Master'!D305,PlayerSummaryTable[Player],0)),"")</f>
        <v/>
      </c>
      <c r="N305" t="str">
        <f>IFERROR(INDEX(PlayerSummaryTable[Receiving Yds],MATCH('Rankings Master'!D305,PlayerSummaryTable[Player],0)),"")</f>
        <v/>
      </c>
      <c r="O305" t="str">
        <f>IFERROR(INDEX(PlayerSummaryTable[Passing Yds],MATCH('Rankings Master'!D305,PlayerSummaryTable[Player],0)),"")</f>
        <v/>
      </c>
      <c r="U305" t="str">
        <f>IF(COUNTIF('Draft Log'!$B$2:$B$301,D305)&gt;0,"DRAFTED","")</f>
        <v/>
      </c>
      <c r="V305" t="str">
        <f>IFERROR(INDEX('Draft Log'!$A$2:$A$301,MATCH(D305,'Draft Log'!$B$2:$B$301,0)),"")</f>
        <v/>
      </c>
      <c r="W305" t="str">
        <f>IFERROR(INDEX('Draft Log'!$C$2:$C$301,MATCH(D305,'Draft Log'!$B$2:$B$301,0)),"")</f>
        <v/>
      </c>
    </row>
    <row r="306" spans="1:23">
      <c r="A306">
        <f t="shared" si="37"/>
        <v>303</v>
      </c>
      <c r="D306" t="e">
        <f>IF($D$1="ESPN",INDEX(Table2[Mapped Name],MATCH('Rankings Master'!$A306,Table2[Overall Rank],0)),IF('Rankings Master'!$D$1="NFL.com",INDEX(Table3[Name Clean],MATCH('Rankings Master'!$A306,Table3[Rank],0)),IF('Rankings Master'!$D$1="Sleeper",INDEX(Sleeper!$B$2:$B$201,MATCH('Rankings Master'!$A306,Sleeper!$A$2:$A$201,0)),"Need platform")))</f>
        <v>#N/A</v>
      </c>
      <c r="E306" t="e">
        <f>IF($D$1="ESPN",INDEX(Table2[Position],MATCH('Rankings Master'!$A306,Table2[Overall Rank],0)),IF('Rankings Master'!$D$1="NFL.com",INDEX(Table3[Position],MATCH('Rankings Master'!$A306,Table3[Rank],0)),INDEX(Sleeper!$C$2:$C$201,MATCH('Rankings Master'!A306,Sleeper!$A$2:$A$201,0))))</f>
        <v>#N/A</v>
      </c>
      <c r="F306" t="e">
        <f>INDEX(Table4[RK],MATCH('Rankings Master'!D306,Table4[PLAYER NAME],0))</f>
        <v>#N/A</v>
      </c>
      <c r="G306" t="e">
        <f t="shared" si="34"/>
        <v>#N/A</v>
      </c>
      <c r="H306" t="e">
        <f t="shared" si="35"/>
        <v>#N/A</v>
      </c>
      <c r="I306" t="e">
        <f t="shared" si="38"/>
        <v>#N/A</v>
      </c>
      <c r="J306" t="str">
        <f t="shared" si="36"/>
        <v/>
      </c>
      <c r="M306" t="str">
        <f>IFERROR(INDEX(PlayerSummaryTable[Rushing Yds],MATCH('Rankings Master'!D306,PlayerSummaryTable[Player],0)),"")</f>
        <v/>
      </c>
      <c r="N306" t="str">
        <f>IFERROR(INDEX(PlayerSummaryTable[Receiving Yds],MATCH('Rankings Master'!D306,PlayerSummaryTable[Player],0)),"")</f>
        <v/>
      </c>
      <c r="O306" t="str">
        <f>IFERROR(INDEX(PlayerSummaryTable[Passing Yds],MATCH('Rankings Master'!D306,PlayerSummaryTable[Player],0)),"")</f>
        <v/>
      </c>
      <c r="U306" t="str">
        <f>IF(COUNTIF('Draft Log'!$B$2:$B$301,D306)&gt;0,"DRAFTED","")</f>
        <v/>
      </c>
      <c r="V306" t="str">
        <f>IFERROR(INDEX('Draft Log'!$A$2:$A$301,MATCH(D306,'Draft Log'!$B$2:$B$301,0)),"")</f>
        <v/>
      </c>
      <c r="W306" t="str">
        <f>IFERROR(INDEX('Draft Log'!$C$2:$C$301,MATCH(D306,'Draft Log'!$B$2:$B$301,0)),"")</f>
        <v/>
      </c>
    </row>
    <row r="307" spans="1:23">
      <c r="A307">
        <f t="shared" si="37"/>
        <v>304</v>
      </c>
      <c r="D307" t="e">
        <f>IF($D$1="ESPN",INDEX(Table2[Mapped Name],MATCH('Rankings Master'!$A307,Table2[Overall Rank],0)),IF('Rankings Master'!$D$1="NFL.com",INDEX(Table3[Name Clean],MATCH('Rankings Master'!$A307,Table3[Rank],0)),IF('Rankings Master'!$D$1="Sleeper",INDEX(Sleeper!$B$2:$B$201,MATCH('Rankings Master'!$A307,Sleeper!$A$2:$A$201,0)),"Need platform")))</f>
        <v>#N/A</v>
      </c>
      <c r="E307" t="e">
        <f>IF($D$1="ESPN",INDEX(Table2[Position],MATCH('Rankings Master'!$A307,Table2[Overall Rank],0)),IF('Rankings Master'!$D$1="NFL.com",INDEX(Table3[Position],MATCH('Rankings Master'!$A307,Table3[Rank],0)),INDEX(Sleeper!$C$2:$C$201,MATCH('Rankings Master'!A307,Sleeper!$A$2:$A$201,0))))</f>
        <v>#N/A</v>
      </c>
      <c r="F307" t="e">
        <f>INDEX(Table4[RK],MATCH('Rankings Master'!D307,Table4[PLAYER NAME],0))</f>
        <v>#N/A</v>
      </c>
      <c r="G307" t="e">
        <f t="shared" si="34"/>
        <v>#N/A</v>
      </c>
      <c r="H307" t="e">
        <f t="shared" si="35"/>
        <v>#N/A</v>
      </c>
      <c r="I307" t="e">
        <f t="shared" si="38"/>
        <v>#N/A</v>
      </c>
      <c r="J307" t="str">
        <f t="shared" si="36"/>
        <v/>
      </c>
      <c r="M307" t="str">
        <f>IFERROR(INDEX(PlayerSummaryTable[Rushing Yds],MATCH('Rankings Master'!D307,PlayerSummaryTable[Player],0)),"")</f>
        <v/>
      </c>
      <c r="N307" t="str">
        <f>IFERROR(INDEX(PlayerSummaryTable[Receiving Yds],MATCH('Rankings Master'!D307,PlayerSummaryTable[Player],0)),"")</f>
        <v/>
      </c>
      <c r="O307" t="str">
        <f>IFERROR(INDEX(PlayerSummaryTable[Passing Yds],MATCH('Rankings Master'!D307,PlayerSummaryTable[Player],0)),"")</f>
        <v/>
      </c>
      <c r="U307" t="str">
        <f>IF(COUNTIF('Draft Log'!$B$2:$B$301,D307)&gt;0,"DRAFTED","")</f>
        <v/>
      </c>
      <c r="V307" t="str">
        <f>IFERROR(INDEX('Draft Log'!$A$2:$A$301,MATCH(D307,'Draft Log'!$B$2:$B$301,0)),"")</f>
        <v/>
      </c>
      <c r="W307" t="str">
        <f>IFERROR(INDEX('Draft Log'!$C$2:$C$301,MATCH(D307,'Draft Log'!$B$2:$B$301,0)),"")</f>
        <v/>
      </c>
    </row>
    <row r="308" spans="1:23">
      <c r="A308">
        <f t="shared" si="37"/>
        <v>305</v>
      </c>
      <c r="D308" t="e">
        <f>IF($D$1="ESPN",INDEX(Table2[Mapped Name],MATCH('Rankings Master'!$A308,Table2[Overall Rank],0)),IF('Rankings Master'!$D$1="NFL.com",INDEX(Table3[Name Clean],MATCH('Rankings Master'!$A308,Table3[Rank],0)),IF('Rankings Master'!$D$1="Sleeper",INDEX(Sleeper!$B$2:$B$201,MATCH('Rankings Master'!$A308,Sleeper!$A$2:$A$201,0)),"Need platform")))</f>
        <v>#N/A</v>
      </c>
      <c r="E308" t="e">
        <f>IF($D$1="ESPN",INDEX(Table2[Position],MATCH('Rankings Master'!$A308,Table2[Overall Rank],0)),IF('Rankings Master'!$D$1="NFL.com",INDEX(Table3[Position],MATCH('Rankings Master'!$A308,Table3[Rank],0)),INDEX(Sleeper!$C$2:$C$201,MATCH('Rankings Master'!A308,Sleeper!$A$2:$A$201,0))))</f>
        <v>#N/A</v>
      </c>
      <c r="F308" t="e">
        <f>INDEX(Table4[RK],MATCH('Rankings Master'!D308,Table4[PLAYER NAME],0))</f>
        <v>#N/A</v>
      </c>
      <c r="G308" t="e">
        <f t="shared" si="34"/>
        <v>#N/A</v>
      </c>
      <c r="H308" t="e">
        <f t="shared" si="35"/>
        <v>#N/A</v>
      </c>
      <c r="I308" t="e">
        <f t="shared" si="38"/>
        <v>#N/A</v>
      </c>
      <c r="J308" t="str">
        <f t="shared" si="36"/>
        <v/>
      </c>
      <c r="M308" t="str">
        <f>IFERROR(INDEX(PlayerSummaryTable[Rushing Yds],MATCH('Rankings Master'!D308,PlayerSummaryTable[Player],0)),"")</f>
        <v/>
      </c>
      <c r="N308" t="str">
        <f>IFERROR(INDEX(PlayerSummaryTable[Receiving Yds],MATCH('Rankings Master'!D308,PlayerSummaryTable[Player],0)),"")</f>
        <v/>
      </c>
      <c r="O308" t="str">
        <f>IFERROR(INDEX(PlayerSummaryTable[Passing Yds],MATCH('Rankings Master'!D308,PlayerSummaryTable[Player],0)),"")</f>
        <v/>
      </c>
      <c r="U308" t="str">
        <f>IF(COUNTIF('Draft Log'!$B$2:$B$301,D308)&gt;0,"DRAFTED","")</f>
        <v/>
      </c>
      <c r="V308" t="str">
        <f>IFERROR(INDEX('Draft Log'!$A$2:$A$301,MATCH(D308,'Draft Log'!$B$2:$B$301,0)),"")</f>
        <v/>
      </c>
      <c r="W308" t="str">
        <f>IFERROR(INDEX('Draft Log'!$C$2:$C$301,MATCH(D308,'Draft Log'!$B$2:$B$301,0)),"")</f>
        <v/>
      </c>
    </row>
    <row r="309" spans="1:23">
      <c r="A309">
        <f t="shared" si="37"/>
        <v>306</v>
      </c>
      <c r="D309" t="e">
        <f>IF($D$1="ESPN",INDEX(Table2[Mapped Name],MATCH('Rankings Master'!$A309,Table2[Overall Rank],0)),IF('Rankings Master'!$D$1="NFL.com",INDEX(Table3[Name Clean],MATCH('Rankings Master'!$A309,Table3[Rank],0)),IF('Rankings Master'!$D$1="Sleeper",INDEX(Sleeper!$B$2:$B$201,MATCH('Rankings Master'!$A309,Sleeper!$A$2:$A$201,0)),"Need platform")))</f>
        <v>#N/A</v>
      </c>
      <c r="E309" t="e">
        <f>IF($D$1="ESPN",INDEX(Table2[Position],MATCH('Rankings Master'!$A309,Table2[Overall Rank],0)),IF('Rankings Master'!$D$1="NFL.com",INDEX(Table3[Position],MATCH('Rankings Master'!$A309,Table3[Rank],0)),INDEX(Sleeper!$C$2:$C$201,MATCH('Rankings Master'!A309,Sleeper!$A$2:$A$201,0))))</f>
        <v>#N/A</v>
      </c>
      <c r="F309" t="e">
        <f>INDEX(Table4[RK],MATCH('Rankings Master'!D309,Table4[PLAYER NAME],0))</f>
        <v>#N/A</v>
      </c>
      <c r="G309" t="e">
        <f t="shared" si="34"/>
        <v>#N/A</v>
      </c>
      <c r="H309" t="e">
        <f t="shared" si="35"/>
        <v>#N/A</v>
      </c>
      <c r="I309" t="e">
        <f t="shared" si="38"/>
        <v>#N/A</v>
      </c>
      <c r="J309" t="str">
        <f t="shared" si="36"/>
        <v/>
      </c>
      <c r="M309" t="str">
        <f>IFERROR(INDEX(PlayerSummaryTable[Rushing Yds],MATCH('Rankings Master'!D309,PlayerSummaryTable[Player],0)),"")</f>
        <v/>
      </c>
      <c r="N309" t="str">
        <f>IFERROR(INDEX(PlayerSummaryTable[Receiving Yds],MATCH('Rankings Master'!D309,PlayerSummaryTable[Player],0)),"")</f>
        <v/>
      </c>
      <c r="O309" t="str">
        <f>IFERROR(INDEX(PlayerSummaryTable[Passing Yds],MATCH('Rankings Master'!D309,PlayerSummaryTable[Player],0)),"")</f>
        <v/>
      </c>
      <c r="U309" t="str">
        <f>IF(COUNTIF('Draft Log'!$B$2:$B$301,D309)&gt;0,"DRAFTED","")</f>
        <v/>
      </c>
      <c r="V309" t="str">
        <f>IFERROR(INDEX('Draft Log'!$A$2:$A$301,MATCH(D309,'Draft Log'!$B$2:$B$301,0)),"")</f>
        <v/>
      </c>
      <c r="W309" t="str">
        <f>IFERROR(INDEX('Draft Log'!$C$2:$C$301,MATCH(D309,'Draft Log'!$B$2:$B$301,0)),"")</f>
        <v/>
      </c>
    </row>
    <row r="310" spans="1:23">
      <c r="A310">
        <f t="shared" si="37"/>
        <v>307</v>
      </c>
      <c r="D310" t="e">
        <f>IF($D$1="ESPN",INDEX(Table2[Mapped Name],MATCH('Rankings Master'!$A310,Table2[Overall Rank],0)),IF('Rankings Master'!$D$1="NFL.com",INDEX(Table3[Name Clean],MATCH('Rankings Master'!$A310,Table3[Rank],0)),IF('Rankings Master'!$D$1="Sleeper",INDEX(Sleeper!$B$2:$B$201,MATCH('Rankings Master'!$A310,Sleeper!$A$2:$A$201,0)),"Need platform")))</f>
        <v>#N/A</v>
      </c>
      <c r="E310" t="e">
        <f>IF($D$1="ESPN",INDEX(Table2[Position],MATCH('Rankings Master'!$A310,Table2[Overall Rank],0)),IF('Rankings Master'!$D$1="NFL.com",INDEX(Table3[Position],MATCH('Rankings Master'!$A310,Table3[Rank],0)),INDEX(Sleeper!$C$2:$C$201,MATCH('Rankings Master'!A310,Sleeper!$A$2:$A$201,0))))</f>
        <v>#N/A</v>
      </c>
      <c r="F310" t="e">
        <f>INDEX(Table4[RK],MATCH('Rankings Master'!D310,Table4[PLAYER NAME],0))</f>
        <v>#N/A</v>
      </c>
      <c r="G310" t="e">
        <f t="shared" si="34"/>
        <v>#N/A</v>
      </c>
      <c r="H310" t="e">
        <f t="shared" si="35"/>
        <v>#N/A</v>
      </c>
      <c r="I310" t="e">
        <f t="shared" si="38"/>
        <v>#N/A</v>
      </c>
      <c r="J310" t="str">
        <f t="shared" si="36"/>
        <v/>
      </c>
      <c r="M310" t="str">
        <f>IFERROR(INDEX(PlayerSummaryTable[Rushing Yds],MATCH('Rankings Master'!D310,PlayerSummaryTable[Player],0)),"")</f>
        <v/>
      </c>
      <c r="N310" t="str">
        <f>IFERROR(INDEX(PlayerSummaryTable[Receiving Yds],MATCH('Rankings Master'!D310,PlayerSummaryTable[Player],0)),"")</f>
        <v/>
      </c>
      <c r="O310" t="str">
        <f>IFERROR(INDEX(PlayerSummaryTable[Passing Yds],MATCH('Rankings Master'!D310,PlayerSummaryTable[Player],0)),"")</f>
        <v/>
      </c>
      <c r="U310" t="str">
        <f>IF(COUNTIF('Draft Log'!$B$2:$B$301,D310)&gt;0,"DRAFTED","")</f>
        <v/>
      </c>
      <c r="V310" t="str">
        <f>IFERROR(INDEX('Draft Log'!$A$2:$A$301,MATCH(D310,'Draft Log'!$B$2:$B$301,0)),"")</f>
        <v/>
      </c>
      <c r="W310" t="str">
        <f>IFERROR(INDEX('Draft Log'!$C$2:$C$301,MATCH(D310,'Draft Log'!$B$2:$B$301,0)),"")</f>
        <v/>
      </c>
    </row>
    <row r="311" spans="1:23">
      <c r="A311">
        <f t="shared" si="37"/>
        <v>308</v>
      </c>
      <c r="D311" t="e">
        <f>IF($D$1="ESPN",INDEX(Table2[Mapped Name],MATCH('Rankings Master'!$A311,Table2[Overall Rank],0)),IF('Rankings Master'!$D$1="NFL.com",INDEX(Table3[Name Clean],MATCH('Rankings Master'!$A311,Table3[Rank],0)),IF('Rankings Master'!$D$1="Sleeper",INDEX(Sleeper!$B$2:$B$201,MATCH('Rankings Master'!$A311,Sleeper!$A$2:$A$201,0)),"Need platform")))</f>
        <v>#N/A</v>
      </c>
      <c r="E311" t="e">
        <f>IF($D$1="ESPN",INDEX(Table2[Position],MATCH('Rankings Master'!$A311,Table2[Overall Rank],0)),IF('Rankings Master'!$D$1="NFL.com",INDEX(Table3[Position],MATCH('Rankings Master'!$A311,Table3[Rank],0)),INDEX(Sleeper!$C$2:$C$201,MATCH('Rankings Master'!A311,Sleeper!$A$2:$A$201,0))))</f>
        <v>#N/A</v>
      </c>
      <c r="F311" t="e">
        <f>INDEX(Table4[RK],MATCH('Rankings Master'!D311,Table4[PLAYER NAME],0))</f>
        <v>#N/A</v>
      </c>
      <c r="G311" t="e">
        <f t="shared" si="34"/>
        <v>#N/A</v>
      </c>
      <c r="H311" t="e">
        <f t="shared" si="35"/>
        <v>#N/A</v>
      </c>
      <c r="I311" t="e">
        <f t="shared" si="38"/>
        <v>#N/A</v>
      </c>
      <c r="J311" t="str">
        <f t="shared" si="36"/>
        <v/>
      </c>
      <c r="M311" t="str">
        <f>IFERROR(INDEX(PlayerSummaryTable[Rushing Yds],MATCH('Rankings Master'!D311,PlayerSummaryTable[Player],0)),"")</f>
        <v/>
      </c>
      <c r="N311" t="str">
        <f>IFERROR(INDEX(PlayerSummaryTable[Receiving Yds],MATCH('Rankings Master'!D311,PlayerSummaryTable[Player],0)),"")</f>
        <v/>
      </c>
      <c r="O311" t="str">
        <f>IFERROR(INDEX(PlayerSummaryTable[Passing Yds],MATCH('Rankings Master'!D311,PlayerSummaryTable[Player],0)),"")</f>
        <v/>
      </c>
      <c r="U311" t="str">
        <f>IF(COUNTIF('Draft Log'!$B$2:$B$301,D311)&gt;0,"DRAFTED","")</f>
        <v/>
      </c>
      <c r="V311" t="str">
        <f>IFERROR(INDEX('Draft Log'!$A$2:$A$301,MATCH(D311,'Draft Log'!$B$2:$B$301,0)),"")</f>
        <v/>
      </c>
      <c r="W311" t="str">
        <f>IFERROR(INDEX('Draft Log'!$C$2:$C$301,MATCH(D311,'Draft Log'!$B$2:$B$301,0)),"")</f>
        <v/>
      </c>
    </row>
    <row r="312" spans="1:23">
      <c r="A312">
        <f t="shared" si="37"/>
        <v>309</v>
      </c>
      <c r="D312" t="e">
        <f>IF($D$1="ESPN",INDEX(Table2[Mapped Name],MATCH('Rankings Master'!$A312,Table2[Overall Rank],0)),IF('Rankings Master'!$D$1="NFL.com",INDEX(Table3[Name Clean],MATCH('Rankings Master'!$A312,Table3[Rank],0)),IF('Rankings Master'!$D$1="Sleeper",INDEX(Sleeper!$B$2:$B$201,MATCH('Rankings Master'!$A312,Sleeper!$A$2:$A$201,0)),"Need platform")))</f>
        <v>#N/A</v>
      </c>
      <c r="E312" t="e">
        <f>IF($D$1="ESPN",INDEX(Table2[Position],MATCH('Rankings Master'!$A312,Table2[Overall Rank],0)),IF('Rankings Master'!$D$1="NFL.com",INDEX(Table3[Position],MATCH('Rankings Master'!$A312,Table3[Rank],0)),INDEX(Sleeper!$C$2:$C$201,MATCH('Rankings Master'!A312,Sleeper!$A$2:$A$201,0))))</f>
        <v>#N/A</v>
      </c>
      <c r="F312" t="e">
        <f>INDEX(Table4[RK],MATCH('Rankings Master'!D312,Table4[PLAYER NAME],0))</f>
        <v>#N/A</v>
      </c>
      <c r="G312" t="e">
        <f t="shared" si="34"/>
        <v>#N/A</v>
      </c>
      <c r="H312" t="e">
        <f t="shared" si="35"/>
        <v>#N/A</v>
      </c>
      <c r="I312" t="e">
        <f t="shared" si="38"/>
        <v>#N/A</v>
      </c>
      <c r="J312" t="str">
        <f t="shared" si="36"/>
        <v/>
      </c>
      <c r="M312" t="str">
        <f>IFERROR(INDEX(PlayerSummaryTable[Rushing Yds],MATCH('Rankings Master'!D312,PlayerSummaryTable[Player],0)),"")</f>
        <v/>
      </c>
      <c r="N312" t="str">
        <f>IFERROR(INDEX(PlayerSummaryTable[Receiving Yds],MATCH('Rankings Master'!D312,PlayerSummaryTable[Player],0)),"")</f>
        <v/>
      </c>
      <c r="O312" t="str">
        <f>IFERROR(INDEX(PlayerSummaryTable[Passing Yds],MATCH('Rankings Master'!D312,PlayerSummaryTable[Player],0)),"")</f>
        <v/>
      </c>
      <c r="U312" t="str">
        <f>IF(COUNTIF('Draft Log'!$B$2:$B$301,D312)&gt;0,"DRAFTED","")</f>
        <v/>
      </c>
      <c r="V312" t="str">
        <f>IFERROR(INDEX('Draft Log'!$A$2:$A$301,MATCH(D312,'Draft Log'!$B$2:$B$301,0)),"")</f>
        <v/>
      </c>
      <c r="W312" t="str">
        <f>IFERROR(INDEX('Draft Log'!$C$2:$C$301,MATCH(D312,'Draft Log'!$B$2:$B$301,0)),"")</f>
        <v/>
      </c>
    </row>
    <row r="313" spans="1:23">
      <c r="A313">
        <f t="shared" si="37"/>
        <v>310</v>
      </c>
      <c r="D313" t="e">
        <f>IF($D$1="ESPN",INDEX(Table2[Mapped Name],MATCH('Rankings Master'!$A313,Table2[Overall Rank],0)),IF('Rankings Master'!$D$1="NFL.com",INDEX(Table3[Name Clean],MATCH('Rankings Master'!$A313,Table3[Rank],0)),IF('Rankings Master'!$D$1="Sleeper",INDEX(Sleeper!$B$2:$B$201,MATCH('Rankings Master'!$A313,Sleeper!$A$2:$A$201,0)),"Need platform")))</f>
        <v>#N/A</v>
      </c>
      <c r="E313" t="e">
        <f>IF($D$1="ESPN",INDEX(Table2[Position],MATCH('Rankings Master'!$A313,Table2[Overall Rank],0)),IF('Rankings Master'!$D$1="NFL.com",INDEX(Table3[Position],MATCH('Rankings Master'!$A313,Table3[Rank],0)),INDEX(Sleeper!$C$2:$C$201,MATCH('Rankings Master'!A313,Sleeper!$A$2:$A$201,0))))</f>
        <v>#N/A</v>
      </c>
      <c r="F313" t="e">
        <f>INDEX(Table4[RK],MATCH('Rankings Master'!D313,Table4[PLAYER NAME],0))</f>
        <v>#N/A</v>
      </c>
      <c r="G313" t="e">
        <f t="shared" si="34"/>
        <v>#N/A</v>
      </c>
      <c r="H313" t="e">
        <f t="shared" si="35"/>
        <v>#N/A</v>
      </c>
      <c r="I313" t="e">
        <f t="shared" si="38"/>
        <v>#N/A</v>
      </c>
      <c r="J313" t="str">
        <f t="shared" si="36"/>
        <v/>
      </c>
      <c r="M313" t="str">
        <f>IFERROR(INDEX(PlayerSummaryTable[Rushing Yds],MATCH('Rankings Master'!D313,PlayerSummaryTable[Player],0)),"")</f>
        <v/>
      </c>
      <c r="N313" t="str">
        <f>IFERROR(INDEX(PlayerSummaryTable[Receiving Yds],MATCH('Rankings Master'!D313,PlayerSummaryTable[Player],0)),"")</f>
        <v/>
      </c>
      <c r="O313" t="str">
        <f>IFERROR(INDEX(PlayerSummaryTable[Passing Yds],MATCH('Rankings Master'!D313,PlayerSummaryTable[Player],0)),"")</f>
        <v/>
      </c>
      <c r="U313" t="str">
        <f>IF(COUNTIF('Draft Log'!$B$2:$B$301,D313)&gt;0,"DRAFTED","")</f>
        <v/>
      </c>
      <c r="V313" t="str">
        <f>IFERROR(INDEX('Draft Log'!$A$2:$A$301,MATCH(D313,'Draft Log'!$B$2:$B$301,0)),"")</f>
        <v/>
      </c>
      <c r="W313" t="str">
        <f>IFERROR(INDEX('Draft Log'!$C$2:$C$301,MATCH(D313,'Draft Log'!$B$2:$B$301,0)),"")</f>
        <v/>
      </c>
    </row>
    <row r="314" spans="1:23">
      <c r="A314">
        <f t="shared" si="37"/>
        <v>311</v>
      </c>
      <c r="D314" t="e">
        <f>IF($D$1="ESPN",INDEX(Table2[Mapped Name],MATCH('Rankings Master'!$A314,Table2[Overall Rank],0)),IF('Rankings Master'!$D$1="NFL.com",INDEX(Table3[Name Clean],MATCH('Rankings Master'!$A314,Table3[Rank],0)),IF('Rankings Master'!$D$1="Sleeper",INDEX(Sleeper!$B$2:$B$201,MATCH('Rankings Master'!$A314,Sleeper!$A$2:$A$201,0)),"Need platform")))</f>
        <v>#N/A</v>
      </c>
      <c r="E314" t="e">
        <f>IF($D$1="ESPN",INDEX(Table2[Position],MATCH('Rankings Master'!$A314,Table2[Overall Rank],0)),IF('Rankings Master'!$D$1="NFL.com",INDEX(Table3[Position],MATCH('Rankings Master'!$A314,Table3[Rank],0)),INDEX(Sleeper!$C$2:$C$201,MATCH('Rankings Master'!A314,Sleeper!$A$2:$A$201,0))))</f>
        <v>#N/A</v>
      </c>
      <c r="F314" t="e">
        <f>INDEX(Table4[RK],MATCH('Rankings Master'!D314,Table4[PLAYER NAME],0))</f>
        <v>#N/A</v>
      </c>
      <c r="G314" t="e">
        <f t="shared" si="34"/>
        <v>#N/A</v>
      </c>
      <c r="H314" t="e">
        <f t="shared" si="35"/>
        <v>#N/A</v>
      </c>
      <c r="I314" t="e">
        <f t="shared" si="38"/>
        <v>#N/A</v>
      </c>
      <c r="J314" t="str">
        <f t="shared" si="36"/>
        <v/>
      </c>
      <c r="M314" t="str">
        <f>IFERROR(INDEX(PlayerSummaryTable[Rushing Yds],MATCH('Rankings Master'!D314,PlayerSummaryTable[Player],0)),"")</f>
        <v/>
      </c>
      <c r="N314" t="str">
        <f>IFERROR(INDEX(PlayerSummaryTable[Receiving Yds],MATCH('Rankings Master'!D314,PlayerSummaryTable[Player],0)),"")</f>
        <v/>
      </c>
      <c r="O314" t="str">
        <f>IFERROR(INDEX(PlayerSummaryTable[Passing Yds],MATCH('Rankings Master'!D314,PlayerSummaryTable[Player],0)),"")</f>
        <v/>
      </c>
      <c r="U314" t="str">
        <f>IF(COUNTIF('Draft Log'!$B$2:$B$301,D314)&gt;0,"DRAFTED","")</f>
        <v/>
      </c>
      <c r="V314" t="str">
        <f>IFERROR(INDEX('Draft Log'!$A$2:$A$301,MATCH(D314,'Draft Log'!$B$2:$B$301,0)),"")</f>
        <v/>
      </c>
      <c r="W314" t="str">
        <f>IFERROR(INDEX('Draft Log'!$C$2:$C$301,MATCH(D314,'Draft Log'!$B$2:$B$301,0)),"")</f>
        <v/>
      </c>
    </row>
    <row r="315" spans="1:23">
      <c r="A315">
        <f t="shared" si="37"/>
        <v>312</v>
      </c>
      <c r="D315" t="e">
        <f>IF($D$1="ESPN",INDEX(Table2[Mapped Name],MATCH('Rankings Master'!$A315,Table2[Overall Rank],0)),IF('Rankings Master'!$D$1="NFL.com",INDEX(Table3[Name Clean],MATCH('Rankings Master'!$A315,Table3[Rank],0)),IF('Rankings Master'!$D$1="Sleeper",INDEX(Sleeper!$B$2:$B$201,MATCH('Rankings Master'!$A315,Sleeper!$A$2:$A$201,0)),"Need platform")))</f>
        <v>#N/A</v>
      </c>
      <c r="E315" t="e">
        <f>IF($D$1="ESPN",INDEX(Table2[Position],MATCH('Rankings Master'!$A315,Table2[Overall Rank],0)),IF('Rankings Master'!$D$1="NFL.com",INDEX(Table3[Position],MATCH('Rankings Master'!$A315,Table3[Rank],0)),INDEX(Sleeper!$C$2:$C$201,MATCH('Rankings Master'!A315,Sleeper!$A$2:$A$201,0))))</f>
        <v>#N/A</v>
      </c>
      <c r="F315" t="e">
        <f>INDEX(Table4[RK],MATCH('Rankings Master'!D315,Table4[PLAYER NAME],0))</f>
        <v>#N/A</v>
      </c>
      <c r="G315" t="e">
        <f t="shared" si="34"/>
        <v>#N/A</v>
      </c>
      <c r="H315" t="e">
        <f t="shared" si="35"/>
        <v>#N/A</v>
      </c>
      <c r="I315" t="e">
        <f t="shared" si="38"/>
        <v>#N/A</v>
      </c>
      <c r="J315" t="str">
        <f t="shared" si="36"/>
        <v/>
      </c>
      <c r="M315" t="str">
        <f>IFERROR(INDEX(PlayerSummaryTable[Rushing Yds],MATCH('Rankings Master'!D315,PlayerSummaryTable[Player],0)),"")</f>
        <v/>
      </c>
      <c r="N315" t="str">
        <f>IFERROR(INDEX(PlayerSummaryTable[Receiving Yds],MATCH('Rankings Master'!D315,PlayerSummaryTable[Player],0)),"")</f>
        <v/>
      </c>
      <c r="O315" t="str">
        <f>IFERROR(INDEX(PlayerSummaryTable[Passing Yds],MATCH('Rankings Master'!D315,PlayerSummaryTable[Player],0)),"")</f>
        <v/>
      </c>
      <c r="U315" t="str">
        <f>IF(COUNTIF('Draft Log'!$B$2:$B$301,D315)&gt;0,"DRAFTED","")</f>
        <v/>
      </c>
      <c r="V315" t="str">
        <f>IFERROR(INDEX('Draft Log'!$A$2:$A$301,MATCH(D315,'Draft Log'!$B$2:$B$301,0)),"")</f>
        <v/>
      </c>
      <c r="W315" t="str">
        <f>IFERROR(INDEX('Draft Log'!$C$2:$C$301,MATCH(D315,'Draft Log'!$B$2:$B$301,0)),"")</f>
        <v/>
      </c>
    </row>
    <row r="316" spans="1:23">
      <c r="A316">
        <f t="shared" si="37"/>
        <v>313</v>
      </c>
      <c r="D316" t="e">
        <f>IF($D$1="ESPN",INDEX(Table2[Mapped Name],MATCH('Rankings Master'!$A316,Table2[Overall Rank],0)),IF('Rankings Master'!$D$1="NFL.com",INDEX(Table3[Name Clean],MATCH('Rankings Master'!$A316,Table3[Rank],0)),IF('Rankings Master'!$D$1="Sleeper",INDEX(Sleeper!$B$2:$B$201,MATCH('Rankings Master'!$A316,Sleeper!$A$2:$A$201,0)),"Need platform")))</f>
        <v>#N/A</v>
      </c>
      <c r="E316" t="e">
        <f>IF($D$1="ESPN",INDEX(Table2[Position],MATCH('Rankings Master'!$A316,Table2[Overall Rank],0)),IF('Rankings Master'!$D$1="NFL.com",INDEX(Table3[Position],MATCH('Rankings Master'!$A316,Table3[Rank],0)),INDEX(Sleeper!$C$2:$C$201,MATCH('Rankings Master'!A316,Sleeper!$A$2:$A$201,0))))</f>
        <v>#N/A</v>
      </c>
      <c r="F316" t="e">
        <f>INDEX(Table4[RK],MATCH('Rankings Master'!D316,Table4[PLAYER NAME],0))</f>
        <v>#N/A</v>
      </c>
      <c r="G316" t="e">
        <f t="shared" si="34"/>
        <v>#N/A</v>
      </c>
      <c r="H316" t="e">
        <f t="shared" si="35"/>
        <v>#N/A</v>
      </c>
      <c r="I316" t="e">
        <f t="shared" si="38"/>
        <v>#N/A</v>
      </c>
      <c r="J316" t="str">
        <f t="shared" si="36"/>
        <v/>
      </c>
      <c r="M316" t="str">
        <f>IFERROR(INDEX(PlayerSummaryTable[Rushing Yds],MATCH('Rankings Master'!D316,PlayerSummaryTable[Player],0)),"")</f>
        <v/>
      </c>
      <c r="N316" t="str">
        <f>IFERROR(INDEX(PlayerSummaryTable[Receiving Yds],MATCH('Rankings Master'!D316,PlayerSummaryTable[Player],0)),"")</f>
        <v/>
      </c>
      <c r="O316" t="str">
        <f>IFERROR(INDEX(PlayerSummaryTable[Passing Yds],MATCH('Rankings Master'!D316,PlayerSummaryTable[Player],0)),"")</f>
        <v/>
      </c>
      <c r="U316" t="str">
        <f>IF(COUNTIF('Draft Log'!$B$2:$B$301,D316)&gt;0,"DRAFTED","")</f>
        <v/>
      </c>
      <c r="V316" t="str">
        <f>IFERROR(INDEX('Draft Log'!$A$2:$A$301,MATCH(D316,'Draft Log'!$B$2:$B$301,0)),"")</f>
        <v/>
      </c>
      <c r="W316" t="str">
        <f>IFERROR(INDEX('Draft Log'!$C$2:$C$301,MATCH(D316,'Draft Log'!$B$2:$B$301,0)),"")</f>
        <v/>
      </c>
    </row>
    <row r="317" spans="1:23">
      <c r="A317">
        <f t="shared" si="37"/>
        <v>314</v>
      </c>
      <c r="D317" t="e">
        <f>IF($D$1="ESPN",INDEX(Table2[Mapped Name],MATCH('Rankings Master'!$A317,Table2[Overall Rank],0)),IF('Rankings Master'!$D$1="NFL.com",INDEX(Table3[Name Clean],MATCH('Rankings Master'!$A317,Table3[Rank],0)),IF('Rankings Master'!$D$1="Sleeper",INDEX(Sleeper!$B$2:$B$201,MATCH('Rankings Master'!$A317,Sleeper!$A$2:$A$201,0)),"Need platform")))</f>
        <v>#N/A</v>
      </c>
      <c r="E317" t="e">
        <f>IF($D$1="ESPN",INDEX(Table2[Position],MATCH('Rankings Master'!$A317,Table2[Overall Rank],0)),IF('Rankings Master'!$D$1="NFL.com",INDEX(Table3[Position],MATCH('Rankings Master'!$A317,Table3[Rank],0)),INDEX(Sleeper!$C$2:$C$201,MATCH('Rankings Master'!A317,Sleeper!$A$2:$A$201,0))))</f>
        <v>#N/A</v>
      </c>
      <c r="F317" t="e">
        <f>INDEX(Table4[RK],MATCH('Rankings Master'!D317,Table4[PLAYER NAME],0))</f>
        <v>#N/A</v>
      </c>
      <c r="G317" t="e">
        <f t="shared" si="34"/>
        <v>#N/A</v>
      </c>
      <c r="H317" t="e">
        <f t="shared" si="35"/>
        <v>#N/A</v>
      </c>
      <c r="I317" t="e">
        <f t="shared" si="38"/>
        <v>#N/A</v>
      </c>
      <c r="J317" t="str">
        <f t="shared" si="36"/>
        <v/>
      </c>
      <c r="M317" t="str">
        <f>IFERROR(INDEX(PlayerSummaryTable[Rushing Yds],MATCH('Rankings Master'!D317,PlayerSummaryTable[Player],0)),"")</f>
        <v/>
      </c>
      <c r="N317" t="str">
        <f>IFERROR(INDEX(PlayerSummaryTable[Receiving Yds],MATCH('Rankings Master'!D317,PlayerSummaryTable[Player],0)),"")</f>
        <v/>
      </c>
      <c r="O317" t="str">
        <f>IFERROR(INDEX(PlayerSummaryTable[Passing Yds],MATCH('Rankings Master'!D317,PlayerSummaryTable[Player],0)),"")</f>
        <v/>
      </c>
      <c r="U317" t="str">
        <f>IF(COUNTIF('Draft Log'!$B$2:$B$301,D317)&gt;0,"DRAFTED","")</f>
        <v/>
      </c>
      <c r="V317" t="str">
        <f>IFERROR(INDEX('Draft Log'!$A$2:$A$301,MATCH(D317,'Draft Log'!$B$2:$B$301,0)),"")</f>
        <v/>
      </c>
      <c r="W317" t="str">
        <f>IFERROR(INDEX('Draft Log'!$C$2:$C$301,MATCH(D317,'Draft Log'!$B$2:$B$301,0)),"")</f>
        <v/>
      </c>
    </row>
    <row r="318" spans="1:23">
      <c r="A318">
        <f t="shared" si="37"/>
        <v>315</v>
      </c>
      <c r="D318" t="e">
        <f>IF($D$1="ESPN",INDEX(Table2[Mapped Name],MATCH('Rankings Master'!$A318,Table2[Overall Rank],0)),IF('Rankings Master'!$D$1="NFL.com",INDEX(Table3[Name Clean],MATCH('Rankings Master'!$A318,Table3[Rank],0)),IF('Rankings Master'!$D$1="Sleeper",INDEX(Sleeper!$B$2:$B$201,MATCH('Rankings Master'!$A318,Sleeper!$A$2:$A$201,0)),"Need platform")))</f>
        <v>#N/A</v>
      </c>
      <c r="E318" t="e">
        <f>IF($D$1="ESPN",INDEX(Table2[Position],MATCH('Rankings Master'!$A318,Table2[Overall Rank],0)),IF('Rankings Master'!$D$1="NFL.com",INDEX(Table3[Position],MATCH('Rankings Master'!$A318,Table3[Rank],0)),INDEX(Sleeper!$C$2:$C$201,MATCH('Rankings Master'!A318,Sleeper!$A$2:$A$201,0))))</f>
        <v>#N/A</v>
      </c>
      <c r="F318" t="e">
        <f>INDEX(Table4[RK],MATCH('Rankings Master'!D318,Table4[PLAYER NAME],0))</f>
        <v>#N/A</v>
      </c>
      <c r="G318" t="e">
        <f t="shared" si="34"/>
        <v>#N/A</v>
      </c>
      <c r="H318" t="e">
        <f t="shared" si="35"/>
        <v>#N/A</v>
      </c>
      <c r="I318" t="e">
        <f t="shared" si="38"/>
        <v>#N/A</v>
      </c>
      <c r="J318" t="str">
        <f t="shared" si="36"/>
        <v/>
      </c>
      <c r="M318" t="str">
        <f>IFERROR(INDEX(PlayerSummaryTable[Rushing Yds],MATCH('Rankings Master'!D318,PlayerSummaryTable[Player],0)),"")</f>
        <v/>
      </c>
      <c r="N318" t="str">
        <f>IFERROR(INDEX(PlayerSummaryTable[Receiving Yds],MATCH('Rankings Master'!D318,PlayerSummaryTable[Player],0)),"")</f>
        <v/>
      </c>
      <c r="O318" t="str">
        <f>IFERROR(INDEX(PlayerSummaryTable[Passing Yds],MATCH('Rankings Master'!D318,PlayerSummaryTable[Player],0)),"")</f>
        <v/>
      </c>
      <c r="U318" t="str">
        <f>IF(COUNTIF('Draft Log'!$B$2:$B$301,D318)&gt;0,"DRAFTED","")</f>
        <v/>
      </c>
      <c r="V318" t="str">
        <f>IFERROR(INDEX('Draft Log'!$A$2:$A$301,MATCH(D318,'Draft Log'!$B$2:$B$301,0)),"")</f>
        <v/>
      </c>
      <c r="W318" t="str">
        <f>IFERROR(INDEX('Draft Log'!$C$2:$C$301,MATCH(D318,'Draft Log'!$B$2:$B$301,0)),"")</f>
        <v/>
      </c>
    </row>
    <row r="319" spans="1:23">
      <c r="A319">
        <f t="shared" si="37"/>
        <v>316</v>
      </c>
      <c r="D319" t="e">
        <f>IF($D$1="ESPN",INDEX(Table2[Mapped Name],MATCH('Rankings Master'!$A319,Table2[Overall Rank],0)),IF('Rankings Master'!$D$1="NFL.com",INDEX(Table3[Name Clean],MATCH('Rankings Master'!$A319,Table3[Rank],0)),IF('Rankings Master'!$D$1="Sleeper",INDEX(Sleeper!$B$2:$B$201,MATCH('Rankings Master'!$A319,Sleeper!$A$2:$A$201,0)),"Need platform")))</f>
        <v>#N/A</v>
      </c>
      <c r="E319" t="e">
        <f>IF($D$1="ESPN",INDEX(Table2[Position],MATCH('Rankings Master'!$A319,Table2[Overall Rank],0)),IF('Rankings Master'!$D$1="NFL.com",INDEX(Table3[Position],MATCH('Rankings Master'!$A319,Table3[Rank],0)),INDEX(Sleeper!$C$2:$C$201,MATCH('Rankings Master'!A319,Sleeper!$A$2:$A$201,0))))</f>
        <v>#N/A</v>
      </c>
      <c r="F319" t="e">
        <f>INDEX(Table4[RK],MATCH('Rankings Master'!D319,Table4[PLAYER NAME],0))</f>
        <v>#N/A</v>
      </c>
      <c r="G319" t="e">
        <f t="shared" si="34"/>
        <v>#N/A</v>
      </c>
      <c r="H319" t="e">
        <f t="shared" si="35"/>
        <v>#N/A</v>
      </c>
      <c r="I319" t="e">
        <f t="shared" si="38"/>
        <v>#N/A</v>
      </c>
      <c r="J319" t="str">
        <f t="shared" si="36"/>
        <v/>
      </c>
      <c r="M319" t="str">
        <f>IFERROR(INDEX(PlayerSummaryTable[Rushing Yds],MATCH('Rankings Master'!D319,PlayerSummaryTable[Player],0)),"")</f>
        <v/>
      </c>
      <c r="N319" t="str">
        <f>IFERROR(INDEX(PlayerSummaryTable[Receiving Yds],MATCH('Rankings Master'!D319,PlayerSummaryTable[Player],0)),"")</f>
        <v/>
      </c>
      <c r="O319" t="str">
        <f>IFERROR(INDEX(PlayerSummaryTable[Passing Yds],MATCH('Rankings Master'!D319,PlayerSummaryTable[Player],0)),"")</f>
        <v/>
      </c>
      <c r="U319" t="str">
        <f>IF(COUNTIF('Draft Log'!$B$2:$B$301,D319)&gt;0,"DRAFTED","")</f>
        <v/>
      </c>
      <c r="V319" t="str">
        <f>IFERROR(INDEX('Draft Log'!$A$2:$A$301,MATCH(D319,'Draft Log'!$B$2:$B$301,0)),"")</f>
        <v/>
      </c>
      <c r="W319" t="str">
        <f>IFERROR(INDEX('Draft Log'!$C$2:$C$301,MATCH(D319,'Draft Log'!$B$2:$B$301,0)),"")</f>
        <v/>
      </c>
    </row>
    <row r="320" spans="1:23">
      <c r="A320">
        <f t="shared" si="37"/>
        <v>317</v>
      </c>
      <c r="D320" t="e">
        <f>IF($D$1="ESPN",INDEX(Table2[Mapped Name],MATCH('Rankings Master'!$A320,Table2[Overall Rank],0)),IF('Rankings Master'!$D$1="NFL.com",INDEX(Table3[Name Clean],MATCH('Rankings Master'!$A320,Table3[Rank],0)),IF('Rankings Master'!$D$1="Sleeper",INDEX(Sleeper!$B$2:$B$201,MATCH('Rankings Master'!$A320,Sleeper!$A$2:$A$201,0)),"Need platform")))</f>
        <v>#N/A</v>
      </c>
      <c r="E320" t="e">
        <f>IF($D$1="ESPN",INDEX(Table2[Position],MATCH('Rankings Master'!$A320,Table2[Overall Rank],0)),IF('Rankings Master'!$D$1="NFL.com",INDEX(Table3[Position],MATCH('Rankings Master'!$A320,Table3[Rank],0)),INDEX(Sleeper!$C$2:$C$201,MATCH('Rankings Master'!A320,Sleeper!$A$2:$A$201,0))))</f>
        <v>#N/A</v>
      </c>
      <c r="F320" t="e">
        <f>INDEX(Table4[RK],MATCH('Rankings Master'!D320,Table4[PLAYER NAME],0))</f>
        <v>#N/A</v>
      </c>
      <c r="G320" t="e">
        <f t="shared" si="34"/>
        <v>#N/A</v>
      </c>
      <c r="H320" t="e">
        <f t="shared" si="35"/>
        <v>#N/A</v>
      </c>
      <c r="I320" t="e">
        <f t="shared" si="38"/>
        <v>#N/A</v>
      </c>
      <c r="J320" t="str">
        <f t="shared" si="36"/>
        <v/>
      </c>
      <c r="M320" t="str">
        <f>IFERROR(INDEX(PlayerSummaryTable[Rushing Yds],MATCH('Rankings Master'!D320,PlayerSummaryTable[Player],0)),"")</f>
        <v/>
      </c>
      <c r="N320" t="str">
        <f>IFERROR(INDEX(PlayerSummaryTable[Receiving Yds],MATCH('Rankings Master'!D320,PlayerSummaryTable[Player],0)),"")</f>
        <v/>
      </c>
      <c r="O320" t="str">
        <f>IFERROR(INDEX(PlayerSummaryTable[Passing Yds],MATCH('Rankings Master'!D320,PlayerSummaryTable[Player],0)),"")</f>
        <v/>
      </c>
      <c r="U320" t="str">
        <f>IF(COUNTIF('Draft Log'!$B$2:$B$301,D320)&gt;0,"DRAFTED","")</f>
        <v/>
      </c>
      <c r="V320" t="str">
        <f>IFERROR(INDEX('Draft Log'!$A$2:$A$301,MATCH(D320,'Draft Log'!$B$2:$B$301,0)),"")</f>
        <v/>
      </c>
      <c r="W320" t="str">
        <f>IFERROR(INDEX('Draft Log'!$C$2:$C$301,MATCH(D320,'Draft Log'!$B$2:$B$301,0)),"")</f>
        <v/>
      </c>
    </row>
    <row r="321" spans="1:23">
      <c r="A321">
        <f t="shared" si="37"/>
        <v>318</v>
      </c>
      <c r="D321" t="e">
        <f>IF($D$1="ESPN",INDEX(Table2[Mapped Name],MATCH('Rankings Master'!$A321,Table2[Overall Rank],0)),IF('Rankings Master'!$D$1="NFL.com",INDEX(Table3[Name Clean],MATCH('Rankings Master'!$A321,Table3[Rank],0)),IF('Rankings Master'!$D$1="Sleeper",INDEX(Sleeper!$B$2:$B$201,MATCH('Rankings Master'!$A321,Sleeper!$A$2:$A$201,0)),"Need platform")))</f>
        <v>#N/A</v>
      </c>
      <c r="E321" t="e">
        <f>IF($D$1="ESPN",INDEX(Table2[Position],MATCH('Rankings Master'!$A321,Table2[Overall Rank],0)),IF('Rankings Master'!$D$1="NFL.com",INDEX(Table3[Position],MATCH('Rankings Master'!$A321,Table3[Rank],0)),INDEX(Sleeper!$C$2:$C$201,MATCH('Rankings Master'!A321,Sleeper!$A$2:$A$201,0))))</f>
        <v>#N/A</v>
      </c>
      <c r="F321" t="e">
        <f>INDEX(Table4[RK],MATCH('Rankings Master'!D321,Table4[PLAYER NAME],0))</f>
        <v>#N/A</v>
      </c>
      <c r="G321" t="e">
        <f t="shared" si="34"/>
        <v>#N/A</v>
      </c>
      <c r="H321" t="e">
        <f t="shared" si="35"/>
        <v>#N/A</v>
      </c>
      <c r="I321" t="e">
        <f t="shared" si="38"/>
        <v>#N/A</v>
      </c>
      <c r="J321" t="str">
        <f t="shared" si="36"/>
        <v/>
      </c>
      <c r="M321" t="str">
        <f>IFERROR(INDEX(PlayerSummaryTable[Rushing Yds],MATCH('Rankings Master'!D321,PlayerSummaryTable[Player],0)),"")</f>
        <v/>
      </c>
      <c r="N321" t="str">
        <f>IFERROR(INDEX(PlayerSummaryTable[Receiving Yds],MATCH('Rankings Master'!D321,PlayerSummaryTable[Player],0)),"")</f>
        <v/>
      </c>
      <c r="O321" t="str">
        <f>IFERROR(INDEX(PlayerSummaryTable[Passing Yds],MATCH('Rankings Master'!D321,PlayerSummaryTable[Player],0)),"")</f>
        <v/>
      </c>
      <c r="U321" t="str">
        <f>IF(COUNTIF('Draft Log'!$B$2:$B$301,D321)&gt;0,"DRAFTED","")</f>
        <v/>
      </c>
      <c r="V321" t="str">
        <f>IFERROR(INDEX('Draft Log'!$A$2:$A$301,MATCH(D321,'Draft Log'!$B$2:$B$301,0)),"")</f>
        <v/>
      </c>
      <c r="W321" t="str">
        <f>IFERROR(INDEX('Draft Log'!$C$2:$C$301,MATCH(D321,'Draft Log'!$B$2:$B$301,0)),"")</f>
        <v/>
      </c>
    </row>
    <row r="322" spans="1:23">
      <c r="A322">
        <f t="shared" si="37"/>
        <v>319</v>
      </c>
      <c r="D322" t="e">
        <f>IF($D$1="ESPN",INDEX(Table2[Mapped Name],MATCH('Rankings Master'!$A322,Table2[Overall Rank],0)),IF('Rankings Master'!$D$1="NFL.com",INDEX(Table3[Name Clean],MATCH('Rankings Master'!$A322,Table3[Rank],0)),IF('Rankings Master'!$D$1="Sleeper",INDEX(Sleeper!$B$2:$B$201,MATCH('Rankings Master'!$A322,Sleeper!$A$2:$A$201,0)),"Need platform")))</f>
        <v>#N/A</v>
      </c>
      <c r="E322" t="e">
        <f>IF($D$1="ESPN",INDEX(Table2[Position],MATCH('Rankings Master'!$A322,Table2[Overall Rank],0)),IF('Rankings Master'!$D$1="NFL.com",INDEX(Table3[Position],MATCH('Rankings Master'!$A322,Table3[Rank],0)),INDEX(Sleeper!$C$2:$C$201,MATCH('Rankings Master'!A322,Sleeper!$A$2:$A$201,0))))</f>
        <v>#N/A</v>
      </c>
      <c r="F322" t="e">
        <f>INDEX(Table4[RK],MATCH('Rankings Master'!D322,Table4[PLAYER NAME],0))</f>
        <v>#N/A</v>
      </c>
      <c r="G322" t="e">
        <f t="shared" si="34"/>
        <v>#N/A</v>
      </c>
      <c r="H322" t="e">
        <f t="shared" si="35"/>
        <v>#N/A</v>
      </c>
      <c r="I322" t="e">
        <f t="shared" si="38"/>
        <v>#N/A</v>
      </c>
      <c r="J322" t="str">
        <f t="shared" si="36"/>
        <v/>
      </c>
      <c r="M322" t="str">
        <f>IFERROR(INDEX(PlayerSummaryTable[Rushing Yds],MATCH('Rankings Master'!D322,PlayerSummaryTable[Player],0)),"")</f>
        <v/>
      </c>
      <c r="N322" t="str">
        <f>IFERROR(INDEX(PlayerSummaryTable[Receiving Yds],MATCH('Rankings Master'!D322,PlayerSummaryTable[Player],0)),"")</f>
        <v/>
      </c>
      <c r="O322" t="str">
        <f>IFERROR(INDEX(PlayerSummaryTable[Passing Yds],MATCH('Rankings Master'!D322,PlayerSummaryTable[Player],0)),"")</f>
        <v/>
      </c>
      <c r="U322" t="str">
        <f>IF(COUNTIF('Draft Log'!$B$2:$B$301,D322)&gt;0,"DRAFTED","")</f>
        <v/>
      </c>
      <c r="V322" t="str">
        <f>IFERROR(INDEX('Draft Log'!$A$2:$A$301,MATCH(D322,'Draft Log'!$B$2:$B$301,0)),"")</f>
        <v/>
      </c>
      <c r="W322" t="str">
        <f>IFERROR(INDEX('Draft Log'!$C$2:$C$301,MATCH(D322,'Draft Log'!$B$2:$B$301,0)),"")</f>
        <v/>
      </c>
    </row>
    <row r="323" spans="1:23">
      <c r="A323">
        <f t="shared" si="37"/>
        <v>320</v>
      </c>
      <c r="D323" t="e">
        <f>IF($D$1="ESPN",INDEX(Table2[Mapped Name],MATCH('Rankings Master'!$A323,Table2[Overall Rank],0)),IF('Rankings Master'!$D$1="NFL.com",INDEX(Table3[Name Clean],MATCH('Rankings Master'!$A323,Table3[Rank],0)),IF('Rankings Master'!$D$1="Sleeper",INDEX(Sleeper!$B$2:$B$201,MATCH('Rankings Master'!$A323,Sleeper!$A$2:$A$201,0)),"Need platform")))</f>
        <v>#N/A</v>
      </c>
      <c r="E323" t="e">
        <f>IF($D$1="ESPN",INDEX(Table2[Position],MATCH('Rankings Master'!$A323,Table2[Overall Rank],0)),IF('Rankings Master'!$D$1="NFL.com",INDEX(Table3[Position],MATCH('Rankings Master'!$A323,Table3[Rank],0)),INDEX(Sleeper!$C$2:$C$201,MATCH('Rankings Master'!A323,Sleeper!$A$2:$A$201,0))))</f>
        <v>#N/A</v>
      </c>
      <c r="F323" t="e">
        <f>INDEX(Table4[RK],MATCH('Rankings Master'!D323,Table4[PLAYER NAME],0))</f>
        <v>#N/A</v>
      </c>
      <c r="G323" t="e">
        <f t="shared" si="34"/>
        <v>#N/A</v>
      </c>
      <c r="H323" t="e">
        <f t="shared" si="35"/>
        <v>#N/A</v>
      </c>
      <c r="I323" t="e">
        <f t="shared" si="38"/>
        <v>#N/A</v>
      </c>
      <c r="J323" t="str">
        <f t="shared" si="36"/>
        <v/>
      </c>
      <c r="M323" t="str">
        <f>IFERROR(INDEX(PlayerSummaryTable[Rushing Yds],MATCH('Rankings Master'!D323,PlayerSummaryTable[Player],0)),"")</f>
        <v/>
      </c>
      <c r="N323" t="str">
        <f>IFERROR(INDEX(PlayerSummaryTable[Receiving Yds],MATCH('Rankings Master'!D323,PlayerSummaryTable[Player],0)),"")</f>
        <v/>
      </c>
      <c r="O323" t="str">
        <f>IFERROR(INDEX(PlayerSummaryTable[Passing Yds],MATCH('Rankings Master'!D323,PlayerSummaryTable[Player],0)),"")</f>
        <v/>
      </c>
      <c r="U323" t="str">
        <f>IF(COUNTIF('Draft Log'!$B$2:$B$301,D323)&gt;0,"DRAFTED","")</f>
        <v/>
      </c>
      <c r="V323" t="str">
        <f>IFERROR(INDEX('Draft Log'!$A$2:$A$301,MATCH(D323,'Draft Log'!$B$2:$B$301,0)),"")</f>
        <v/>
      </c>
      <c r="W323" t="str">
        <f>IFERROR(INDEX('Draft Log'!$C$2:$C$301,MATCH(D323,'Draft Log'!$B$2:$B$301,0)),"")</f>
        <v/>
      </c>
    </row>
    <row r="324" spans="1:23">
      <c r="A324">
        <f t="shared" si="37"/>
        <v>321</v>
      </c>
      <c r="D324" t="e">
        <f>IF($D$1="ESPN",INDEX(Table2[Mapped Name],MATCH('Rankings Master'!$A324,Table2[Overall Rank],0)),IF('Rankings Master'!$D$1="NFL.com",INDEX(Table3[Name Clean],MATCH('Rankings Master'!$A324,Table3[Rank],0)),IF('Rankings Master'!$D$1="Sleeper",INDEX(Sleeper!$B$2:$B$201,MATCH('Rankings Master'!$A324,Sleeper!$A$2:$A$201,0)),"Need platform")))</f>
        <v>#N/A</v>
      </c>
      <c r="E324" t="e">
        <f>IF($D$1="ESPN",INDEX(Table2[Position],MATCH('Rankings Master'!$A324,Table2[Overall Rank],0)),IF('Rankings Master'!$D$1="NFL.com",INDEX(Table3[Position],MATCH('Rankings Master'!$A324,Table3[Rank],0)),INDEX(Sleeper!$C$2:$C$201,MATCH('Rankings Master'!A324,Sleeper!$A$2:$A$201,0))))</f>
        <v>#N/A</v>
      </c>
      <c r="F324" t="e">
        <f>INDEX(Table4[RK],MATCH('Rankings Master'!D324,Table4[PLAYER NAME],0))</f>
        <v>#N/A</v>
      </c>
      <c r="G324" t="e">
        <f t="shared" ref="G324:G387" si="39">A324-F324</f>
        <v>#N/A</v>
      </c>
      <c r="H324" t="e">
        <f t="shared" ref="H324:H387" si="40">G324/F324</f>
        <v>#N/A</v>
      </c>
      <c r="I324" t="e">
        <f t="shared" si="38"/>
        <v>#N/A</v>
      </c>
      <c r="J324" t="str">
        <f t="shared" si="36"/>
        <v/>
      </c>
      <c r="M324" t="str">
        <f>IFERROR(INDEX(PlayerSummaryTable[Rushing Yds],MATCH('Rankings Master'!D324,PlayerSummaryTable[Player],0)),"")</f>
        <v/>
      </c>
      <c r="N324" t="str">
        <f>IFERROR(INDEX(PlayerSummaryTable[Receiving Yds],MATCH('Rankings Master'!D324,PlayerSummaryTable[Player],0)),"")</f>
        <v/>
      </c>
      <c r="O324" t="str">
        <f>IFERROR(INDEX(PlayerSummaryTable[Passing Yds],MATCH('Rankings Master'!D324,PlayerSummaryTable[Player],0)),"")</f>
        <v/>
      </c>
      <c r="U324" t="str">
        <f>IF(COUNTIF('Draft Log'!$B$2:$B$301,D324)&gt;0,"DRAFTED","")</f>
        <v/>
      </c>
      <c r="V324" t="str">
        <f>IFERROR(INDEX('Draft Log'!$A$2:$A$301,MATCH(D324,'Draft Log'!$B$2:$B$301,0)),"")</f>
        <v/>
      </c>
      <c r="W324" t="str">
        <f>IFERROR(INDEX('Draft Log'!$C$2:$C$301,MATCH(D324,'Draft Log'!$B$2:$B$301,0)),"")</f>
        <v/>
      </c>
    </row>
    <row r="325" spans="1:23">
      <c r="A325">
        <f t="shared" si="37"/>
        <v>322</v>
      </c>
      <c r="D325" t="e">
        <f>IF($D$1="ESPN",INDEX(Table2[Mapped Name],MATCH('Rankings Master'!$A325,Table2[Overall Rank],0)),IF('Rankings Master'!$D$1="NFL.com",INDEX(Table3[Name Clean],MATCH('Rankings Master'!$A325,Table3[Rank],0)),IF('Rankings Master'!$D$1="Sleeper",INDEX(Sleeper!$B$2:$B$201,MATCH('Rankings Master'!$A325,Sleeper!$A$2:$A$201,0)),"Need platform")))</f>
        <v>#N/A</v>
      </c>
      <c r="E325" t="e">
        <f>IF($D$1="ESPN",INDEX(Table2[Position],MATCH('Rankings Master'!$A325,Table2[Overall Rank],0)),IF('Rankings Master'!$D$1="NFL.com",INDEX(Table3[Position],MATCH('Rankings Master'!$A325,Table3[Rank],0)),INDEX(Sleeper!$C$2:$C$201,MATCH('Rankings Master'!A325,Sleeper!$A$2:$A$201,0))))</f>
        <v>#N/A</v>
      </c>
      <c r="F325" t="e">
        <f>INDEX(Table4[RK],MATCH('Rankings Master'!D325,Table4[PLAYER NAME],0))</f>
        <v>#N/A</v>
      </c>
      <c r="G325" t="e">
        <f t="shared" si="39"/>
        <v>#N/A</v>
      </c>
      <c r="H325" t="e">
        <f t="shared" si="40"/>
        <v>#N/A</v>
      </c>
      <c r="I325" t="e">
        <f t="shared" si="38"/>
        <v>#N/A</v>
      </c>
      <c r="J325" t="str">
        <f t="shared" ref="J325:J388" si="41">IF(W325=$G$1,"M",IF(AND(U325="Drafted",W325&lt;&gt;$G$1),"Y",""))</f>
        <v/>
      </c>
      <c r="M325" t="str">
        <f>IFERROR(INDEX(PlayerSummaryTable[Rushing Yds],MATCH('Rankings Master'!D325,PlayerSummaryTable[Player],0)),"")</f>
        <v/>
      </c>
      <c r="N325" t="str">
        <f>IFERROR(INDEX(PlayerSummaryTable[Receiving Yds],MATCH('Rankings Master'!D325,PlayerSummaryTable[Player],0)),"")</f>
        <v/>
      </c>
      <c r="O325" t="str">
        <f>IFERROR(INDEX(PlayerSummaryTable[Passing Yds],MATCH('Rankings Master'!D325,PlayerSummaryTable[Player],0)),"")</f>
        <v/>
      </c>
      <c r="U325" t="str">
        <f>IF(COUNTIF('Draft Log'!$B$2:$B$301,D325)&gt;0,"DRAFTED","")</f>
        <v/>
      </c>
      <c r="V325" t="str">
        <f>IFERROR(INDEX('Draft Log'!$A$2:$A$301,MATCH(D325,'Draft Log'!$B$2:$B$301,0)),"")</f>
        <v/>
      </c>
      <c r="W325" t="str">
        <f>IFERROR(INDEX('Draft Log'!$C$2:$C$301,MATCH(D325,'Draft Log'!$B$2:$B$301,0)),"")</f>
        <v/>
      </c>
    </row>
    <row r="326" spans="1:23">
      <c r="A326">
        <f t="shared" si="37"/>
        <v>323</v>
      </c>
      <c r="D326" t="e">
        <f>IF($D$1="ESPN",INDEX(Table2[Mapped Name],MATCH('Rankings Master'!$A326,Table2[Overall Rank],0)),IF('Rankings Master'!$D$1="NFL.com",INDEX(Table3[Name Clean],MATCH('Rankings Master'!$A326,Table3[Rank],0)),IF('Rankings Master'!$D$1="Sleeper",INDEX(Sleeper!$B$2:$B$201,MATCH('Rankings Master'!$A326,Sleeper!$A$2:$A$201,0)),"Need platform")))</f>
        <v>#N/A</v>
      </c>
      <c r="E326" t="e">
        <f>IF($D$1="ESPN",INDEX(Table2[Position],MATCH('Rankings Master'!$A326,Table2[Overall Rank],0)),IF('Rankings Master'!$D$1="NFL.com",INDEX(Table3[Position],MATCH('Rankings Master'!$A326,Table3[Rank],0)),INDEX(Sleeper!$C$2:$C$201,MATCH('Rankings Master'!A326,Sleeper!$A$2:$A$201,0))))</f>
        <v>#N/A</v>
      </c>
      <c r="F326" t="e">
        <f>INDEX(Table4[RK],MATCH('Rankings Master'!D326,Table4[PLAYER NAME],0))</f>
        <v>#N/A</v>
      </c>
      <c r="G326" t="e">
        <f t="shared" si="39"/>
        <v>#N/A</v>
      </c>
      <c r="H326" t="e">
        <f t="shared" si="40"/>
        <v>#N/A</v>
      </c>
      <c r="I326" t="e">
        <f t="shared" si="38"/>
        <v>#N/A</v>
      </c>
      <c r="J326" t="str">
        <f t="shared" si="41"/>
        <v/>
      </c>
      <c r="M326" t="str">
        <f>IFERROR(INDEX(PlayerSummaryTable[Rushing Yds],MATCH('Rankings Master'!D326,PlayerSummaryTable[Player],0)),"")</f>
        <v/>
      </c>
      <c r="N326" t="str">
        <f>IFERROR(INDEX(PlayerSummaryTable[Receiving Yds],MATCH('Rankings Master'!D326,PlayerSummaryTable[Player],0)),"")</f>
        <v/>
      </c>
      <c r="O326" t="str">
        <f>IFERROR(INDEX(PlayerSummaryTable[Passing Yds],MATCH('Rankings Master'!D326,PlayerSummaryTable[Player],0)),"")</f>
        <v/>
      </c>
      <c r="U326" t="str">
        <f>IF(COUNTIF('Draft Log'!$B$2:$B$301,D326)&gt;0,"DRAFTED","")</f>
        <v/>
      </c>
      <c r="V326" t="str">
        <f>IFERROR(INDEX('Draft Log'!$A$2:$A$301,MATCH(D326,'Draft Log'!$B$2:$B$301,0)),"")</f>
        <v/>
      </c>
      <c r="W326" t="str">
        <f>IFERROR(INDEX('Draft Log'!$C$2:$C$301,MATCH(D326,'Draft Log'!$B$2:$B$301,0)),"")</f>
        <v/>
      </c>
    </row>
    <row r="327" spans="1:23">
      <c r="A327">
        <f t="shared" si="37"/>
        <v>324</v>
      </c>
      <c r="D327" t="e">
        <f>IF($D$1="ESPN",INDEX(Table2[Mapped Name],MATCH('Rankings Master'!$A327,Table2[Overall Rank],0)),IF('Rankings Master'!$D$1="NFL.com",INDEX(Table3[Name Clean],MATCH('Rankings Master'!$A327,Table3[Rank],0)),IF('Rankings Master'!$D$1="Sleeper",INDEX(Sleeper!$B$2:$B$201,MATCH('Rankings Master'!$A327,Sleeper!$A$2:$A$201,0)),"Need platform")))</f>
        <v>#N/A</v>
      </c>
      <c r="E327" t="e">
        <f>IF($D$1="ESPN",INDEX(Table2[Position],MATCH('Rankings Master'!$A327,Table2[Overall Rank],0)),IF('Rankings Master'!$D$1="NFL.com",INDEX(Table3[Position],MATCH('Rankings Master'!$A327,Table3[Rank],0)),INDEX(Sleeper!$C$2:$C$201,MATCH('Rankings Master'!A327,Sleeper!$A$2:$A$201,0))))</f>
        <v>#N/A</v>
      </c>
      <c r="F327" t="e">
        <f>INDEX(Table4[RK],MATCH('Rankings Master'!D327,Table4[PLAYER NAME],0))</f>
        <v>#N/A</v>
      </c>
      <c r="G327" t="e">
        <f t="shared" si="39"/>
        <v>#N/A</v>
      </c>
      <c r="H327" t="e">
        <f t="shared" si="40"/>
        <v>#N/A</v>
      </c>
      <c r="I327" t="e">
        <f t="shared" si="38"/>
        <v>#N/A</v>
      </c>
      <c r="J327" t="str">
        <f t="shared" si="41"/>
        <v/>
      </c>
      <c r="M327" t="str">
        <f>IFERROR(INDEX(PlayerSummaryTable[Rushing Yds],MATCH('Rankings Master'!D327,PlayerSummaryTable[Player],0)),"")</f>
        <v/>
      </c>
      <c r="N327" t="str">
        <f>IFERROR(INDEX(PlayerSummaryTable[Receiving Yds],MATCH('Rankings Master'!D327,PlayerSummaryTable[Player],0)),"")</f>
        <v/>
      </c>
      <c r="O327" t="str">
        <f>IFERROR(INDEX(PlayerSummaryTable[Passing Yds],MATCH('Rankings Master'!D327,PlayerSummaryTable[Player],0)),"")</f>
        <v/>
      </c>
      <c r="U327" t="str">
        <f>IF(COUNTIF('Draft Log'!$B$2:$B$301,D327)&gt;0,"DRAFTED","")</f>
        <v/>
      </c>
      <c r="V327" t="str">
        <f>IFERROR(INDEX('Draft Log'!$A$2:$A$301,MATCH(D327,'Draft Log'!$B$2:$B$301,0)),"")</f>
        <v/>
      </c>
      <c r="W327" t="str">
        <f>IFERROR(INDEX('Draft Log'!$C$2:$C$301,MATCH(D327,'Draft Log'!$B$2:$B$301,0)),"")</f>
        <v/>
      </c>
    </row>
    <row r="328" spans="1:23">
      <c r="A328">
        <f t="shared" si="37"/>
        <v>325</v>
      </c>
      <c r="D328" t="e">
        <f>IF($D$1="ESPN",INDEX(Table2[Mapped Name],MATCH('Rankings Master'!$A328,Table2[Overall Rank],0)),IF('Rankings Master'!$D$1="NFL.com",INDEX(Table3[Name Clean],MATCH('Rankings Master'!$A328,Table3[Rank],0)),IF('Rankings Master'!$D$1="Sleeper",INDEX(Sleeper!$B$2:$B$201,MATCH('Rankings Master'!$A328,Sleeper!$A$2:$A$201,0)),"Need platform")))</f>
        <v>#N/A</v>
      </c>
      <c r="E328" t="e">
        <f>IF($D$1="ESPN",INDEX(Table2[Position],MATCH('Rankings Master'!$A328,Table2[Overall Rank],0)),IF('Rankings Master'!$D$1="NFL.com",INDEX(Table3[Position],MATCH('Rankings Master'!$A328,Table3[Rank],0)),INDEX(Sleeper!$C$2:$C$201,MATCH('Rankings Master'!A328,Sleeper!$A$2:$A$201,0))))</f>
        <v>#N/A</v>
      </c>
      <c r="F328" t="e">
        <f>INDEX(Table4[RK],MATCH('Rankings Master'!D328,Table4[PLAYER NAME],0))</f>
        <v>#N/A</v>
      </c>
      <c r="G328" t="e">
        <f t="shared" si="39"/>
        <v>#N/A</v>
      </c>
      <c r="H328" t="e">
        <f t="shared" si="40"/>
        <v>#N/A</v>
      </c>
      <c r="I328" t="e">
        <f t="shared" si="38"/>
        <v>#N/A</v>
      </c>
      <c r="J328" t="str">
        <f t="shared" si="41"/>
        <v/>
      </c>
      <c r="M328" t="str">
        <f>IFERROR(INDEX(PlayerSummaryTable[Rushing Yds],MATCH('Rankings Master'!D328,PlayerSummaryTable[Player],0)),"")</f>
        <v/>
      </c>
      <c r="N328" t="str">
        <f>IFERROR(INDEX(PlayerSummaryTable[Receiving Yds],MATCH('Rankings Master'!D328,PlayerSummaryTable[Player],0)),"")</f>
        <v/>
      </c>
      <c r="O328" t="str">
        <f>IFERROR(INDEX(PlayerSummaryTable[Passing Yds],MATCH('Rankings Master'!D328,PlayerSummaryTable[Player],0)),"")</f>
        <v/>
      </c>
      <c r="U328" t="str">
        <f>IF(COUNTIF('Draft Log'!$B$2:$B$301,D328)&gt;0,"DRAFTED","")</f>
        <v/>
      </c>
      <c r="V328" t="str">
        <f>IFERROR(INDEX('Draft Log'!$A$2:$A$301,MATCH(D328,'Draft Log'!$B$2:$B$301,0)),"")</f>
        <v/>
      </c>
      <c r="W328" t="str">
        <f>IFERROR(INDEX('Draft Log'!$C$2:$C$301,MATCH(D328,'Draft Log'!$B$2:$B$301,0)),"")</f>
        <v/>
      </c>
    </row>
    <row r="329" spans="1:23">
      <c r="A329">
        <f t="shared" si="37"/>
        <v>326</v>
      </c>
      <c r="D329" t="e">
        <f>IF($D$1="ESPN",INDEX(Table2[Mapped Name],MATCH('Rankings Master'!$A329,Table2[Overall Rank],0)),IF('Rankings Master'!$D$1="NFL.com",INDEX(Table3[Name Clean],MATCH('Rankings Master'!$A329,Table3[Rank],0)),IF('Rankings Master'!$D$1="Sleeper",INDEX(Sleeper!$B$2:$B$201,MATCH('Rankings Master'!$A329,Sleeper!$A$2:$A$201,0)),"Need platform")))</f>
        <v>#N/A</v>
      </c>
      <c r="E329" t="e">
        <f>IF($D$1="ESPN",INDEX(Table2[Position],MATCH('Rankings Master'!$A329,Table2[Overall Rank],0)),IF('Rankings Master'!$D$1="NFL.com",INDEX(Table3[Position],MATCH('Rankings Master'!$A329,Table3[Rank],0)),INDEX(Sleeper!$C$2:$C$201,MATCH('Rankings Master'!A329,Sleeper!$A$2:$A$201,0))))</f>
        <v>#N/A</v>
      </c>
      <c r="F329" t="e">
        <f>INDEX(Table4[RK],MATCH('Rankings Master'!D329,Table4[PLAYER NAME],0))</f>
        <v>#N/A</v>
      </c>
      <c r="G329" t="e">
        <f t="shared" si="39"/>
        <v>#N/A</v>
      </c>
      <c r="H329" t="e">
        <f t="shared" si="40"/>
        <v>#N/A</v>
      </c>
      <c r="I329" t="e">
        <f t="shared" si="38"/>
        <v>#N/A</v>
      </c>
      <c r="J329" t="str">
        <f t="shared" si="41"/>
        <v/>
      </c>
      <c r="M329" t="str">
        <f>IFERROR(INDEX(PlayerSummaryTable[Rushing Yds],MATCH('Rankings Master'!D329,PlayerSummaryTable[Player],0)),"")</f>
        <v/>
      </c>
      <c r="N329" t="str">
        <f>IFERROR(INDEX(PlayerSummaryTable[Receiving Yds],MATCH('Rankings Master'!D329,PlayerSummaryTable[Player],0)),"")</f>
        <v/>
      </c>
      <c r="O329" t="str">
        <f>IFERROR(INDEX(PlayerSummaryTable[Passing Yds],MATCH('Rankings Master'!D329,PlayerSummaryTable[Player],0)),"")</f>
        <v/>
      </c>
      <c r="U329" t="str">
        <f>IF(COUNTIF('Draft Log'!$B$2:$B$301,D329)&gt;0,"DRAFTED","")</f>
        <v/>
      </c>
      <c r="V329" t="str">
        <f>IFERROR(INDEX('Draft Log'!$A$2:$A$301,MATCH(D329,'Draft Log'!$B$2:$B$301,0)),"")</f>
        <v/>
      </c>
      <c r="W329" t="str">
        <f>IFERROR(INDEX('Draft Log'!$C$2:$C$301,MATCH(D329,'Draft Log'!$B$2:$B$301,0)),"")</f>
        <v/>
      </c>
    </row>
    <row r="330" spans="1:23">
      <c r="A330">
        <f t="shared" si="37"/>
        <v>327</v>
      </c>
      <c r="D330" t="e">
        <f>IF($D$1="ESPN",INDEX(Table2[Mapped Name],MATCH('Rankings Master'!$A330,Table2[Overall Rank],0)),IF('Rankings Master'!$D$1="NFL.com",INDEX(Table3[Name Clean],MATCH('Rankings Master'!$A330,Table3[Rank],0)),IF('Rankings Master'!$D$1="Sleeper",INDEX(Sleeper!$B$2:$B$201,MATCH('Rankings Master'!$A330,Sleeper!$A$2:$A$201,0)),"Need platform")))</f>
        <v>#N/A</v>
      </c>
      <c r="E330" t="e">
        <f>IF($D$1="ESPN",INDEX(Table2[Position],MATCH('Rankings Master'!$A330,Table2[Overall Rank],0)),IF('Rankings Master'!$D$1="NFL.com",INDEX(Table3[Position],MATCH('Rankings Master'!$A330,Table3[Rank],0)),INDEX(Sleeper!$C$2:$C$201,MATCH('Rankings Master'!A330,Sleeper!$A$2:$A$201,0))))</f>
        <v>#N/A</v>
      </c>
      <c r="F330" t="e">
        <f>INDEX(Table4[RK],MATCH('Rankings Master'!D330,Table4[PLAYER NAME],0))</f>
        <v>#N/A</v>
      </c>
      <c r="G330" t="e">
        <f t="shared" si="39"/>
        <v>#N/A</v>
      </c>
      <c r="H330" t="e">
        <f t="shared" si="40"/>
        <v>#N/A</v>
      </c>
      <c r="I330" t="e">
        <f t="shared" si="38"/>
        <v>#N/A</v>
      </c>
      <c r="J330" t="str">
        <f t="shared" si="41"/>
        <v/>
      </c>
      <c r="M330" t="str">
        <f>IFERROR(INDEX(PlayerSummaryTable[Rushing Yds],MATCH('Rankings Master'!D330,PlayerSummaryTable[Player],0)),"")</f>
        <v/>
      </c>
      <c r="N330" t="str">
        <f>IFERROR(INDEX(PlayerSummaryTable[Receiving Yds],MATCH('Rankings Master'!D330,PlayerSummaryTable[Player],0)),"")</f>
        <v/>
      </c>
      <c r="O330" t="str">
        <f>IFERROR(INDEX(PlayerSummaryTable[Passing Yds],MATCH('Rankings Master'!D330,PlayerSummaryTable[Player],0)),"")</f>
        <v/>
      </c>
      <c r="U330" t="str">
        <f>IF(COUNTIF('Draft Log'!$B$2:$B$301,D330)&gt;0,"DRAFTED","")</f>
        <v/>
      </c>
      <c r="V330" t="str">
        <f>IFERROR(INDEX('Draft Log'!$A$2:$A$301,MATCH(D330,'Draft Log'!$B$2:$B$301,0)),"")</f>
        <v/>
      </c>
      <c r="W330" t="str">
        <f>IFERROR(INDEX('Draft Log'!$C$2:$C$301,MATCH(D330,'Draft Log'!$B$2:$B$301,0)),"")</f>
        <v/>
      </c>
    </row>
    <row r="331" spans="1:23">
      <c r="A331">
        <f t="shared" si="37"/>
        <v>328</v>
      </c>
      <c r="D331" t="e">
        <f>IF($D$1="ESPN",INDEX(Table2[Mapped Name],MATCH('Rankings Master'!$A331,Table2[Overall Rank],0)),IF('Rankings Master'!$D$1="NFL.com",INDEX(Table3[Name Clean],MATCH('Rankings Master'!$A331,Table3[Rank],0)),IF('Rankings Master'!$D$1="Sleeper",INDEX(Sleeper!$B$2:$B$201,MATCH('Rankings Master'!$A331,Sleeper!$A$2:$A$201,0)),"Need platform")))</f>
        <v>#N/A</v>
      </c>
      <c r="E331" t="e">
        <f>IF($D$1="ESPN",INDEX(Table2[Position],MATCH('Rankings Master'!$A331,Table2[Overall Rank],0)),IF('Rankings Master'!$D$1="NFL.com",INDEX(Table3[Position],MATCH('Rankings Master'!$A331,Table3[Rank],0)),INDEX(Sleeper!$C$2:$C$201,MATCH('Rankings Master'!A331,Sleeper!$A$2:$A$201,0))))</f>
        <v>#N/A</v>
      </c>
      <c r="F331" t="e">
        <f>INDEX(Table4[RK],MATCH('Rankings Master'!D331,Table4[PLAYER NAME],0))</f>
        <v>#N/A</v>
      </c>
      <c r="G331" t="e">
        <f t="shared" si="39"/>
        <v>#N/A</v>
      </c>
      <c r="H331" t="e">
        <f t="shared" si="40"/>
        <v>#N/A</v>
      </c>
      <c r="I331" t="e">
        <f t="shared" si="38"/>
        <v>#N/A</v>
      </c>
      <c r="J331" t="str">
        <f t="shared" si="41"/>
        <v/>
      </c>
      <c r="M331" t="str">
        <f>IFERROR(INDEX(PlayerSummaryTable[Rushing Yds],MATCH('Rankings Master'!D331,PlayerSummaryTable[Player],0)),"")</f>
        <v/>
      </c>
      <c r="N331" t="str">
        <f>IFERROR(INDEX(PlayerSummaryTable[Receiving Yds],MATCH('Rankings Master'!D331,PlayerSummaryTable[Player],0)),"")</f>
        <v/>
      </c>
      <c r="O331" t="str">
        <f>IFERROR(INDEX(PlayerSummaryTable[Passing Yds],MATCH('Rankings Master'!D331,PlayerSummaryTable[Player],0)),"")</f>
        <v/>
      </c>
      <c r="U331" t="str">
        <f>IF(COUNTIF('Draft Log'!$B$2:$B$301,D331)&gt;0,"DRAFTED","")</f>
        <v/>
      </c>
      <c r="V331" t="str">
        <f>IFERROR(INDEX('Draft Log'!$A$2:$A$301,MATCH(D331,'Draft Log'!$B$2:$B$301,0)),"")</f>
        <v/>
      </c>
      <c r="W331" t="str">
        <f>IFERROR(INDEX('Draft Log'!$C$2:$C$301,MATCH(D331,'Draft Log'!$B$2:$B$301,0)),"")</f>
        <v/>
      </c>
    </row>
    <row r="332" spans="1:23">
      <c r="A332">
        <f t="shared" si="37"/>
        <v>329</v>
      </c>
      <c r="D332" t="e">
        <f>IF($D$1="ESPN",INDEX(Table2[Mapped Name],MATCH('Rankings Master'!$A332,Table2[Overall Rank],0)),IF('Rankings Master'!$D$1="NFL.com",INDEX(Table3[Name Clean],MATCH('Rankings Master'!$A332,Table3[Rank],0)),IF('Rankings Master'!$D$1="Sleeper",INDEX(Sleeper!$B$2:$B$201,MATCH('Rankings Master'!$A332,Sleeper!$A$2:$A$201,0)),"Need platform")))</f>
        <v>#N/A</v>
      </c>
      <c r="E332" t="e">
        <f>IF($D$1="ESPN",INDEX(Table2[Position],MATCH('Rankings Master'!$A332,Table2[Overall Rank],0)),IF('Rankings Master'!$D$1="NFL.com",INDEX(Table3[Position],MATCH('Rankings Master'!$A332,Table3[Rank],0)),INDEX(Sleeper!$C$2:$C$201,MATCH('Rankings Master'!A332,Sleeper!$A$2:$A$201,0))))</f>
        <v>#N/A</v>
      </c>
      <c r="F332" t="e">
        <f>INDEX(Table4[RK],MATCH('Rankings Master'!D332,Table4[PLAYER NAME],0))</f>
        <v>#N/A</v>
      </c>
      <c r="G332" t="e">
        <f t="shared" si="39"/>
        <v>#N/A</v>
      </c>
      <c r="H332" t="e">
        <f t="shared" si="40"/>
        <v>#N/A</v>
      </c>
      <c r="I332" t="e">
        <f t="shared" si="38"/>
        <v>#N/A</v>
      </c>
      <c r="J332" t="str">
        <f t="shared" si="41"/>
        <v/>
      </c>
      <c r="M332" t="str">
        <f>IFERROR(INDEX(PlayerSummaryTable[Rushing Yds],MATCH('Rankings Master'!D332,PlayerSummaryTable[Player],0)),"")</f>
        <v/>
      </c>
      <c r="N332" t="str">
        <f>IFERROR(INDEX(PlayerSummaryTable[Receiving Yds],MATCH('Rankings Master'!D332,PlayerSummaryTable[Player],0)),"")</f>
        <v/>
      </c>
      <c r="O332" t="str">
        <f>IFERROR(INDEX(PlayerSummaryTable[Passing Yds],MATCH('Rankings Master'!D332,PlayerSummaryTable[Player],0)),"")</f>
        <v/>
      </c>
      <c r="U332" t="str">
        <f>IF(COUNTIF('Draft Log'!$B$2:$B$301,D332)&gt;0,"DRAFTED","")</f>
        <v/>
      </c>
      <c r="V332" t="str">
        <f>IFERROR(INDEX('Draft Log'!$A$2:$A$301,MATCH(D332,'Draft Log'!$B$2:$B$301,0)),"")</f>
        <v/>
      </c>
      <c r="W332" t="str">
        <f>IFERROR(INDEX('Draft Log'!$C$2:$C$301,MATCH(D332,'Draft Log'!$B$2:$B$301,0)),"")</f>
        <v/>
      </c>
    </row>
    <row r="333" spans="1:23">
      <c r="A333">
        <f t="shared" ref="A333:A396" si="42">A332+1</f>
        <v>330</v>
      </c>
      <c r="D333" t="e">
        <f>IF($D$1="ESPN",INDEX(Table2[Mapped Name],MATCH('Rankings Master'!$A333,Table2[Overall Rank],0)),IF('Rankings Master'!$D$1="NFL.com",INDEX(Table3[Name Clean],MATCH('Rankings Master'!$A333,Table3[Rank],0)),IF('Rankings Master'!$D$1="Sleeper",INDEX(Sleeper!$B$2:$B$201,MATCH('Rankings Master'!$A333,Sleeper!$A$2:$A$201,0)),"Need platform")))</f>
        <v>#N/A</v>
      </c>
      <c r="E333" t="e">
        <f>IF($D$1="ESPN",INDEX(Table2[Position],MATCH('Rankings Master'!$A333,Table2[Overall Rank],0)),IF('Rankings Master'!$D$1="NFL.com",INDEX(Table3[Position],MATCH('Rankings Master'!$A333,Table3[Rank],0)),INDEX(Sleeper!$C$2:$C$201,MATCH('Rankings Master'!A333,Sleeper!$A$2:$A$201,0))))</f>
        <v>#N/A</v>
      </c>
      <c r="F333" t="e">
        <f>INDEX(Table4[RK],MATCH('Rankings Master'!D333,Table4[PLAYER NAME],0))</f>
        <v>#N/A</v>
      </c>
      <c r="G333" t="e">
        <f t="shared" si="39"/>
        <v>#N/A</v>
      </c>
      <c r="H333" t="e">
        <f t="shared" si="40"/>
        <v>#N/A</v>
      </c>
      <c r="I333" t="e">
        <f t="shared" si="38"/>
        <v>#N/A</v>
      </c>
      <c r="J333" t="str">
        <f t="shared" si="41"/>
        <v/>
      </c>
      <c r="M333" t="str">
        <f>IFERROR(INDEX(PlayerSummaryTable[Rushing Yds],MATCH('Rankings Master'!D333,PlayerSummaryTable[Player],0)),"")</f>
        <v/>
      </c>
      <c r="N333" t="str">
        <f>IFERROR(INDEX(PlayerSummaryTable[Receiving Yds],MATCH('Rankings Master'!D333,PlayerSummaryTable[Player],0)),"")</f>
        <v/>
      </c>
      <c r="O333" t="str">
        <f>IFERROR(INDEX(PlayerSummaryTable[Passing Yds],MATCH('Rankings Master'!D333,PlayerSummaryTable[Player],0)),"")</f>
        <v/>
      </c>
      <c r="U333" t="str">
        <f>IF(COUNTIF('Draft Log'!$B$2:$B$301,D333)&gt;0,"DRAFTED","")</f>
        <v/>
      </c>
      <c r="V333" t="str">
        <f>IFERROR(INDEX('Draft Log'!$A$2:$A$301,MATCH(D333,'Draft Log'!$B$2:$B$301,0)),"")</f>
        <v/>
      </c>
      <c r="W333" t="str">
        <f>IFERROR(INDEX('Draft Log'!$C$2:$C$301,MATCH(D333,'Draft Log'!$B$2:$B$301,0)),"")</f>
        <v/>
      </c>
    </row>
    <row r="334" spans="1:23">
      <c r="A334">
        <f t="shared" si="42"/>
        <v>331</v>
      </c>
      <c r="D334" t="e">
        <f>IF($D$1="ESPN",INDEX(Table2[Mapped Name],MATCH('Rankings Master'!$A334,Table2[Overall Rank],0)),IF('Rankings Master'!$D$1="NFL.com",INDEX(Table3[Name Clean],MATCH('Rankings Master'!$A334,Table3[Rank],0)),IF('Rankings Master'!$D$1="Sleeper",INDEX(Sleeper!$B$2:$B$201,MATCH('Rankings Master'!$A334,Sleeper!$A$2:$A$201,0)),"Need platform")))</f>
        <v>#N/A</v>
      </c>
      <c r="E334" t="e">
        <f>IF($D$1="ESPN",INDEX(Table2[Position],MATCH('Rankings Master'!$A334,Table2[Overall Rank],0)),IF('Rankings Master'!$D$1="NFL.com",INDEX(Table3[Position],MATCH('Rankings Master'!$A334,Table3[Rank],0)),INDEX(Sleeper!$C$2:$C$201,MATCH('Rankings Master'!A334,Sleeper!$A$2:$A$201,0))))</f>
        <v>#N/A</v>
      </c>
      <c r="F334" t="e">
        <f>INDEX(Table4[RK],MATCH('Rankings Master'!D334,Table4[PLAYER NAME],0))</f>
        <v>#N/A</v>
      </c>
      <c r="G334" t="e">
        <f t="shared" si="39"/>
        <v>#N/A</v>
      </c>
      <c r="H334" t="e">
        <f t="shared" si="40"/>
        <v>#N/A</v>
      </c>
      <c r="I334" t="e">
        <f t="shared" si="38"/>
        <v>#N/A</v>
      </c>
      <c r="J334" t="str">
        <f t="shared" si="41"/>
        <v/>
      </c>
      <c r="M334" t="str">
        <f>IFERROR(INDEX(PlayerSummaryTable[Rushing Yds],MATCH('Rankings Master'!D334,PlayerSummaryTable[Player],0)),"")</f>
        <v/>
      </c>
      <c r="N334" t="str">
        <f>IFERROR(INDEX(PlayerSummaryTable[Receiving Yds],MATCH('Rankings Master'!D334,PlayerSummaryTable[Player],0)),"")</f>
        <v/>
      </c>
      <c r="O334" t="str">
        <f>IFERROR(INDEX(PlayerSummaryTable[Passing Yds],MATCH('Rankings Master'!D334,PlayerSummaryTable[Player],0)),"")</f>
        <v/>
      </c>
      <c r="U334" t="str">
        <f>IF(COUNTIF('Draft Log'!$B$2:$B$301,D334)&gt;0,"DRAFTED","")</f>
        <v/>
      </c>
      <c r="V334" t="str">
        <f>IFERROR(INDEX('Draft Log'!$A$2:$A$301,MATCH(D334,'Draft Log'!$B$2:$B$301,0)),"")</f>
        <v/>
      </c>
      <c r="W334" t="str">
        <f>IFERROR(INDEX('Draft Log'!$C$2:$C$301,MATCH(D334,'Draft Log'!$B$2:$B$301,0)),"")</f>
        <v/>
      </c>
    </row>
    <row r="335" spans="1:23">
      <c r="A335">
        <f t="shared" si="42"/>
        <v>332</v>
      </c>
      <c r="D335" t="e">
        <f>IF($D$1="ESPN",INDEX(Table2[Mapped Name],MATCH('Rankings Master'!$A335,Table2[Overall Rank],0)),IF('Rankings Master'!$D$1="NFL.com",INDEX(Table3[Name Clean],MATCH('Rankings Master'!$A335,Table3[Rank],0)),IF('Rankings Master'!$D$1="Sleeper",INDEX(Sleeper!$B$2:$B$201,MATCH('Rankings Master'!$A335,Sleeper!$A$2:$A$201,0)),"Need platform")))</f>
        <v>#N/A</v>
      </c>
      <c r="E335" t="e">
        <f>IF($D$1="ESPN",INDEX(Table2[Position],MATCH('Rankings Master'!$A335,Table2[Overall Rank],0)),IF('Rankings Master'!$D$1="NFL.com",INDEX(Table3[Position],MATCH('Rankings Master'!$A335,Table3[Rank],0)),INDEX(Sleeper!$C$2:$C$201,MATCH('Rankings Master'!A335,Sleeper!$A$2:$A$201,0))))</f>
        <v>#N/A</v>
      </c>
      <c r="F335" t="e">
        <f>INDEX(Table4[RK],MATCH('Rankings Master'!D335,Table4[PLAYER NAME],0))</f>
        <v>#N/A</v>
      </c>
      <c r="G335" t="e">
        <f t="shared" si="39"/>
        <v>#N/A</v>
      </c>
      <c r="H335" t="e">
        <f t="shared" si="40"/>
        <v>#N/A</v>
      </c>
      <c r="I335" t="e">
        <f t="shared" si="38"/>
        <v>#N/A</v>
      </c>
      <c r="J335" t="str">
        <f t="shared" si="41"/>
        <v/>
      </c>
      <c r="M335" t="str">
        <f>IFERROR(INDEX(PlayerSummaryTable[Rushing Yds],MATCH('Rankings Master'!D335,PlayerSummaryTable[Player],0)),"")</f>
        <v/>
      </c>
      <c r="N335" t="str">
        <f>IFERROR(INDEX(PlayerSummaryTable[Receiving Yds],MATCH('Rankings Master'!D335,PlayerSummaryTable[Player],0)),"")</f>
        <v/>
      </c>
      <c r="O335" t="str">
        <f>IFERROR(INDEX(PlayerSummaryTable[Passing Yds],MATCH('Rankings Master'!D335,PlayerSummaryTable[Player],0)),"")</f>
        <v/>
      </c>
      <c r="U335" t="str">
        <f>IF(COUNTIF('Draft Log'!$B$2:$B$301,D335)&gt;0,"DRAFTED","")</f>
        <v/>
      </c>
      <c r="V335" t="str">
        <f>IFERROR(INDEX('Draft Log'!$A$2:$A$301,MATCH(D335,'Draft Log'!$B$2:$B$301,0)),"")</f>
        <v/>
      </c>
      <c r="W335" t="str">
        <f>IFERROR(INDEX('Draft Log'!$C$2:$C$301,MATCH(D335,'Draft Log'!$B$2:$B$301,0)),"")</f>
        <v/>
      </c>
    </row>
    <row r="336" spans="1:23">
      <c r="A336">
        <f t="shared" si="42"/>
        <v>333</v>
      </c>
      <c r="D336" t="e">
        <f>IF($D$1="ESPN",INDEX(Table2[Mapped Name],MATCH('Rankings Master'!$A336,Table2[Overall Rank],0)),IF('Rankings Master'!$D$1="NFL.com",INDEX(Table3[Name Clean],MATCH('Rankings Master'!$A336,Table3[Rank],0)),IF('Rankings Master'!$D$1="Sleeper",INDEX(Sleeper!$B$2:$B$201,MATCH('Rankings Master'!$A336,Sleeper!$A$2:$A$201,0)),"Need platform")))</f>
        <v>#N/A</v>
      </c>
      <c r="E336" t="e">
        <f>IF($D$1="ESPN",INDEX(Table2[Position],MATCH('Rankings Master'!$A336,Table2[Overall Rank],0)),IF('Rankings Master'!$D$1="NFL.com",INDEX(Table3[Position],MATCH('Rankings Master'!$A336,Table3[Rank],0)),INDEX(Sleeper!$C$2:$C$201,MATCH('Rankings Master'!A336,Sleeper!$A$2:$A$201,0))))</f>
        <v>#N/A</v>
      </c>
      <c r="F336" t="e">
        <f>INDEX(Table4[RK],MATCH('Rankings Master'!D336,Table4[PLAYER NAME],0))</f>
        <v>#N/A</v>
      </c>
      <c r="G336" t="e">
        <f t="shared" si="39"/>
        <v>#N/A</v>
      </c>
      <c r="H336" t="e">
        <f t="shared" si="40"/>
        <v>#N/A</v>
      </c>
      <c r="I336" t="e">
        <f t="shared" si="38"/>
        <v>#N/A</v>
      </c>
      <c r="J336" t="str">
        <f t="shared" si="41"/>
        <v/>
      </c>
      <c r="M336" t="str">
        <f>IFERROR(INDEX(PlayerSummaryTable[Rushing Yds],MATCH('Rankings Master'!D336,PlayerSummaryTable[Player],0)),"")</f>
        <v/>
      </c>
      <c r="N336" t="str">
        <f>IFERROR(INDEX(PlayerSummaryTable[Receiving Yds],MATCH('Rankings Master'!D336,PlayerSummaryTable[Player],0)),"")</f>
        <v/>
      </c>
      <c r="O336" t="str">
        <f>IFERROR(INDEX(PlayerSummaryTable[Passing Yds],MATCH('Rankings Master'!D336,PlayerSummaryTable[Player],0)),"")</f>
        <v/>
      </c>
      <c r="U336" t="str">
        <f>IF(COUNTIF('Draft Log'!$B$2:$B$301,D336)&gt;0,"DRAFTED","")</f>
        <v/>
      </c>
      <c r="V336" t="str">
        <f>IFERROR(INDEX('Draft Log'!$A$2:$A$301,MATCH(D336,'Draft Log'!$B$2:$B$301,0)),"")</f>
        <v/>
      </c>
      <c r="W336" t="str">
        <f>IFERROR(INDEX('Draft Log'!$C$2:$C$301,MATCH(D336,'Draft Log'!$B$2:$B$301,0)),"")</f>
        <v/>
      </c>
    </row>
    <row r="337" spans="1:23">
      <c r="A337">
        <f t="shared" si="42"/>
        <v>334</v>
      </c>
      <c r="D337" t="e">
        <f>IF($D$1="ESPN",INDEX(Table2[Mapped Name],MATCH('Rankings Master'!$A337,Table2[Overall Rank],0)),IF('Rankings Master'!$D$1="NFL.com",INDEX(Table3[Name Clean],MATCH('Rankings Master'!$A337,Table3[Rank],0)),IF('Rankings Master'!$D$1="Sleeper",INDEX(Sleeper!$B$2:$B$201,MATCH('Rankings Master'!$A337,Sleeper!$A$2:$A$201,0)),"Need platform")))</f>
        <v>#N/A</v>
      </c>
      <c r="E337" t="e">
        <f>IF($D$1="ESPN",INDEX(Table2[Position],MATCH('Rankings Master'!$A337,Table2[Overall Rank],0)),IF('Rankings Master'!$D$1="NFL.com",INDEX(Table3[Position],MATCH('Rankings Master'!$A337,Table3[Rank],0)),INDEX(Sleeper!$C$2:$C$201,MATCH('Rankings Master'!A337,Sleeper!$A$2:$A$201,0))))</f>
        <v>#N/A</v>
      </c>
      <c r="F337" t="e">
        <f>INDEX(Table4[RK],MATCH('Rankings Master'!D337,Table4[PLAYER NAME],0))</f>
        <v>#N/A</v>
      </c>
      <c r="G337" t="e">
        <f t="shared" si="39"/>
        <v>#N/A</v>
      </c>
      <c r="H337" t="e">
        <f t="shared" si="40"/>
        <v>#N/A</v>
      </c>
      <c r="I337" t="e">
        <f t="shared" si="38"/>
        <v>#N/A</v>
      </c>
      <c r="J337" t="str">
        <f t="shared" si="41"/>
        <v/>
      </c>
      <c r="M337" t="str">
        <f>IFERROR(INDEX(PlayerSummaryTable[Rushing Yds],MATCH('Rankings Master'!D337,PlayerSummaryTable[Player],0)),"")</f>
        <v/>
      </c>
      <c r="N337" t="str">
        <f>IFERROR(INDEX(PlayerSummaryTable[Receiving Yds],MATCH('Rankings Master'!D337,PlayerSummaryTable[Player],0)),"")</f>
        <v/>
      </c>
      <c r="O337" t="str">
        <f>IFERROR(INDEX(PlayerSummaryTable[Passing Yds],MATCH('Rankings Master'!D337,PlayerSummaryTable[Player],0)),"")</f>
        <v/>
      </c>
      <c r="U337" t="str">
        <f>IF(COUNTIF('Draft Log'!$B$2:$B$301,D337)&gt;0,"DRAFTED","")</f>
        <v/>
      </c>
      <c r="V337" t="str">
        <f>IFERROR(INDEX('Draft Log'!$A$2:$A$301,MATCH(D337,'Draft Log'!$B$2:$B$301,0)),"")</f>
        <v/>
      </c>
      <c r="W337" t="str">
        <f>IFERROR(INDEX('Draft Log'!$C$2:$C$301,MATCH(D337,'Draft Log'!$B$2:$B$301,0)),"")</f>
        <v/>
      </c>
    </row>
    <row r="338" spans="1:23">
      <c r="A338">
        <f t="shared" si="42"/>
        <v>335</v>
      </c>
      <c r="D338" t="e">
        <f>IF($D$1="ESPN",INDEX(Table2[Mapped Name],MATCH('Rankings Master'!$A338,Table2[Overall Rank],0)),IF('Rankings Master'!$D$1="NFL.com",INDEX(Table3[Name Clean],MATCH('Rankings Master'!$A338,Table3[Rank],0)),IF('Rankings Master'!$D$1="Sleeper",INDEX(Sleeper!$B$2:$B$201,MATCH('Rankings Master'!$A338,Sleeper!$A$2:$A$201,0)),"Need platform")))</f>
        <v>#N/A</v>
      </c>
      <c r="E338" t="e">
        <f>IF($D$1="ESPN",INDEX(Table2[Position],MATCH('Rankings Master'!$A338,Table2[Overall Rank],0)),IF('Rankings Master'!$D$1="NFL.com",INDEX(Table3[Position],MATCH('Rankings Master'!$A338,Table3[Rank],0)),INDEX(Sleeper!$C$2:$C$201,MATCH('Rankings Master'!A338,Sleeper!$A$2:$A$201,0))))</f>
        <v>#N/A</v>
      </c>
      <c r="F338" t="e">
        <f>INDEX(Table4[RK],MATCH('Rankings Master'!D338,Table4[PLAYER NAME],0))</f>
        <v>#N/A</v>
      </c>
      <c r="G338" t="e">
        <f t="shared" si="39"/>
        <v>#N/A</v>
      </c>
      <c r="H338" t="e">
        <f t="shared" si="40"/>
        <v>#N/A</v>
      </c>
      <c r="I338" t="e">
        <f t="shared" si="38"/>
        <v>#N/A</v>
      </c>
      <c r="J338" t="str">
        <f t="shared" si="41"/>
        <v/>
      </c>
      <c r="M338" t="str">
        <f>IFERROR(INDEX(PlayerSummaryTable[Rushing Yds],MATCH('Rankings Master'!D338,PlayerSummaryTable[Player],0)),"")</f>
        <v/>
      </c>
      <c r="N338" t="str">
        <f>IFERROR(INDEX(PlayerSummaryTable[Receiving Yds],MATCH('Rankings Master'!D338,PlayerSummaryTable[Player],0)),"")</f>
        <v/>
      </c>
      <c r="O338" t="str">
        <f>IFERROR(INDEX(PlayerSummaryTable[Passing Yds],MATCH('Rankings Master'!D338,PlayerSummaryTable[Player],0)),"")</f>
        <v/>
      </c>
      <c r="U338" t="str">
        <f>IF(COUNTIF('Draft Log'!$B$2:$B$301,D338)&gt;0,"DRAFTED","")</f>
        <v/>
      </c>
      <c r="V338" t="str">
        <f>IFERROR(INDEX('Draft Log'!$A$2:$A$301,MATCH(D338,'Draft Log'!$B$2:$B$301,0)),"")</f>
        <v/>
      </c>
      <c r="W338" t="str">
        <f>IFERROR(INDEX('Draft Log'!$C$2:$C$301,MATCH(D338,'Draft Log'!$B$2:$B$301,0)),"")</f>
        <v/>
      </c>
    </row>
    <row r="339" spans="1:23">
      <c r="A339">
        <f t="shared" si="42"/>
        <v>336</v>
      </c>
      <c r="D339" t="e">
        <f>IF($D$1="ESPN",INDEX(Table2[Mapped Name],MATCH('Rankings Master'!$A339,Table2[Overall Rank],0)),IF('Rankings Master'!$D$1="NFL.com",INDEX(Table3[Name Clean],MATCH('Rankings Master'!$A339,Table3[Rank],0)),IF('Rankings Master'!$D$1="Sleeper",INDEX(Sleeper!$B$2:$B$201,MATCH('Rankings Master'!$A339,Sleeper!$A$2:$A$201,0)),"Need platform")))</f>
        <v>#N/A</v>
      </c>
      <c r="E339" t="e">
        <f>IF($D$1="ESPN",INDEX(Table2[Position],MATCH('Rankings Master'!$A339,Table2[Overall Rank],0)),IF('Rankings Master'!$D$1="NFL.com",INDEX(Table3[Position],MATCH('Rankings Master'!$A339,Table3[Rank],0)),INDEX(Sleeper!$C$2:$C$201,MATCH('Rankings Master'!A339,Sleeper!$A$2:$A$201,0))))</f>
        <v>#N/A</v>
      </c>
      <c r="F339" t="e">
        <f>INDEX(Table4[RK],MATCH('Rankings Master'!D339,Table4[PLAYER NAME],0))</f>
        <v>#N/A</v>
      </c>
      <c r="G339" t="e">
        <f t="shared" si="39"/>
        <v>#N/A</v>
      </c>
      <c r="H339" t="e">
        <f t="shared" si="40"/>
        <v>#N/A</v>
      </c>
      <c r="I339" t="e">
        <f t="shared" si="38"/>
        <v>#N/A</v>
      </c>
      <c r="J339" t="str">
        <f t="shared" si="41"/>
        <v/>
      </c>
      <c r="M339" t="str">
        <f>IFERROR(INDEX(PlayerSummaryTable[Rushing Yds],MATCH('Rankings Master'!D339,PlayerSummaryTable[Player],0)),"")</f>
        <v/>
      </c>
      <c r="N339" t="str">
        <f>IFERROR(INDEX(PlayerSummaryTable[Receiving Yds],MATCH('Rankings Master'!D339,PlayerSummaryTable[Player],0)),"")</f>
        <v/>
      </c>
      <c r="O339" t="str">
        <f>IFERROR(INDEX(PlayerSummaryTable[Passing Yds],MATCH('Rankings Master'!D339,PlayerSummaryTable[Player],0)),"")</f>
        <v/>
      </c>
      <c r="U339" t="str">
        <f>IF(COUNTIF('Draft Log'!$B$2:$B$301,D339)&gt;0,"DRAFTED","")</f>
        <v/>
      </c>
      <c r="V339" t="str">
        <f>IFERROR(INDEX('Draft Log'!$A$2:$A$301,MATCH(D339,'Draft Log'!$B$2:$B$301,0)),"")</f>
        <v/>
      </c>
      <c r="W339" t="str">
        <f>IFERROR(INDEX('Draft Log'!$C$2:$C$301,MATCH(D339,'Draft Log'!$B$2:$B$301,0)),"")</f>
        <v/>
      </c>
    </row>
    <row r="340" spans="1:23">
      <c r="A340">
        <f t="shared" si="42"/>
        <v>337</v>
      </c>
      <c r="D340" t="e">
        <f>IF($D$1="ESPN",INDEX(Table2[Mapped Name],MATCH('Rankings Master'!$A340,Table2[Overall Rank],0)),IF('Rankings Master'!$D$1="NFL.com",INDEX(Table3[Name Clean],MATCH('Rankings Master'!$A340,Table3[Rank],0)),IF('Rankings Master'!$D$1="Sleeper",INDEX(Sleeper!$B$2:$B$201,MATCH('Rankings Master'!$A340,Sleeper!$A$2:$A$201,0)),"Need platform")))</f>
        <v>#N/A</v>
      </c>
      <c r="E340" t="e">
        <f>IF($D$1="ESPN",INDEX(Table2[Position],MATCH('Rankings Master'!$A340,Table2[Overall Rank],0)),IF('Rankings Master'!$D$1="NFL.com",INDEX(Table3[Position],MATCH('Rankings Master'!$A340,Table3[Rank],0)),INDEX(Sleeper!$C$2:$C$201,MATCH('Rankings Master'!A340,Sleeper!$A$2:$A$201,0))))</f>
        <v>#N/A</v>
      </c>
      <c r="F340" t="e">
        <f>INDEX(Table4[RK],MATCH('Rankings Master'!D340,Table4[PLAYER NAME],0))</f>
        <v>#N/A</v>
      </c>
      <c r="G340" t="e">
        <f t="shared" si="39"/>
        <v>#N/A</v>
      </c>
      <c r="H340" t="e">
        <f t="shared" si="40"/>
        <v>#N/A</v>
      </c>
      <c r="I340" t="e">
        <f t="shared" si="38"/>
        <v>#N/A</v>
      </c>
      <c r="J340" t="str">
        <f t="shared" si="41"/>
        <v/>
      </c>
      <c r="M340" t="str">
        <f>IFERROR(INDEX(PlayerSummaryTable[Rushing Yds],MATCH('Rankings Master'!D340,PlayerSummaryTable[Player],0)),"")</f>
        <v/>
      </c>
      <c r="N340" t="str">
        <f>IFERROR(INDEX(PlayerSummaryTable[Receiving Yds],MATCH('Rankings Master'!D340,PlayerSummaryTable[Player],0)),"")</f>
        <v/>
      </c>
      <c r="O340" t="str">
        <f>IFERROR(INDEX(PlayerSummaryTable[Passing Yds],MATCH('Rankings Master'!D340,PlayerSummaryTable[Player],0)),"")</f>
        <v/>
      </c>
      <c r="U340" t="str">
        <f>IF(COUNTIF('Draft Log'!$B$2:$B$301,D340)&gt;0,"DRAFTED","")</f>
        <v/>
      </c>
      <c r="V340" t="str">
        <f>IFERROR(INDEX('Draft Log'!$A$2:$A$301,MATCH(D340,'Draft Log'!$B$2:$B$301,0)),"")</f>
        <v/>
      </c>
      <c r="W340" t="str">
        <f>IFERROR(INDEX('Draft Log'!$C$2:$C$301,MATCH(D340,'Draft Log'!$B$2:$B$301,0)),"")</f>
        <v/>
      </c>
    </row>
    <row r="341" spans="1:23">
      <c r="A341">
        <f t="shared" si="42"/>
        <v>338</v>
      </c>
      <c r="D341" t="e">
        <f>IF($D$1="ESPN",INDEX(Table2[Mapped Name],MATCH('Rankings Master'!$A341,Table2[Overall Rank],0)),IF('Rankings Master'!$D$1="NFL.com",INDEX(Table3[Name Clean],MATCH('Rankings Master'!$A341,Table3[Rank],0)),IF('Rankings Master'!$D$1="Sleeper",INDEX(Sleeper!$B$2:$B$201,MATCH('Rankings Master'!$A341,Sleeper!$A$2:$A$201,0)),"Need platform")))</f>
        <v>#N/A</v>
      </c>
      <c r="E341" t="e">
        <f>IF($D$1="ESPN",INDEX(Table2[Position],MATCH('Rankings Master'!$A341,Table2[Overall Rank],0)),IF('Rankings Master'!$D$1="NFL.com",INDEX(Table3[Position],MATCH('Rankings Master'!$A341,Table3[Rank],0)),INDEX(Sleeper!$C$2:$C$201,MATCH('Rankings Master'!A341,Sleeper!$A$2:$A$201,0))))</f>
        <v>#N/A</v>
      </c>
      <c r="F341" t="e">
        <f>INDEX(Table4[RK],MATCH('Rankings Master'!D341,Table4[PLAYER NAME],0))</f>
        <v>#N/A</v>
      </c>
      <c r="G341" t="e">
        <f t="shared" si="39"/>
        <v>#N/A</v>
      </c>
      <c r="H341" t="e">
        <f t="shared" si="40"/>
        <v>#N/A</v>
      </c>
      <c r="I341" t="e">
        <f t="shared" si="38"/>
        <v>#N/A</v>
      </c>
      <c r="J341" t="str">
        <f t="shared" si="41"/>
        <v/>
      </c>
      <c r="M341" t="str">
        <f>IFERROR(INDEX(PlayerSummaryTable[Rushing Yds],MATCH('Rankings Master'!D341,PlayerSummaryTable[Player],0)),"")</f>
        <v/>
      </c>
      <c r="N341" t="str">
        <f>IFERROR(INDEX(PlayerSummaryTable[Receiving Yds],MATCH('Rankings Master'!D341,PlayerSummaryTable[Player],0)),"")</f>
        <v/>
      </c>
      <c r="O341" t="str">
        <f>IFERROR(INDEX(PlayerSummaryTable[Passing Yds],MATCH('Rankings Master'!D341,PlayerSummaryTable[Player],0)),"")</f>
        <v/>
      </c>
      <c r="U341" t="str">
        <f>IF(COUNTIF('Draft Log'!$B$2:$B$301,D341)&gt;0,"DRAFTED","")</f>
        <v/>
      </c>
      <c r="V341" t="str">
        <f>IFERROR(INDEX('Draft Log'!$A$2:$A$301,MATCH(D341,'Draft Log'!$B$2:$B$301,0)),"")</f>
        <v/>
      </c>
      <c r="W341" t="str">
        <f>IFERROR(INDEX('Draft Log'!$C$2:$C$301,MATCH(D341,'Draft Log'!$B$2:$B$301,0)),"")</f>
        <v/>
      </c>
    </row>
    <row r="342" spans="1:23">
      <c r="A342">
        <f t="shared" si="42"/>
        <v>339</v>
      </c>
      <c r="D342" t="e">
        <f>IF($D$1="ESPN",INDEX(Table2[Mapped Name],MATCH('Rankings Master'!$A342,Table2[Overall Rank],0)),IF('Rankings Master'!$D$1="NFL.com",INDEX(Table3[Name Clean],MATCH('Rankings Master'!$A342,Table3[Rank],0)),IF('Rankings Master'!$D$1="Sleeper",INDEX(Sleeper!$B$2:$B$201,MATCH('Rankings Master'!$A342,Sleeper!$A$2:$A$201,0)),"Need platform")))</f>
        <v>#N/A</v>
      </c>
      <c r="E342" t="e">
        <f>IF($D$1="ESPN",INDEX(Table2[Position],MATCH('Rankings Master'!$A342,Table2[Overall Rank],0)),IF('Rankings Master'!$D$1="NFL.com",INDEX(Table3[Position],MATCH('Rankings Master'!$A342,Table3[Rank],0)),INDEX(Sleeper!$C$2:$C$201,MATCH('Rankings Master'!A342,Sleeper!$A$2:$A$201,0))))</f>
        <v>#N/A</v>
      </c>
      <c r="F342" t="e">
        <f>INDEX(Table4[RK],MATCH('Rankings Master'!D342,Table4[PLAYER NAME],0))</f>
        <v>#N/A</v>
      </c>
      <c r="G342" t="e">
        <f t="shared" si="39"/>
        <v>#N/A</v>
      </c>
      <c r="H342" t="e">
        <f t="shared" si="40"/>
        <v>#N/A</v>
      </c>
      <c r="I342" t="e">
        <f t="shared" si="38"/>
        <v>#N/A</v>
      </c>
      <c r="J342" t="str">
        <f t="shared" si="41"/>
        <v/>
      </c>
      <c r="M342" t="str">
        <f>IFERROR(INDEX(PlayerSummaryTable[Rushing Yds],MATCH('Rankings Master'!D342,PlayerSummaryTable[Player],0)),"")</f>
        <v/>
      </c>
      <c r="N342" t="str">
        <f>IFERROR(INDEX(PlayerSummaryTable[Receiving Yds],MATCH('Rankings Master'!D342,PlayerSummaryTable[Player],0)),"")</f>
        <v/>
      </c>
      <c r="O342" t="str">
        <f>IFERROR(INDEX(PlayerSummaryTable[Passing Yds],MATCH('Rankings Master'!D342,PlayerSummaryTable[Player],0)),"")</f>
        <v/>
      </c>
      <c r="U342" t="str">
        <f>IF(COUNTIF('Draft Log'!$B$2:$B$301,D342)&gt;0,"DRAFTED","")</f>
        <v/>
      </c>
      <c r="V342" t="str">
        <f>IFERROR(INDEX('Draft Log'!$A$2:$A$301,MATCH(D342,'Draft Log'!$B$2:$B$301,0)),"")</f>
        <v/>
      </c>
      <c r="W342" t="str">
        <f>IFERROR(INDEX('Draft Log'!$C$2:$C$301,MATCH(D342,'Draft Log'!$B$2:$B$301,0)),"")</f>
        <v/>
      </c>
    </row>
    <row r="343" spans="1:23">
      <c r="A343">
        <f t="shared" si="42"/>
        <v>340</v>
      </c>
      <c r="D343" t="e">
        <f>IF($D$1="ESPN",INDEX(Table2[Mapped Name],MATCH('Rankings Master'!$A343,Table2[Overall Rank],0)),IF('Rankings Master'!$D$1="NFL.com",INDEX(Table3[Name Clean],MATCH('Rankings Master'!$A343,Table3[Rank],0)),IF('Rankings Master'!$D$1="Sleeper",INDEX(Sleeper!$B$2:$B$201,MATCH('Rankings Master'!$A343,Sleeper!$A$2:$A$201,0)),"Need platform")))</f>
        <v>#N/A</v>
      </c>
      <c r="E343" t="e">
        <f>IF($D$1="ESPN",INDEX(Table2[Position],MATCH('Rankings Master'!$A343,Table2[Overall Rank],0)),IF('Rankings Master'!$D$1="NFL.com",INDEX(Table3[Position],MATCH('Rankings Master'!$A343,Table3[Rank],0)),INDEX(Sleeper!$C$2:$C$201,MATCH('Rankings Master'!A343,Sleeper!$A$2:$A$201,0))))</f>
        <v>#N/A</v>
      </c>
      <c r="F343" t="e">
        <f>INDEX(Table4[RK],MATCH('Rankings Master'!D343,Table4[PLAYER NAME],0))</f>
        <v>#N/A</v>
      </c>
      <c r="G343" t="e">
        <f t="shared" si="39"/>
        <v>#N/A</v>
      </c>
      <c r="H343" t="e">
        <f t="shared" si="40"/>
        <v>#N/A</v>
      </c>
      <c r="I343" t="e">
        <f t="shared" si="38"/>
        <v>#N/A</v>
      </c>
      <c r="J343" t="str">
        <f t="shared" si="41"/>
        <v/>
      </c>
      <c r="M343" t="str">
        <f>IFERROR(INDEX(PlayerSummaryTable[Rushing Yds],MATCH('Rankings Master'!D343,PlayerSummaryTable[Player],0)),"")</f>
        <v/>
      </c>
      <c r="N343" t="str">
        <f>IFERROR(INDEX(PlayerSummaryTable[Receiving Yds],MATCH('Rankings Master'!D343,PlayerSummaryTable[Player],0)),"")</f>
        <v/>
      </c>
      <c r="O343" t="str">
        <f>IFERROR(INDEX(PlayerSummaryTable[Passing Yds],MATCH('Rankings Master'!D343,PlayerSummaryTable[Player],0)),"")</f>
        <v/>
      </c>
      <c r="U343" t="str">
        <f>IF(COUNTIF('Draft Log'!$B$2:$B$301,D343)&gt;0,"DRAFTED","")</f>
        <v/>
      </c>
      <c r="V343" t="str">
        <f>IFERROR(INDEX('Draft Log'!$A$2:$A$301,MATCH(D343,'Draft Log'!$B$2:$B$301,0)),"")</f>
        <v/>
      </c>
      <c r="W343" t="str">
        <f>IFERROR(INDEX('Draft Log'!$C$2:$C$301,MATCH(D343,'Draft Log'!$B$2:$B$301,0)),"")</f>
        <v/>
      </c>
    </row>
    <row r="344" spans="1:23">
      <c r="A344">
        <f t="shared" si="42"/>
        <v>341</v>
      </c>
      <c r="D344" t="e">
        <f>IF($D$1="ESPN",INDEX(Table2[Mapped Name],MATCH('Rankings Master'!$A344,Table2[Overall Rank],0)),IF('Rankings Master'!$D$1="NFL.com",INDEX(Table3[Name Clean],MATCH('Rankings Master'!$A344,Table3[Rank],0)),IF('Rankings Master'!$D$1="Sleeper",INDEX(Sleeper!$B$2:$B$201,MATCH('Rankings Master'!$A344,Sleeper!$A$2:$A$201,0)),"Need platform")))</f>
        <v>#N/A</v>
      </c>
      <c r="E344" t="e">
        <f>IF($D$1="ESPN",INDEX(Table2[Position],MATCH('Rankings Master'!$A344,Table2[Overall Rank],0)),IF('Rankings Master'!$D$1="NFL.com",INDEX(Table3[Position],MATCH('Rankings Master'!$A344,Table3[Rank],0)),INDEX(Sleeper!$C$2:$C$201,MATCH('Rankings Master'!A344,Sleeper!$A$2:$A$201,0))))</f>
        <v>#N/A</v>
      </c>
      <c r="F344" t="e">
        <f>INDEX(Table4[RK],MATCH('Rankings Master'!D344,Table4[PLAYER NAME],0))</f>
        <v>#N/A</v>
      </c>
      <c r="G344" t="e">
        <f t="shared" si="39"/>
        <v>#N/A</v>
      </c>
      <c r="H344" t="e">
        <f t="shared" si="40"/>
        <v>#N/A</v>
      </c>
      <c r="I344" t="e">
        <f t="shared" si="38"/>
        <v>#N/A</v>
      </c>
      <c r="J344" t="str">
        <f t="shared" si="41"/>
        <v/>
      </c>
      <c r="M344" t="str">
        <f>IFERROR(INDEX(PlayerSummaryTable[Rushing Yds],MATCH('Rankings Master'!D344,PlayerSummaryTable[Player],0)),"")</f>
        <v/>
      </c>
      <c r="N344" t="str">
        <f>IFERROR(INDEX(PlayerSummaryTable[Receiving Yds],MATCH('Rankings Master'!D344,PlayerSummaryTable[Player],0)),"")</f>
        <v/>
      </c>
      <c r="O344" t="str">
        <f>IFERROR(INDEX(PlayerSummaryTable[Passing Yds],MATCH('Rankings Master'!D344,PlayerSummaryTable[Player],0)),"")</f>
        <v/>
      </c>
      <c r="U344" t="str">
        <f>IF(COUNTIF('Draft Log'!$B$2:$B$301,D344)&gt;0,"DRAFTED","")</f>
        <v/>
      </c>
      <c r="V344" t="str">
        <f>IFERROR(INDEX('Draft Log'!$A$2:$A$301,MATCH(D344,'Draft Log'!$B$2:$B$301,0)),"")</f>
        <v/>
      </c>
      <c r="W344" t="str">
        <f>IFERROR(INDEX('Draft Log'!$C$2:$C$301,MATCH(D344,'Draft Log'!$B$2:$B$301,0)),"")</f>
        <v/>
      </c>
    </row>
    <row r="345" spans="1:23">
      <c r="A345">
        <f t="shared" si="42"/>
        <v>342</v>
      </c>
      <c r="D345" t="e">
        <f>IF($D$1="ESPN",INDEX(Table2[Mapped Name],MATCH('Rankings Master'!$A345,Table2[Overall Rank],0)),IF('Rankings Master'!$D$1="NFL.com",INDEX(Table3[Name Clean],MATCH('Rankings Master'!$A345,Table3[Rank],0)),IF('Rankings Master'!$D$1="Sleeper",INDEX(Sleeper!$B$2:$B$201,MATCH('Rankings Master'!$A345,Sleeper!$A$2:$A$201,0)),"Need platform")))</f>
        <v>#N/A</v>
      </c>
      <c r="E345" t="e">
        <f>IF($D$1="ESPN",INDEX(Table2[Position],MATCH('Rankings Master'!$A345,Table2[Overall Rank],0)),IF('Rankings Master'!$D$1="NFL.com",INDEX(Table3[Position],MATCH('Rankings Master'!$A345,Table3[Rank],0)),INDEX(Sleeper!$C$2:$C$201,MATCH('Rankings Master'!A345,Sleeper!$A$2:$A$201,0))))</f>
        <v>#N/A</v>
      </c>
      <c r="F345" t="e">
        <f>INDEX(Table4[RK],MATCH('Rankings Master'!D345,Table4[PLAYER NAME],0))</f>
        <v>#N/A</v>
      </c>
      <c r="G345" t="e">
        <f t="shared" si="39"/>
        <v>#N/A</v>
      </c>
      <c r="H345" t="e">
        <f t="shared" si="40"/>
        <v>#N/A</v>
      </c>
      <c r="I345" t="e">
        <f t="shared" si="38"/>
        <v>#N/A</v>
      </c>
      <c r="J345" t="str">
        <f t="shared" si="41"/>
        <v/>
      </c>
      <c r="M345" t="str">
        <f>IFERROR(INDEX(PlayerSummaryTable[Rushing Yds],MATCH('Rankings Master'!D345,PlayerSummaryTable[Player],0)),"")</f>
        <v/>
      </c>
      <c r="N345" t="str">
        <f>IFERROR(INDEX(PlayerSummaryTable[Receiving Yds],MATCH('Rankings Master'!D345,PlayerSummaryTable[Player],0)),"")</f>
        <v/>
      </c>
      <c r="O345" t="str">
        <f>IFERROR(INDEX(PlayerSummaryTable[Passing Yds],MATCH('Rankings Master'!D345,PlayerSummaryTable[Player],0)),"")</f>
        <v/>
      </c>
      <c r="U345" t="str">
        <f>IF(COUNTIF('Draft Log'!$B$2:$B$301,D345)&gt;0,"DRAFTED","")</f>
        <v/>
      </c>
      <c r="V345" t="str">
        <f>IFERROR(INDEX('Draft Log'!$A$2:$A$301,MATCH(D345,'Draft Log'!$B$2:$B$301,0)),"")</f>
        <v/>
      </c>
      <c r="W345" t="str">
        <f>IFERROR(INDEX('Draft Log'!$C$2:$C$301,MATCH(D345,'Draft Log'!$B$2:$B$301,0)),"")</f>
        <v/>
      </c>
    </row>
    <row r="346" spans="1:23">
      <c r="A346">
        <f t="shared" si="42"/>
        <v>343</v>
      </c>
      <c r="D346" t="e">
        <f>IF($D$1="ESPN",INDEX(Table2[Mapped Name],MATCH('Rankings Master'!$A346,Table2[Overall Rank],0)),IF('Rankings Master'!$D$1="NFL.com",INDEX(Table3[Name Clean],MATCH('Rankings Master'!$A346,Table3[Rank],0)),IF('Rankings Master'!$D$1="Sleeper",INDEX(Sleeper!$B$2:$B$201,MATCH('Rankings Master'!$A346,Sleeper!$A$2:$A$201,0)),"Need platform")))</f>
        <v>#N/A</v>
      </c>
      <c r="E346" t="e">
        <f>IF($D$1="ESPN",INDEX(Table2[Position],MATCH('Rankings Master'!$A346,Table2[Overall Rank],0)),IF('Rankings Master'!$D$1="NFL.com",INDEX(Table3[Position],MATCH('Rankings Master'!$A346,Table3[Rank],0)),INDEX(Sleeper!$C$2:$C$201,MATCH('Rankings Master'!A346,Sleeper!$A$2:$A$201,0))))</f>
        <v>#N/A</v>
      </c>
      <c r="F346" t="e">
        <f>INDEX(Table4[RK],MATCH('Rankings Master'!D346,Table4[PLAYER NAME],0))</f>
        <v>#N/A</v>
      </c>
      <c r="G346" t="e">
        <f t="shared" si="39"/>
        <v>#N/A</v>
      </c>
      <c r="H346" t="e">
        <f t="shared" si="40"/>
        <v>#N/A</v>
      </c>
      <c r="I346" t="e">
        <f t="shared" si="38"/>
        <v>#N/A</v>
      </c>
      <c r="J346" t="str">
        <f t="shared" si="41"/>
        <v/>
      </c>
      <c r="M346" t="str">
        <f>IFERROR(INDEX(PlayerSummaryTable[Rushing Yds],MATCH('Rankings Master'!D346,PlayerSummaryTable[Player],0)),"")</f>
        <v/>
      </c>
      <c r="N346" t="str">
        <f>IFERROR(INDEX(PlayerSummaryTable[Receiving Yds],MATCH('Rankings Master'!D346,PlayerSummaryTable[Player],0)),"")</f>
        <v/>
      </c>
      <c r="O346" t="str">
        <f>IFERROR(INDEX(PlayerSummaryTable[Passing Yds],MATCH('Rankings Master'!D346,PlayerSummaryTable[Player],0)),"")</f>
        <v/>
      </c>
      <c r="U346" t="str">
        <f>IF(COUNTIF('Draft Log'!$B$2:$B$301,D346)&gt;0,"DRAFTED","")</f>
        <v/>
      </c>
      <c r="V346" t="str">
        <f>IFERROR(INDEX('Draft Log'!$A$2:$A$301,MATCH(D346,'Draft Log'!$B$2:$B$301,0)),"")</f>
        <v/>
      </c>
      <c r="W346" t="str">
        <f>IFERROR(INDEX('Draft Log'!$C$2:$C$301,MATCH(D346,'Draft Log'!$B$2:$B$301,0)),"")</f>
        <v/>
      </c>
    </row>
    <row r="347" spans="1:23">
      <c r="A347">
        <f t="shared" si="42"/>
        <v>344</v>
      </c>
      <c r="D347" t="e">
        <f>IF($D$1="ESPN",INDEX(Table2[Mapped Name],MATCH('Rankings Master'!$A347,Table2[Overall Rank],0)),IF('Rankings Master'!$D$1="NFL.com",INDEX(Table3[Name Clean],MATCH('Rankings Master'!$A347,Table3[Rank],0)),IF('Rankings Master'!$D$1="Sleeper",INDEX(Sleeper!$B$2:$B$201,MATCH('Rankings Master'!$A347,Sleeper!$A$2:$A$201,0)),"Need platform")))</f>
        <v>#N/A</v>
      </c>
      <c r="E347" t="e">
        <f>IF($D$1="ESPN",INDEX(Table2[Position],MATCH('Rankings Master'!$A347,Table2[Overall Rank],0)),IF('Rankings Master'!$D$1="NFL.com",INDEX(Table3[Position],MATCH('Rankings Master'!$A347,Table3[Rank],0)),INDEX(Sleeper!$C$2:$C$201,MATCH('Rankings Master'!A347,Sleeper!$A$2:$A$201,0))))</f>
        <v>#N/A</v>
      </c>
      <c r="F347" t="e">
        <f>INDEX(Table4[RK],MATCH('Rankings Master'!D347,Table4[PLAYER NAME],0))</f>
        <v>#N/A</v>
      </c>
      <c r="G347" t="e">
        <f t="shared" si="39"/>
        <v>#N/A</v>
      </c>
      <c r="H347" t="e">
        <f t="shared" si="40"/>
        <v>#N/A</v>
      </c>
      <c r="I347" t="e">
        <f t="shared" si="38"/>
        <v>#N/A</v>
      </c>
      <c r="J347" t="str">
        <f t="shared" si="41"/>
        <v/>
      </c>
      <c r="M347" t="str">
        <f>IFERROR(INDEX(PlayerSummaryTable[Rushing Yds],MATCH('Rankings Master'!D347,PlayerSummaryTable[Player],0)),"")</f>
        <v/>
      </c>
      <c r="N347" t="str">
        <f>IFERROR(INDEX(PlayerSummaryTable[Receiving Yds],MATCH('Rankings Master'!D347,PlayerSummaryTable[Player],0)),"")</f>
        <v/>
      </c>
      <c r="O347" t="str">
        <f>IFERROR(INDEX(PlayerSummaryTable[Passing Yds],MATCH('Rankings Master'!D347,PlayerSummaryTable[Player],0)),"")</f>
        <v/>
      </c>
      <c r="U347" t="str">
        <f>IF(COUNTIF('Draft Log'!$B$2:$B$301,D347)&gt;0,"DRAFTED","")</f>
        <v/>
      </c>
      <c r="V347" t="str">
        <f>IFERROR(INDEX('Draft Log'!$A$2:$A$301,MATCH(D347,'Draft Log'!$B$2:$B$301,0)),"")</f>
        <v/>
      </c>
      <c r="W347" t="str">
        <f>IFERROR(INDEX('Draft Log'!$C$2:$C$301,MATCH(D347,'Draft Log'!$B$2:$B$301,0)),"")</f>
        <v/>
      </c>
    </row>
    <row r="348" spans="1:23">
      <c r="A348">
        <f t="shared" si="42"/>
        <v>345</v>
      </c>
      <c r="D348" t="e">
        <f>IF($D$1="ESPN",INDEX(Table2[Mapped Name],MATCH('Rankings Master'!$A348,Table2[Overall Rank],0)),IF('Rankings Master'!$D$1="NFL.com",INDEX(Table3[Name Clean],MATCH('Rankings Master'!$A348,Table3[Rank],0)),IF('Rankings Master'!$D$1="Sleeper",INDEX(Sleeper!$B$2:$B$201,MATCH('Rankings Master'!$A348,Sleeper!$A$2:$A$201,0)),"Need platform")))</f>
        <v>#N/A</v>
      </c>
      <c r="E348" t="e">
        <f>IF($D$1="ESPN",INDEX(Table2[Position],MATCH('Rankings Master'!$A348,Table2[Overall Rank],0)),IF('Rankings Master'!$D$1="NFL.com",INDEX(Table3[Position],MATCH('Rankings Master'!$A348,Table3[Rank],0)),INDEX(Sleeper!$C$2:$C$201,MATCH('Rankings Master'!A348,Sleeper!$A$2:$A$201,0))))</f>
        <v>#N/A</v>
      </c>
      <c r="F348" t="e">
        <f>INDEX(Table4[RK],MATCH('Rankings Master'!D348,Table4[PLAYER NAME],0))</f>
        <v>#N/A</v>
      </c>
      <c r="G348" t="e">
        <f t="shared" si="39"/>
        <v>#N/A</v>
      </c>
      <c r="H348" t="e">
        <f t="shared" si="40"/>
        <v>#N/A</v>
      </c>
      <c r="I348" t="e">
        <f t="shared" si="38"/>
        <v>#N/A</v>
      </c>
      <c r="J348" t="str">
        <f t="shared" si="41"/>
        <v/>
      </c>
      <c r="M348" t="str">
        <f>IFERROR(INDEX(PlayerSummaryTable[Rushing Yds],MATCH('Rankings Master'!D348,PlayerSummaryTable[Player],0)),"")</f>
        <v/>
      </c>
      <c r="N348" t="str">
        <f>IFERROR(INDEX(PlayerSummaryTable[Receiving Yds],MATCH('Rankings Master'!D348,PlayerSummaryTable[Player],0)),"")</f>
        <v/>
      </c>
      <c r="O348" t="str">
        <f>IFERROR(INDEX(PlayerSummaryTable[Passing Yds],MATCH('Rankings Master'!D348,PlayerSummaryTable[Player],0)),"")</f>
        <v/>
      </c>
      <c r="U348" t="str">
        <f>IF(COUNTIF('Draft Log'!$B$2:$B$301,D348)&gt;0,"DRAFTED","")</f>
        <v/>
      </c>
      <c r="V348" t="str">
        <f>IFERROR(INDEX('Draft Log'!$A$2:$A$301,MATCH(D348,'Draft Log'!$B$2:$B$301,0)),"")</f>
        <v/>
      </c>
      <c r="W348" t="str">
        <f>IFERROR(INDEX('Draft Log'!$C$2:$C$301,MATCH(D348,'Draft Log'!$B$2:$B$301,0)),"")</f>
        <v/>
      </c>
    </row>
    <row r="349" spans="1:23">
      <c r="A349">
        <f t="shared" si="42"/>
        <v>346</v>
      </c>
      <c r="D349" t="e">
        <f>IF($D$1="ESPN",INDEX(Table2[Mapped Name],MATCH('Rankings Master'!$A349,Table2[Overall Rank],0)),IF('Rankings Master'!$D$1="NFL.com",INDEX(Table3[Name Clean],MATCH('Rankings Master'!$A349,Table3[Rank],0)),IF('Rankings Master'!$D$1="Sleeper",INDEX(Sleeper!$B$2:$B$201,MATCH('Rankings Master'!$A349,Sleeper!$A$2:$A$201,0)),"Need platform")))</f>
        <v>#N/A</v>
      </c>
      <c r="E349" t="e">
        <f>IF($D$1="ESPN",INDEX(Table2[Position],MATCH('Rankings Master'!$A349,Table2[Overall Rank],0)),IF('Rankings Master'!$D$1="NFL.com",INDEX(Table3[Position],MATCH('Rankings Master'!$A349,Table3[Rank],0)),INDEX(Sleeper!$C$2:$C$201,MATCH('Rankings Master'!A349,Sleeper!$A$2:$A$201,0))))</f>
        <v>#N/A</v>
      </c>
      <c r="F349" t="e">
        <f>INDEX(Table4[RK],MATCH('Rankings Master'!D349,Table4[PLAYER NAME],0))</f>
        <v>#N/A</v>
      </c>
      <c r="G349" t="e">
        <f t="shared" si="39"/>
        <v>#N/A</v>
      </c>
      <c r="H349" t="e">
        <f t="shared" si="40"/>
        <v>#N/A</v>
      </c>
      <c r="I349" t="e">
        <f t="shared" si="38"/>
        <v>#N/A</v>
      </c>
      <c r="J349" t="str">
        <f t="shared" si="41"/>
        <v/>
      </c>
      <c r="M349" t="str">
        <f>IFERROR(INDEX(PlayerSummaryTable[Rushing Yds],MATCH('Rankings Master'!D349,PlayerSummaryTable[Player],0)),"")</f>
        <v/>
      </c>
      <c r="N349" t="str">
        <f>IFERROR(INDEX(PlayerSummaryTable[Receiving Yds],MATCH('Rankings Master'!D349,PlayerSummaryTable[Player],0)),"")</f>
        <v/>
      </c>
      <c r="O349" t="str">
        <f>IFERROR(INDEX(PlayerSummaryTable[Passing Yds],MATCH('Rankings Master'!D349,PlayerSummaryTable[Player],0)),"")</f>
        <v/>
      </c>
      <c r="U349" t="str">
        <f>IF(COUNTIF('Draft Log'!$B$2:$B$301,D349)&gt;0,"DRAFTED","")</f>
        <v/>
      </c>
      <c r="V349" t="str">
        <f>IFERROR(INDEX('Draft Log'!$A$2:$A$301,MATCH(D349,'Draft Log'!$B$2:$B$301,0)),"")</f>
        <v/>
      </c>
      <c r="W349" t="str">
        <f>IFERROR(INDEX('Draft Log'!$C$2:$C$301,MATCH(D349,'Draft Log'!$B$2:$B$301,0)),"")</f>
        <v/>
      </c>
    </row>
    <row r="350" spans="1:23">
      <c r="A350">
        <f t="shared" si="42"/>
        <v>347</v>
      </c>
      <c r="D350" t="e">
        <f>IF($D$1="ESPN",INDEX(Table2[Mapped Name],MATCH('Rankings Master'!$A350,Table2[Overall Rank],0)),IF('Rankings Master'!$D$1="NFL.com",INDEX(Table3[Name Clean],MATCH('Rankings Master'!$A350,Table3[Rank],0)),IF('Rankings Master'!$D$1="Sleeper",INDEX(Sleeper!$B$2:$B$201,MATCH('Rankings Master'!$A350,Sleeper!$A$2:$A$201,0)),"Need platform")))</f>
        <v>#N/A</v>
      </c>
      <c r="E350" t="e">
        <f>IF($D$1="ESPN",INDEX(Table2[Position],MATCH('Rankings Master'!$A350,Table2[Overall Rank],0)),IF('Rankings Master'!$D$1="NFL.com",INDEX(Table3[Position],MATCH('Rankings Master'!$A350,Table3[Rank],0)),INDEX(Sleeper!$C$2:$C$201,MATCH('Rankings Master'!A350,Sleeper!$A$2:$A$201,0))))</f>
        <v>#N/A</v>
      </c>
      <c r="F350" t="e">
        <f>INDEX(Table4[RK],MATCH('Rankings Master'!D350,Table4[PLAYER NAME],0))</f>
        <v>#N/A</v>
      </c>
      <c r="G350" t="e">
        <f t="shared" si="39"/>
        <v>#N/A</v>
      </c>
      <c r="H350" t="e">
        <f t="shared" si="40"/>
        <v>#N/A</v>
      </c>
      <c r="I350" t="e">
        <f t="shared" si="38"/>
        <v>#N/A</v>
      </c>
      <c r="J350" t="str">
        <f t="shared" si="41"/>
        <v/>
      </c>
      <c r="M350" t="str">
        <f>IFERROR(INDEX(PlayerSummaryTable[Rushing Yds],MATCH('Rankings Master'!D350,PlayerSummaryTable[Player],0)),"")</f>
        <v/>
      </c>
      <c r="N350" t="str">
        <f>IFERROR(INDEX(PlayerSummaryTable[Receiving Yds],MATCH('Rankings Master'!D350,PlayerSummaryTable[Player],0)),"")</f>
        <v/>
      </c>
      <c r="O350" t="str">
        <f>IFERROR(INDEX(PlayerSummaryTable[Passing Yds],MATCH('Rankings Master'!D350,PlayerSummaryTable[Player],0)),"")</f>
        <v/>
      </c>
      <c r="U350" t="str">
        <f>IF(COUNTIF('Draft Log'!$B$2:$B$301,D350)&gt;0,"DRAFTED","")</f>
        <v/>
      </c>
      <c r="V350" t="str">
        <f>IFERROR(INDEX('Draft Log'!$A$2:$A$301,MATCH(D350,'Draft Log'!$B$2:$B$301,0)),"")</f>
        <v/>
      </c>
      <c r="W350" t="str">
        <f>IFERROR(INDEX('Draft Log'!$C$2:$C$301,MATCH(D350,'Draft Log'!$B$2:$B$301,0)),"")</f>
        <v/>
      </c>
    </row>
    <row r="351" spans="1:23">
      <c r="A351">
        <f t="shared" si="42"/>
        <v>348</v>
      </c>
      <c r="D351" t="e">
        <f>IF($D$1="ESPN",INDEX(Table2[Mapped Name],MATCH('Rankings Master'!$A351,Table2[Overall Rank],0)),IF('Rankings Master'!$D$1="NFL.com",INDEX(Table3[Name Clean],MATCH('Rankings Master'!$A351,Table3[Rank],0)),IF('Rankings Master'!$D$1="Sleeper",INDEX(Sleeper!$B$2:$B$201,MATCH('Rankings Master'!$A351,Sleeper!$A$2:$A$201,0)),"Need platform")))</f>
        <v>#N/A</v>
      </c>
      <c r="E351" t="e">
        <f>IF($D$1="ESPN",INDEX(Table2[Position],MATCH('Rankings Master'!$A351,Table2[Overall Rank],0)),IF('Rankings Master'!$D$1="NFL.com",INDEX(Table3[Position],MATCH('Rankings Master'!$A351,Table3[Rank],0)),INDEX(Sleeper!$C$2:$C$201,MATCH('Rankings Master'!A351,Sleeper!$A$2:$A$201,0))))</f>
        <v>#N/A</v>
      </c>
      <c r="F351" t="e">
        <f>INDEX(Table4[RK],MATCH('Rankings Master'!D351,Table4[PLAYER NAME],0))</f>
        <v>#N/A</v>
      </c>
      <c r="G351" t="e">
        <f t="shared" si="39"/>
        <v>#N/A</v>
      </c>
      <c r="H351" t="e">
        <f t="shared" si="40"/>
        <v>#N/A</v>
      </c>
      <c r="I351" t="e">
        <f t="shared" si="38"/>
        <v>#N/A</v>
      </c>
      <c r="J351" t="str">
        <f t="shared" si="41"/>
        <v/>
      </c>
      <c r="M351" t="str">
        <f>IFERROR(INDEX(PlayerSummaryTable[Rushing Yds],MATCH('Rankings Master'!D351,PlayerSummaryTable[Player],0)),"")</f>
        <v/>
      </c>
      <c r="N351" t="str">
        <f>IFERROR(INDEX(PlayerSummaryTable[Receiving Yds],MATCH('Rankings Master'!D351,PlayerSummaryTable[Player],0)),"")</f>
        <v/>
      </c>
      <c r="O351" t="str">
        <f>IFERROR(INDEX(PlayerSummaryTable[Passing Yds],MATCH('Rankings Master'!D351,PlayerSummaryTable[Player],0)),"")</f>
        <v/>
      </c>
      <c r="U351" t="str">
        <f>IF(COUNTIF('Draft Log'!$B$2:$B$301,D351)&gt;0,"DRAFTED","")</f>
        <v/>
      </c>
      <c r="V351" t="str">
        <f>IFERROR(INDEX('Draft Log'!$A$2:$A$301,MATCH(D351,'Draft Log'!$B$2:$B$301,0)),"")</f>
        <v/>
      </c>
      <c r="W351" t="str">
        <f>IFERROR(INDEX('Draft Log'!$C$2:$C$301,MATCH(D351,'Draft Log'!$B$2:$B$301,0)),"")</f>
        <v/>
      </c>
    </row>
    <row r="352" spans="1:23">
      <c r="A352">
        <f t="shared" si="42"/>
        <v>349</v>
      </c>
      <c r="D352" t="e">
        <f>IF($D$1="ESPN",INDEX(Table2[Mapped Name],MATCH('Rankings Master'!$A352,Table2[Overall Rank],0)),IF('Rankings Master'!$D$1="NFL.com",INDEX(Table3[Name Clean],MATCH('Rankings Master'!$A352,Table3[Rank],0)),IF('Rankings Master'!$D$1="Sleeper",INDEX(Sleeper!$B$2:$B$201,MATCH('Rankings Master'!$A352,Sleeper!$A$2:$A$201,0)),"Need platform")))</f>
        <v>#N/A</v>
      </c>
      <c r="E352" t="e">
        <f>IF($D$1="ESPN",INDEX(Table2[Position],MATCH('Rankings Master'!$A352,Table2[Overall Rank],0)),IF('Rankings Master'!$D$1="NFL.com",INDEX(Table3[Position],MATCH('Rankings Master'!$A352,Table3[Rank],0)),INDEX(Sleeper!$C$2:$C$201,MATCH('Rankings Master'!A352,Sleeper!$A$2:$A$201,0))))</f>
        <v>#N/A</v>
      </c>
      <c r="F352" t="e">
        <f>INDEX(Table4[RK],MATCH('Rankings Master'!D352,Table4[PLAYER NAME],0))</f>
        <v>#N/A</v>
      </c>
      <c r="G352" t="e">
        <f t="shared" si="39"/>
        <v>#N/A</v>
      </c>
      <c r="H352" t="e">
        <f t="shared" si="40"/>
        <v>#N/A</v>
      </c>
      <c r="I352" t="e">
        <f t="shared" si="38"/>
        <v>#N/A</v>
      </c>
      <c r="J352" t="str">
        <f t="shared" si="41"/>
        <v/>
      </c>
      <c r="M352" t="str">
        <f>IFERROR(INDEX(PlayerSummaryTable[Rushing Yds],MATCH('Rankings Master'!D352,PlayerSummaryTable[Player],0)),"")</f>
        <v/>
      </c>
      <c r="N352" t="str">
        <f>IFERROR(INDEX(PlayerSummaryTable[Receiving Yds],MATCH('Rankings Master'!D352,PlayerSummaryTable[Player],0)),"")</f>
        <v/>
      </c>
      <c r="O352" t="str">
        <f>IFERROR(INDEX(PlayerSummaryTable[Passing Yds],MATCH('Rankings Master'!D352,PlayerSummaryTable[Player],0)),"")</f>
        <v/>
      </c>
      <c r="U352" t="str">
        <f>IF(COUNTIF('Draft Log'!$B$2:$B$301,D352)&gt;0,"DRAFTED","")</f>
        <v/>
      </c>
      <c r="V352" t="str">
        <f>IFERROR(INDEX('Draft Log'!$A$2:$A$301,MATCH(D352,'Draft Log'!$B$2:$B$301,0)),"")</f>
        <v/>
      </c>
      <c r="W352" t="str">
        <f>IFERROR(INDEX('Draft Log'!$C$2:$C$301,MATCH(D352,'Draft Log'!$B$2:$B$301,0)),"")</f>
        <v/>
      </c>
    </row>
    <row r="353" spans="1:23">
      <c r="A353">
        <f t="shared" si="42"/>
        <v>350</v>
      </c>
      <c r="D353" t="e">
        <f>IF($D$1="ESPN",INDEX(Table2[Mapped Name],MATCH('Rankings Master'!$A353,Table2[Overall Rank],0)),IF('Rankings Master'!$D$1="NFL.com",INDEX(Table3[Name Clean],MATCH('Rankings Master'!$A353,Table3[Rank],0)),IF('Rankings Master'!$D$1="Sleeper",INDEX(Sleeper!$B$2:$B$201,MATCH('Rankings Master'!$A353,Sleeper!$A$2:$A$201,0)),"Need platform")))</f>
        <v>#N/A</v>
      </c>
      <c r="E353" t="e">
        <f>IF($D$1="ESPN",INDEX(Table2[Position],MATCH('Rankings Master'!$A353,Table2[Overall Rank],0)),IF('Rankings Master'!$D$1="NFL.com",INDEX(Table3[Position],MATCH('Rankings Master'!$A353,Table3[Rank],0)),INDEX(Sleeper!$C$2:$C$201,MATCH('Rankings Master'!A353,Sleeper!$A$2:$A$201,0))))</f>
        <v>#N/A</v>
      </c>
      <c r="F353" t="e">
        <f>INDEX(Table4[RK],MATCH('Rankings Master'!D353,Table4[PLAYER NAME],0))</f>
        <v>#N/A</v>
      </c>
      <c r="G353" t="e">
        <f t="shared" si="39"/>
        <v>#N/A</v>
      </c>
      <c r="H353" t="e">
        <f t="shared" si="40"/>
        <v>#N/A</v>
      </c>
      <c r="I353" t="e">
        <f t="shared" si="38"/>
        <v>#N/A</v>
      </c>
      <c r="J353" t="str">
        <f t="shared" si="41"/>
        <v/>
      </c>
      <c r="M353" t="str">
        <f>IFERROR(INDEX(PlayerSummaryTable[Rushing Yds],MATCH('Rankings Master'!D353,PlayerSummaryTable[Player],0)),"")</f>
        <v/>
      </c>
      <c r="N353" t="str">
        <f>IFERROR(INDEX(PlayerSummaryTable[Receiving Yds],MATCH('Rankings Master'!D353,PlayerSummaryTable[Player],0)),"")</f>
        <v/>
      </c>
      <c r="O353" t="str">
        <f>IFERROR(INDEX(PlayerSummaryTable[Passing Yds],MATCH('Rankings Master'!D353,PlayerSummaryTable[Player],0)),"")</f>
        <v/>
      </c>
      <c r="U353" t="str">
        <f>IF(COUNTIF('Draft Log'!$B$2:$B$301,D353)&gt;0,"DRAFTED","")</f>
        <v/>
      </c>
      <c r="V353" t="str">
        <f>IFERROR(INDEX('Draft Log'!$A$2:$A$301,MATCH(D353,'Draft Log'!$B$2:$B$301,0)),"")</f>
        <v/>
      </c>
      <c r="W353" t="str">
        <f>IFERROR(INDEX('Draft Log'!$C$2:$C$301,MATCH(D353,'Draft Log'!$B$2:$B$301,0)),"")</f>
        <v/>
      </c>
    </row>
    <row r="354" spans="1:23">
      <c r="A354">
        <f t="shared" si="42"/>
        <v>351</v>
      </c>
      <c r="D354" t="e">
        <f>IF($D$1="ESPN",INDEX(Table2[Mapped Name],MATCH('Rankings Master'!$A354,Table2[Overall Rank],0)),IF('Rankings Master'!$D$1="NFL.com",INDEX(Table3[Name Clean],MATCH('Rankings Master'!$A354,Table3[Rank],0)),IF('Rankings Master'!$D$1="Sleeper",INDEX(Sleeper!$B$2:$B$201,MATCH('Rankings Master'!$A354,Sleeper!$A$2:$A$201,0)),"Need platform")))</f>
        <v>#N/A</v>
      </c>
      <c r="E354" t="e">
        <f>IF($D$1="ESPN",INDEX(Table2[Position],MATCH('Rankings Master'!$A354,Table2[Overall Rank],0)),IF('Rankings Master'!$D$1="NFL.com",INDEX(Table3[Position],MATCH('Rankings Master'!$A354,Table3[Rank],0)),INDEX(Sleeper!$C$2:$C$201,MATCH('Rankings Master'!A354,Sleeper!$A$2:$A$201,0))))</f>
        <v>#N/A</v>
      </c>
      <c r="F354" t="e">
        <f>INDEX(Table4[RK],MATCH('Rankings Master'!D354,Table4[PLAYER NAME],0))</f>
        <v>#N/A</v>
      </c>
      <c r="G354" t="e">
        <f t="shared" si="39"/>
        <v>#N/A</v>
      </c>
      <c r="H354" t="e">
        <f t="shared" si="40"/>
        <v>#N/A</v>
      </c>
      <c r="I354" t="e">
        <f t="shared" si="38"/>
        <v>#N/A</v>
      </c>
      <c r="J354" t="str">
        <f t="shared" si="41"/>
        <v/>
      </c>
      <c r="M354" t="str">
        <f>IFERROR(INDEX(PlayerSummaryTable[Rushing Yds],MATCH('Rankings Master'!D354,PlayerSummaryTable[Player],0)),"")</f>
        <v/>
      </c>
      <c r="N354" t="str">
        <f>IFERROR(INDEX(PlayerSummaryTable[Receiving Yds],MATCH('Rankings Master'!D354,PlayerSummaryTable[Player],0)),"")</f>
        <v/>
      </c>
      <c r="O354" t="str">
        <f>IFERROR(INDEX(PlayerSummaryTable[Passing Yds],MATCH('Rankings Master'!D354,PlayerSummaryTable[Player],0)),"")</f>
        <v/>
      </c>
      <c r="U354" t="str">
        <f>IF(COUNTIF('Draft Log'!$B$2:$B$301,D354)&gt;0,"DRAFTED","")</f>
        <v/>
      </c>
      <c r="V354" t="str">
        <f>IFERROR(INDEX('Draft Log'!$A$2:$A$301,MATCH(D354,'Draft Log'!$B$2:$B$301,0)),"")</f>
        <v/>
      </c>
      <c r="W354" t="str">
        <f>IFERROR(INDEX('Draft Log'!$C$2:$C$301,MATCH(D354,'Draft Log'!$B$2:$B$301,0)),"")</f>
        <v/>
      </c>
    </row>
    <row r="355" spans="1:23">
      <c r="A355">
        <f t="shared" si="42"/>
        <v>352</v>
      </c>
      <c r="D355" t="e">
        <f>IF($D$1="ESPN",INDEX(Table2[Mapped Name],MATCH('Rankings Master'!$A355,Table2[Overall Rank],0)),IF('Rankings Master'!$D$1="NFL.com",INDEX(Table3[Name Clean],MATCH('Rankings Master'!$A355,Table3[Rank],0)),IF('Rankings Master'!$D$1="Sleeper",INDEX(Sleeper!$B$2:$B$201,MATCH('Rankings Master'!$A355,Sleeper!$A$2:$A$201,0)),"Need platform")))</f>
        <v>#N/A</v>
      </c>
      <c r="E355" t="e">
        <f>IF($D$1="ESPN",INDEX(Table2[Position],MATCH('Rankings Master'!$A355,Table2[Overall Rank],0)),IF('Rankings Master'!$D$1="NFL.com",INDEX(Table3[Position],MATCH('Rankings Master'!$A355,Table3[Rank],0)),INDEX(Sleeper!$C$2:$C$201,MATCH('Rankings Master'!A355,Sleeper!$A$2:$A$201,0))))</f>
        <v>#N/A</v>
      </c>
      <c r="F355" t="e">
        <f>INDEX(Table4[RK],MATCH('Rankings Master'!D355,Table4[PLAYER NAME],0))</f>
        <v>#N/A</v>
      </c>
      <c r="G355" t="e">
        <f t="shared" si="39"/>
        <v>#N/A</v>
      </c>
      <c r="H355" t="e">
        <f t="shared" si="40"/>
        <v>#N/A</v>
      </c>
      <c r="I355" t="e">
        <f t="shared" si="38"/>
        <v>#N/A</v>
      </c>
      <c r="J355" t="str">
        <f t="shared" si="41"/>
        <v/>
      </c>
      <c r="M355" t="str">
        <f>IFERROR(INDEX(PlayerSummaryTable[Rushing Yds],MATCH('Rankings Master'!D355,PlayerSummaryTable[Player],0)),"")</f>
        <v/>
      </c>
      <c r="N355" t="str">
        <f>IFERROR(INDEX(PlayerSummaryTable[Receiving Yds],MATCH('Rankings Master'!D355,PlayerSummaryTable[Player],0)),"")</f>
        <v/>
      </c>
      <c r="O355" t="str">
        <f>IFERROR(INDEX(PlayerSummaryTable[Passing Yds],MATCH('Rankings Master'!D355,PlayerSummaryTable[Player],0)),"")</f>
        <v/>
      </c>
      <c r="U355" t="str">
        <f>IF(COUNTIF('Draft Log'!$B$2:$B$301,D355)&gt;0,"DRAFTED","")</f>
        <v/>
      </c>
      <c r="V355" t="str">
        <f>IFERROR(INDEX('Draft Log'!$A$2:$A$301,MATCH(D355,'Draft Log'!$B$2:$B$301,0)),"")</f>
        <v/>
      </c>
      <c r="W355" t="str">
        <f>IFERROR(INDEX('Draft Log'!$C$2:$C$301,MATCH(D355,'Draft Log'!$B$2:$B$301,0)),"")</f>
        <v/>
      </c>
    </row>
    <row r="356" spans="1:23">
      <c r="A356">
        <f t="shared" si="42"/>
        <v>353</v>
      </c>
      <c r="D356" t="e">
        <f>IF($D$1="ESPN",INDEX(Table2[Mapped Name],MATCH('Rankings Master'!$A356,Table2[Overall Rank],0)),IF('Rankings Master'!$D$1="NFL.com",INDEX(Table3[Name Clean],MATCH('Rankings Master'!$A356,Table3[Rank],0)),IF('Rankings Master'!$D$1="Sleeper",INDEX(Sleeper!$B$2:$B$201,MATCH('Rankings Master'!$A356,Sleeper!$A$2:$A$201,0)),"Need platform")))</f>
        <v>#N/A</v>
      </c>
      <c r="E356" t="e">
        <f>IF($D$1="ESPN",INDEX(Table2[Position],MATCH('Rankings Master'!$A356,Table2[Overall Rank],0)),IF('Rankings Master'!$D$1="NFL.com",INDEX(Table3[Position],MATCH('Rankings Master'!$A356,Table3[Rank],0)),INDEX(Sleeper!$C$2:$C$201,MATCH('Rankings Master'!A356,Sleeper!$A$2:$A$201,0))))</f>
        <v>#N/A</v>
      </c>
      <c r="F356" t="e">
        <f>INDEX(Table4[RK],MATCH('Rankings Master'!D356,Table4[PLAYER NAME],0))</f>
        <v>#N/A</v>
      </c>
      <c r="G356" t="e">
        <f t="shared" si="39"/>
        <v>#N/A</v>
      </c>
      <c r="H356" t="e">
        <f t="shared" si="40"/>
        <v>#N/A</v>
      </c>
      <c r="I356" t="e">
        <f t="shared" si="38"/>
        <v>#N/A</v>
      </c>
      <c r="J356" t="str">
        <f t="shared" si="41"/>
        <v/>
      </c>
      <c r="M356" t="str">
        <f>IFERROR(INDEX(PlayerSummaryTable[Rushing Yds],MATCH('Rankings Master'!D356,PlayerSummaryTable[Player],0)),"")</f>
        <v/>
      </c>
      <c r="N356" t="str">
        <f>IFERROR(INDEX(PlayerSummaryTable[Receiving Yds],MATCH('Rankings Master'!D356,PlayerSummaryTable[Player],0)),"")</f>
        <v/>
      </c>
      <c r="O356" t="str">
        <f>IFERROR(INDEX(PlayerSummaryTable[Passing Yds],MATCH('Rankings Master'!D356,PlayerSummaryTable[Player],0)),"")</f>
        <v/>
      </c>
      <c r="U356" t="str">
        <f>IF(COUNTIF('Draft Log'!$B$2:$B$301,D356)&gt;0,"DRAFTED","")</f>
        <v/>
      </c>
      <c r="V356" t="str">
        <f>IFERROR(INDEX('Draft Log'!$A$2:$A$301,MATCH(D356,'Draft Log'!$B$2:$B$301,0)),"")</f>
        <v/>
      </c>
      <c r="W356" t="str">
        <f>IFERROR(INDEX('Draft Log'!$C$2:$C$301,MATCH(D356,'Draft Log'!$B$2:$B$301,0)),"")</f>
        <v/>
      </c>
    </row>
    <row r="357" spans="1:23">
      <c r="A357">
        <f t="shared" si="42"/>
        <v>354</v>
      </c>
      <c r="D357" t="e">
        <f>IF($D$1="ESPN",INDEX(Table2[Mapped Name],MATCH('Rankings Master'!$A357,Table2[Overall Rank],0)),IF('Rankings Master'!$D$1="NFL.com",INDEX(Table3[Name Clean],MATCH('Rankings Master'!$A357,Table3[Rank],0)),IF('Rankings Master'!$D$1="Sleeper",INDEX(Sleeper!$B$2:$B$201,MATCH('Rankings Master'!$A357,Sleeper!$A$2:$A$201,0)),"Need platform")))</f>
        <v>#N/A</v>
      </c>
      <c r="E357" t="e">
        <f>IF($D$1="ESPN",INDEX(Table2[Position],MATCH('Rankings Master'!$A357,Table2[Overall Rank],0)),IF('Rankings Master'!$D$1="NFL.com",INDEX(Table3[Position],MATCH('Rankings Master'!$A357,Table3[Rank],0)),INDEX(Sleeper!$C$2:$C$201,MATCH('Rankings Master'!A357,Sleeper!$A$2:$A$201,0))))</f>
        <v>#N/A</v>
      </c>
      <c r="F357" t="e">
        <f>INDEX(Table4[RK],MATCH('Rankings Master'!D357,Table4[PLAYER NAME],0))</f>
        <v>#N/A</v>
      </c>
      <c r="G357" t="e">
        <f t="shared" si="39"/>
        <v>#N/A</v>
      </c>
      <c r="H357" t="e">
        <f t="shared" si="40"/>
        <v>#N/A</v>
      </c>
      <c r="I357" t="e">
        <f t="shared" si="38"/>
        <v>#N/A</v>
      </c>
      <c r="J357" t="str">
        <f t="shared" si="41"/>
        <v/>
      </c>
      <c r="M357" t="str">
        <f>IFERROR(INDEX(PlayerSummaryTable[Rushing Yds],MATCH('Rankings Master'!D357,PlayerSummaryTable[Player],0)),"")</f>
        <v/>
      </c>
      <c r="N357" t="str">
        <f>IFERROR(INDEX(PlayerSummaryTable[Receiving Yds],MATCH('Rankings Master'!D357,PlayerSummaryTable[Player],0)),"")</f>
        <v/>
      </c>
      <c r="O357" t="str">
        <f>IFERROR(INDEX(PlayerSummaryTable[Passing Yds],MATCH('Rankings Master'!D357,PlayerSummaryTable[Player],0)),"")</f>
        <v/>
      </c>
      <c r="U357" t="str">
        <f>IF(COUNTIF('Draft Log'!$B$2:$B$301,D357)&gt;0,"DRAFTED","")</f>
        <v/>
      </c>
      <c r="V357" t="str">
        <f>IFERROR(INDEX('Draft Log'!$A$2:$A$301,MATCH(D357,'Draft Log'!$B$2:$B$301,0)),"")</f>
        <v/>
      </c>
      <c r="W357" t="str">
        <f>IFERROR(INDEX('Draft Log'!$C$2:$C$301,MATCH(D357,'Draft Log'!$B$2:$B$301,0)),"")</f>
        <v/>
      </c>
    </row>
    <row r="358" spans="1:23">
      <c r="A358">
        <f t="shared" si="42"/>
        <v>355</v>
      </c>
      <c r="D358" t="e">
        <f>IF($D$1="ESPN",INDEX(Table2[Mapped Name],MATCH('Rankings Master'!$A358,Table2[Overall Rank],0)),IF('Rankings Master'!$D$1="NFL.com",INDEX(Table3[Name Clean],MATCH('Rankings Master'!$A358,Table3[Rank],0)),IF('Rankings Master'!$D$1="Sleeper",INDEX(Sleeper!$B$2:$B$201,MATCH('Rankings Master'!$A358,Sleeper!$A$2:$A$201,0)),"Need platform")))</f>
        <v>#N/A</v>
      </c>
      <c r="E358" t="e">
        <f>IF($D$1="ESPN",INDEX(Table2[Position],MATCH('Rankings Master'!$A358,Table2[Overall Rank],0)),IF('Rankings Master'!$D$1="NFL.com",INDEX(Table3[Position],MATCH('Rankings Master'!$A358,Table3[Rank],0)),INDEX(Sleeper!$C$2:$C$201,MATCH('Rankings Master'!A358,Sleeper!$A$2:$A$201,0))))</f>
        <v>#N/A</v>
      </c>
      <c r="F358" t="e">
        <f>INDEX(Table4[RK],MATCH('Rankings Master'!D358,Table4[PLAYER NAME],0))</f>
        <v>#N/A</v>
      </c>
      <c r="G358" t="e">
        <f t="shared" si="39"/>
        <v>#N/A</v>
      </c>
      <c r="H358" t="e">
        <f t="shared" si="40"/>
        <v>#N/A</v>
      </c>
      <c r="I358" t="e">
        <f t="shared" si="38"/>
        <v>#N/A</v>
      </c>
      <c r="J358" t="str">
        <f t="shared" si="41"/>
        <v/>
      </c>
      <c r="M358" t="str">
        <f>IFERROR(INDEX(PlayerSummaryTable[Rushing Yds],MATCH('Rankings Master'!D358,PlayerSummaryTable[Player],0)),"")</f>
        <v/>
      </c>
      <c r="N358" t="str">
        <f>IFERROR(INDEX(PlayerSummaryTable[Receiving Yds],MATCH('Rankings Master'!D358,PlayerSummaryTable[Player],0)),"")</f>
        <v/>
      </c>
      <c r="O358" t="str">
        <f>IFERROR(INDEX(PlayerSummaryTable[Passing Yds],MATCH('Rankings Master'!D358,PlayerSummaryTable[Player],0)),"")</f>
        <v/>
      </c>
      <c r="U358" t="str">
        <f>IF(COUNTIF('Draft Log'!$B$2:$B$301,D358)&gt;0,"DRAFTED","")</f>
        <v/>
      </c>
      <c r="V358" t="str">
        <f>IFERROR(INDEX('Draft Log'!$A$2:$A$301,MATCH(D358,'Draft Log'!$B$2:$B$301,0)),"")</f>
        <v/>
      </c>
      <c r="W358" t="str">
        <f>IFERROR(INDEX('Draft Log'!$C$2:$C$301,MATCH(D358,'Draft Log'!$B$2:$B$301,0)),"")</f>
        <v/>
      </c>
    </row>
    <row r="359" spans="1:23">
      <c r="A359">
        <f t="shared" si="42"/>
        <v>356</v>
      </c>
      <c r="D359" t="e">
        <f>IF($D$1="ESPN",INDEX(Table2[Mapped Name],MATCH('Rankings Master'!$A359,Table2[Overall Rank],0)),IF('Rankings Master'!$D$1="NFL.com",INDEX(Table3[Name Clean],MATCH('Rankings Master'!$A359,Table3[Rank],0)),IF('Rankings Master'!$D$1="Sleeper",INDEX(Sleeper!$B$2:$B$201,MATCH('Rankings Master'!$A359,Sleeper!$A$2:$A$201,0)),"Need platform")))</f>
        <v>#N/A</v>
      </c>
      <c r="E359" t="e">
        <f>IF($D$1="ESPN",INDEX(Table2[Position],MATCH('Rankings Master'!$A359,Table2[Overall Rank],0)),IF('Rankings Master'!$D$1="NFL.com",INDEX(Table3[Position],MATCH('Rankings Master'!$A359,Table3[Rank],0)),INDEX(Sleeper!$C$2:$C$201,MATCH('Rankings Master'!A359,Sleeper!$A$2:$A$201,0))))</f>
        <v>#N/A</v>
      </c>
      <c r="F359" t="e">
        <f>INDEX(Table4[RK],MATCH('Rankings Master'!D359,Table4[PLAYER NAME],0))</f>
        <v>#N/A</v>
      </c>
      <c r="G359" t="e">
        <f t="shared" si="39"/>
        <v>#N/A</v>
      </c>
      <c r="H359" t="e">
        <f t="shared" si="40"/>
        <v>#N/A</v>
      </c>
      <c r="I359" t="e">
        <f t="shared" si="38"/>
        <v>#N/A</v>
      </c>
      <c r="J359" t="str">
        <f t="shared" si="41"/>
        <v/>
      </c>
      <c r="M359" t="str">
        <f>IFERROR(INDEX(PlayerSummaryTable[Rushing Yds],MATCH('Rankings Master'!D359,PlayerSummaryTable[Player],0)),"")</f>
        <v/>
      </c>
      <c r="N359" t="str">
        <f>IFERROR(INDEX(PlayerSummaryTable[Receiving Yds],MATCH('Rankings Master'!D359,PlayerSummaryTable[Player],0)),"")</f>
        <v/>
      </c>
      <c r="O359" t="str">
        <f>IFERROR(INDEX(PlayerSummaryTable[Passing Yds],MATCH('Rankings Master'!D359,PlayerSummaryTable[Player],0)),"")</f>
        <v/>
      </c>
      <c r="U359" t="str">
        <f>IF(COUNTIF('Draft Log'!$B$2:$B$301,D359)&gt;0,"DRAFTED","")</f>
        <v/>
      </c>
      <c r="V359" t="str">
        <f>IFERROR(INDEX('Draft Log'!$A$2:$A$301,MATCH(D359,'Draft Log'!$B$2:$B$301,0)),"")</f>
        <v/>
      </c>
      <c r="W359" t="str">
        <f>IFERROR(INDEX('Draft Log'!$C$2:$C$301,MATCH(D359,'Draft Log'!$B$2:$B$301,0)),"")</f>
        <v/>
      </c>
    </row>
    <row r="360" spans="1:23">
      <c r="A360">
        <f t="shared" si="42"/>
        <v>357</v>
      </c>
      <c r="D360" t="e">
        <f>IF($D$1="ESPN",INDEX(Table2[Mapped Name],MATCH('Rankings Master'!$A360,Table2[Overall Rank],0)),IF('Rankings Master'!$D$1="NFL.com",INDEX(Table3[Name Clean],MATCH('Rankings Master'!$A360,Table3[Rank],0)),IF('Rankings Master'!$D$1="Sleeper",INDEX(Sleeper!$B$2:$B$201,MATCH('Rankings Master'!$A360,Sleeper!$A$2:$A$201,0)),"Need platform")))</f>
        <v>#N/A</v>
      </c>
      <c r="E360" t="e">
        <f>IF($D$1="ESPN",INDEX(Table2[Position],MATCH('Rankings Master'!$A360,Table2[Overall Rank],0)),IF('Rankings Master'!$D$1="NFL.com",INDEX(Table3[Position],MATCH('Rankings Master'!$A360,Table3[Rank],0)),INDEX(Sleeper!$C$2:$C$201,MATCH('Rankings Master'!A360,Sleeper!$A$2:$A$201,0))))</f>
        <v>#N/A</v>
      </c>
      <c r="F360" t="e">
        <f>INDEX(Table4[RK],MATCH('Rankings Master'!D360,Table4[PLAYER NAME],0))</f>
        <v>#N/A</v>
      </c>
      <c r="G360" t="e">
        <f t="shared" si="39"/>
        <v>#N/A</v>
      </c>
      <c r="H360" t="e">
        <f t="shared" si="40"/>
        <v>#N/A</v>
      </c>
      <c r="I360" t="e">
        <f t="shared" si="38"/>
        <v>#N/A</v>
      </c>
      <c r="J360" t="str">
        <f t="shared" si="41"/>
        <v/>
      </c>
      <c r="M360" t="str">
        <f>IFERROR(INDEX(PlayerSummaryTable[Rushing Yds],MATCH('Rankings Master'!D360,PlayerSummaryTable[Player],0)),"")</f>
        <v/>
      </c>
      <c r="N360" t="str">
        <f>IFERROR(INDEX(PlayerSummaryTable[Receiving Yds],MATCH('Rankings Master'!D360,PlayerSummaryTable[Player],0)),"")</f>
        <v/>
      </c>
      <c r="O360" t="str">
        <f>IFERROR(INDEX(PlayerSummaryTable[Passing Yds],MATCH('Rankings Master'!D360,PlayerSummaryTable[Player],0)),"")</f>
        <v/>
      </c>
      <c r="U360" t="str">
        <f>IF(COUNTIF('Draft Log'!$B$2:$B$301,D360)&gt;0,"DRAFTED","")</f>
        <v/>
      </c>
      <c r="V360" t="str">
        <f>IFERROR(INDEX('Draft Log'!$A$2:$A$301,MATCH(D360,'Draft Log'!$B$2:$B$301,0)),"")</f>
        <v/>
      </c>
      <c r="W360" t="str">
        <f>IFERROR(INDEX('Draft Log'!$C$2:$C$301,MATCH(D360,'Draft Log'!$B$2:$B$301,0)),"")</f>
        <v/>
      </c>
    </row>
    <row r="361" spans="1:23">
      <c r="A361">
        <f t="shared" si="42"/>
        <v>358</v>
      </c>
      <c r="D361" t="e">
        <f>IF($D$1="ESPN",INDEX(Table2[Mapped Name],MATCH('Rankings Master'!$A361,Table2[Overall Rank],0)),IF('Rankings Master'!$D$1="NFL.com",INDEX(Table3[Name Clean],MATCH('Rankings Master'!$A361,Table3[Rank],0)),IF('Rankings Master'!$D$1="Sleeper",INDEX(Sleeper!$B$2:$B$201,MATCH('Rankings Master'!$A361,Sleeper!$A$2:$A$201,0)),"Need platform")))</f>
        <v>#N/A</v>
      </c>
      <c r="E361" t="e">
        <f>IF($D$1="ESPN",INDEX(Table2[Position],MATCH('Rankings Master'!$A361,Table2[Overall Rank],0)),IF('Rankings Master'!$D$1="NFL.com",INDEX(Table3[Position],MATCH('Rankings Master'!$A361,Table3[Rank],0)),INDEX(Sleeper!$C$2:$C$201,MATCH('Rankings Master'!A361,Sleeper!$A$2:$A$201,0))))</f>
        <v>#N/A</v>
      </c>
      <c r="F361" t="e">
        <f>INDEX(Table4[RK],MATCH('Rankings Master'!D361,Table4[PLAYER NAME],0))</f>
        <v>#N/A</v>
      </c>
      <c r="G361" t="e">
        <f t="shared" si="39"/>
        <v>#N/A</v>
      </c>
      <c r="H361" t="e">
        <f t="shared" si="40"/>
        <v>#N/A</v>
      </c>
      <c r="I361" t="e">
        <f t="shared" si="38"/>
        <v>#N/A</v>
      </c>
      <c r="J361" t="str">
        <f t="shared" si="41"/>
        <v/>
      </c>
      <c r="M361" t="str">
        <f>IFERROR(INDEX(PlayerSummaryTable[Rushing Yds],MATCH('Rankings Master'!D361,PlayerSummaryTable[Player],0)),"")</f>
        <v/>
      </c>
      <c r="N361" t="str">
        <f>IFERROR(INDEX(PlayerSummaryTable[Receiving Yds],MATCH('Rankings Master'!D361,PlayerSummaryTable[Player],0)),"")</f>
        <v/>
      </c>
      <c r="O361" t="str">
        <f>IFERROR(INDEX(PlayerSummaryTable[Passing Yds],MATCH('Rankings Master'!D361,PlayerSummaryTable[Player],0)),"")</f>
        <v/>
      </c>
      <c r="U361" t="str">
        <f>IF(COUNTIF('Draft Log'!$B$2:$B$301,D361)&gt;0,"DRAFTED","")</f>
        <v/>
      </c>
      <c r="V361" t="str">
        <f>IFERROR(INDEX('Draft Log'!$A$2:$A$301,MATCH(D361,'Draft Log'!$B$2:$B$301,0)),"")</f>
        <v/>
      </c>
      <c r="W361" t="str">
        <f>IFERROR(INDEX('Draft Log'!$C$2:$C$301,MATCH(D361,'Draft Log'!$B$2:$B$301,0)),"")</f>
        <v/>
      </c>
    </row>
    <row r="362" spans="1:23">
      <c r="A362">
        <f t="shared" si="42"/>
        <v>359</v>
      </c>
      <c r="D362" t="e">
        <f>IF($D$1="ESPN",INDEX(Table2[Mapped Name],MATCH('Rankings Master'!$A362,Table2[Overall Rank],0)),IF('Rankings Master'!$D$1="NFL.com",INDEX(Table3[Name Clean],MATCH('Rankings Master'!$A362,Table3[Rank],0)),IF('Rankings Master'!$D$1="Sleeper",INDEX(Sleeper!$B$2:$B$201,MATCH('Rankings Master'!$A362,Sleeper!$A$2:$A$201,0)),"Need platform")))</f>
        <v>#N/A</v>
      </c>
      <c r="E362" t="e">
        <f>IF($D$1="ESPN",INDEX(Table2[Position],MATCH('Rankings Master'!$A362,Table2[Overall Rank],0)),IF('Rankings Master'!$D$1="NFL.com",INDEX(Table3[Position],MATCH('Rankings Master'!$A362,Table3[Rank],0)),INDEX(Sleeper!$C$2:$C$201,MATCH('Rankings Master'!A362,Sleeper!$A$2:$A$201,0))))</f>
        <v>#N/A</v>
      </c>
      <c r="F362" t="e">
        <f>INDEX(Table4[RK],MATCH('Rankings Master'!D362,Table4[PLAYER NAME],0))</f>
        <v>#N/A</v>
      </c>
      <c r="G362" t="e">
        <f t="shared" si="39"/>
        <v>#N/A</v>
      </c>
      <c r="H362" t="e">
        <f t="shared" si="40"/>
        <v>#N/A</v>
      </c>
      <c r="I362" t="e">
        <f t="shared" si="38"/>
        <v>#N/A</v>
      </c>
      <c r="J362" t="str">
        <f t="shared" si="41"/>
        <v/>
      </c>
      <c r="M362" t="str">
        <f>IFERROR(INDEX(PlayerSummaryTable[Rushing Yds],MATCH('Rankings Master'!D362,PlayerSummaryTable[Player],0)),"")</f>
        <v/>
      </c>
      <c r="N362" t="str">
        <f>IFERROR(INDEX(PlayerSummaryTable[Receiving Yds],MATCH('Rankings Master'!D362,PlayerSummaryTable[Player],0)),"")</f>
        <v/>
      </c>
      <c r="O362" t="str">
        <f>IFERROR(INDEX(PlayerSummaryTable[Passing Yds],MATCH('Rankings Master'!D362,PlayerSummaryTable[Player],0)),"")</f>
        <v/>
      </c>
      <c r="U362" t="str">
        <f>IF(COUNTIF('Draft Log'!$B$2:$B$301,D362)&gt;0,"DRAFTED","")</f>
        <v/>
      </c>
      <c r="V362" t="str">
        <f>IFERROR(INDEX('Draft Log'!$A$2:$A$301,MATCH(D362,'Draft Log'!$B$2:$B$301,0)),"")</f>
        <v/>
      </c>
      <c r="W362" t="str">
        <f>IFERROR(INDEX('Draft Log'!$C$2:$C$301,MATCH(D362,'Draft Log'!$B$2:$B$301,0)),"")</f>
        <v/>
      </c>
    </row>
    <row r="363" spans="1:23">
      <c r="A363">
        <f t="shared" si="42"/>
        <v>360</v>
      </c>
      <c r="D363" t="e">
        <f>IF($D$1="ESPN",INDEX(Table2[Mapped Name],MATCH('Rankings Master'!$A363,Table2[Overall Rank],0)),IF('Rankings Master'!$D$1="NFL.com",INDEX(Table3[Name Clean],MATCH('Rankings Master'!$A363,Table3[Rank],0)),IF('Rankings Master'!$D$1="Sleeper",INDEX(Sleeper!$B$2:$B$201,MATCH('Rankings Master'!$A363,Sleeper!$A$2:$A$201,0)),"Need platform")))</f>
        <v>#N/A</v>
      </c>
      <c r="E363" t="e">
        <f>IF($D$1="ESPN",INDEX(Table2[Position],MATCH('Rankings Master'!$A363,Table2[Overall Rank],0)),IF('Rankings Master'!$D$1="NFL.com",INDEX(Table3[Position],MATCH('Rankings Master'!$A363,Table3[Rank],0)),INDEX(Sleeper!$C$2:$C$201,MATCH('Rankings Master'!A363,Sleeper!$A$2:$A$201,0))))</f>
        <v>#N/A</v>
      </c>
      <c r="F363" t="e">
        <f>INDEX(Table4[RK],MATCH('Rankings Master'!D363,Table4[PLAYER NAME],0))</f>
        <v>#N/A</v>
      </c>
      <c r="G363" t="e">
        <f t="shared" si="39"/>
        <v>#N/A</v>
      </c>
      <c r="H363" t="e">
        <f t="shared" si="40"/>
        <v>#N/A</v>
      </c>
      <c r="I363" t="e">
        <f t="shared" si="38"/>
        <v>#N/A</v>
      </c>
      <c r="J363" t="str">
        <f t="shared" si="41"/>
        <v/>
      </c>
      <c r="M363" t="str">
        <f>IFERROR(INDEX(PlayerSummaryTable[Rushing Yds],MATCH('Rankings Master'!D363,PlayerSummaryTable[Player],0)),"")</f>
        <v/>
      </c>
      <c r="N363" t="str">
        <f>IFERROR(INDEX(PlayerSummaryTable[Receiving Yds],MATCH('Rankings Master'!D363,PlayerSummaryTable[Player],0)),"")</f>
        <v/>
      </c>
      <c r="O363" t="str">
        <f>IFERROR(INDEX(PlayerSummaryTable[Passing Yds],MATCH('Rankings Master'!D363,PlayerSummaryTable[Player],0)),"")</f>
        <v/>
      </c>
      <c r="U363" t="str">
        <f>IF(COUNTIF('Draft Log'!$B$2:$B$301,D363)&gt;0,"DRAFTED","")</f>
        <v/>
      </c>
      <c r="V363" t="str">
        <f>IFERROR(INDEX('Draft Log'!$A$2:$A$301,MATCH(D363,'Draft Log'!$B$2:$B$301,0)),"")</f>
        <v/>
      </c>
      <c r="W363" t="str">
        <f>IFERROR(INDEX('Draft Log'!$C$2:$C$301,MATCH(D363,'Draft Log'!$B$2:$B$301,0)),"")</f>
        <v/>
      </c>
    </row>
    <row r="364" spans="1:23">
      <c r="A364">
        <f t="shared" si="42"/>
        <v>361</v>
      </c>
      <c r="D364" t="e">
        <f>IF($D$1="ESPN",INDEX(Table2[Mapped Name],MATCH('Rankings Master'!$A364,Table2[Overall Rank],0)),IF('Rankings Master'!$D$1="NFL.com",INDEX(Table3[Name Clean],MATCH('Rankings Master'!$A364,Table3[Rank],0)),IF('Rankings Master'!$D$1="Sleeper",INDEX(Sleeper!$B$2:$B$201,MATCH('Rankings Master'!$A364,Sleeper!$A$2:$A$201,0)),"Need platform")))</f>
        <v>#N/A</v>
      </c>
      <c r="E364" t="e">
        <f>IF($D$1="ESPN",INDEX(Table2[Position],MATCH('Rankings Master'!$A364,Table2[Overall Rank],0)),IF('Rankings Master'!$D$1="NFL.com",INDEX(Table3[Position],MATCH('Rankings Master'!$A364,Table3[Rank],0)),INDEX(Sleeper!$C$2:$C$201,MATCH('Rankings Master'!A364,Sleeper!$A$2:$A$201,0))))</f>
        <v>#N/A</v>
      </c>
      <c r="F364" t="e">
        <f>INDEX(Table4[RK],MATCH('Rankings Master'!D364,Table4[PLAYER NAME],0))</f>
        <v>#N/A</v>
      </c>
      <c r="G364" t="e">
        <f t="shared" si="39"/>
        <v>#N/A</v>
      </c>
      <c r="H364" t="e">
        <f t="shared" si="40"/>
        <v>#N/A</v>
      </c>
      <c r="I364" t="e">
        <f t="shared" si="38"/>
        <v>#N/A</v>
      </c>
      <c r="J364" t="str">
        <f t="shared" si="41"/>
        <v/>
      </c>
      <c r="M364" t="str">
        <f>IFERROR(INDEX(PlayerSummaryTable[Rushing Yds],MATCH('Rankings Master'!D364,PlayerSummaryTable[Player],0)),"")</f>
        <v/>
      </c>
      <c r="N364" t="str">
        <f>IFERROR(INDEX(PlayerSummaryTable[Receiving Yds],MATCH('Rankings Master'!D364,PlayerSummaryTable[Player],0)),"")</f>
        <v/>
      </c>
      <c r="O364" t="str">
        <f>IFERROR(INDEX(PlayerSummaryTable[Passing Yds],MATCH('Rankings Master'!D364,PlayerSummaryTable[Player],0)),"")</f>
        <v/>
      </c>
      <c r="U364" t="str">
        <f>IF(COUNTIF('Draft Log'!$B$2:$B$301,D364)&gt;0,"DRAFTED","")</f>
        <v/>
      </c>
      <c r="V364" t="str">
        <f>IFERROR(INDEX('Draft Log'!$A$2:$A$301,MATCH(D364,'Draft Log'!$B$2:$B$301,0)),"")</f>
        <v/>
      </c>
      <c r="W364" t="str">
        <f>IFERROR(INDEX('Draft Log'!$C$2:$C$301,MATCH(D364,'Draft Log'!$B$2:$B$301,0)),"")</f>
        <v/>
      </c>
    </row>
    <row r="365" spans="1:23">
      <c r="A365">
        <f t="shared" si="42"/>
        <v>362</v>
      </c>
      <c r="D365" t="e">
        <f>IF($D$1="ESPN",INDEX(Table2[Mapped Name],MATCH('Rankings Master'!$A365,Table2[Overall Rank],0)),IF('Rankings Master'!$D$1="NFL.com",INDEX(Table3[Name Clean],MATCH('Rankings Master'!$A365,Table3[Rank],0)),IF('Rankings Master'!$D$1="Sleeper",INDEX(Sleeper!$B$2:$B$201,MATCH('Rankings Master'!$A365,Sleeper!$A$2:$A$201,0)),"Need platform")))</f>
        <v>#N/A</v>
      </c>
      <c r="E365" t="e">
        <f>IF($D$1="ESPN",INDEX(Table2[Position],MATCH('Rankings Master'!$A365,Table2[Overall Rank],0)),IF('Rankings Master'!$D$1="NFL.com",INDEX(Table3[Position],MATCH('Rankings Master'!$A365,Table3[Rank],0)),INDEX(Sleeper!$C$2:$C$201,MATCH('Rankings Master'!A365,Sleeper!$A$2:$A$201,0))))</f>
        <v>#N/A</v>
      </c>
      <c r="F365" t="e">
        <f>INDEX(Table4[RK],MATCH('Rankings Master'!D365,Table4[PLAYER NAME],0))</f>
        <v>#N/A</v>
      </c>
      <c r="G365" t="e">
        <f t="shared" si="39"/>
        <v>#N/A</v>
      </c>
      <c r="H365" t="e">
        <f t="shared" si="40"/>
        <v>#N/A</v>
      </c>
      <c r="I365" t="e">
        <f t="shared" si="38"/>
        <v>#N/A</v>
      </c>
      <c r="J365" t="str">
        <f t="shared" si="41"/>
        <v/>
      </c>
      <c r="M365" t="str">
        <f>IFERROR(INDEX(PlayerSummaryTable[Rushing Yds],MATCH('Rankings Master'!D365,PlayerSummaryTable[Player],0)),"")</f>
        <v/>
      </c>
      <c r="N365" t="str">
        <f>IFERROR(INDEX(PlayerSummaryTable[Receiving Yds],MATCH('Rankings Master'!D365,PlayerSummaryTable[Player],0)),"")</f>
        <v/>
      </c>
      <c r="O365" t="str">
        <f>IFERROR(INDEX(PlayerSummaryTable[Passing Yds],MATCH('Rankings Master'!D365,PlayerSummaryTable[Player],0)),"")</f>
        <v/>
      </c>
      <c r="U365" t="str">
        <f>IF(COUNTIF('Draft Log'!$B$2:$B$301,D365)&gt;0,"DRAFTED","")</f>
        <v/>
      </c>
      <c r="V365" t="str">
        <f>IFERROR(INDEX('Draft Log'!$A$2:$A$301,MATCH(D365,'Draft Log'!$B$2:$B$301,0)),"")</f>
        <v/>
      </c>
      <c r="W365" t="str">
        <f>IFERROR(INDEX('Draft Log'!$C$2:$C$301,MATCH(D365,'Draft Log'!$B$2:$B$301,0)),"")</f>
        <v/>
      </c>
    </row>
    <row r="366" spans="1:23">
      <c r="A366">
        <f t="shared" si="42"/>
        <v>363</v>
      </c>
      <c r="D366" t="e">
        <f>IF($D$1="ESPN",INDEX(Table2[Mapped Name],MATCH('Rankings Master'!$A366,Table2[Overall Rank],0)),IF('Rankings Master'!$D$1="NFL.com",INDEX(Table3[Name Clean],MATCH('Rankings Master'!$A366,Table3[Rank],0)),IF('Rankings Master'!$D$1="Sleeper",INDEX(Sleeper!$B$2:$B$201,MATCH('Rankings Master'!$A366,Sleeper!$A$2:$A$201,0)),"Need platform")))</f>
        <v>#N/A</v>
      </c>
      <c r="E366" t="e">
        <f>IF($D$1="ESPN",INDEX(Table2[Position],MATCH('Rankings Master'!$A366,Table2[Overall Rank],0)),IF('Rankings Master'!$D$1="NFL.com",INDEX(Table3[Position],MATCH('Rankings Master'!$A366,Table3[Rank],0)),INDEX(Sleeper!$C$2:$C$201,MATCH('Rankings Master'!A366,Sleeper!$A$2:$A$201,0))))</f>
        <v>#N/A</v>
      </c>
      <c r="F366" t="e">
        <f>INDEX(Table4[RK],MATCH('Rankings Master'!D366,Table4[PLAYER NAME],0))</f>
        <v>#N/A</v>
      </c>
      <c r="G366" t="e">
        <f t="shared" si="39"/>
        <v>#N/A</v>
      </c>
      <c r="H366" t="e">
        <f t="shared" si="40"/>
        <v>#N/A</v>
      </c>
      <c r="I366" t="e">
        <f t="shared" ref="I366:I402" si="43">IF(AND(H366 &gt; -1, H366 &lt;= -0.5), "Extremely Overvalued",
IF(AND(H366 &gt; -0.5, H366 &lt;= -0.15), "Pretty Overvalued",
IF(AND(H366 &gt; -0.15, H366 &lt; 0), "Slightly Overvalued",
IF(H366 = 0, "At ADP",
IF(AND(H366 &gt; 0, H366 &lt;= 0.15), "Slightly Undervalued",
IF(AND(H366 &gt; 0.15, H366 &lt;= 0.5), "Pretty Undervalued",
IF(AND(H366 &gt; 0.5, H366 &lt;= 1), "Extremely Undervalued", "")))))))</f>
        <v>#N/A</v>
      </c>
      <c r="J366" t="str">
        <f t="shared" si="41"/>
        <v/>
      </c>
      <c r="M366" t="str">
        <f>IFERROR(INDEX(PlayerSummaryTable[Rushing Yds],MATCH('Rankings Master'!D366,PlayerSummaryTable[Player],0)),"")</f>
        <v/>
      </c>
      <c r="N366" t="str">
        <f>IFERROR(INDEX(PlayerSummaryTable[Receiving Yds],MATCH('Rankings Master'!D366,PlayerSummaryTable[Player],0)),"")</f>
        <v/>
      </c>
      <c r="O366" t="str">
        <f>IFERROR(INDEX(PlayerSummaryTable[Passing Yds],MATCH('Rankings Master'!D366,PlayerSummaryTable[Player],0)),"")</f>
        <v/>
      </c>
      <c r="U366" t="str">
        <f>IF(COUNTIF('Draft Log'!$B$2:$B$301,D366)&gt;0,"DRAFTED","")</f>
        <v/>
      </c>
      <c r="V366" t="str">
        <f>IFERROR(INDEX('Draft Log'!$A$2:$A$301,MATCH(D366,'Draft Log'!$B$2:$B$301,0)),"")</f>
        <v/>
      </c>
      <c r="W366" t="str">
        <f>IFERROR(INDEX('Draft Log'!$C$2:$C$301,MATCH(D366,'Draft Log'!$B$2:$B$301,0)),"")</f>
        <v/>
      </c>
    </row>
    <row r="367" spans="1:23">
      <c r="A367">
        <f t="shared" si="42"/>
        <v>364</v>
      </c>
      <c r="D367" t="e">
        <f>IF($D$1="ESPN",INDEX(Table2[Mapped Name],MATCH('Rankings Master'!$A367,Table2[Overall Rank],0)),IF('Rankings Master'!$D$1="NFL.com",INDEX(Table3[Name Clean],MATCH('Rankings Master'!$A367,Table3[Rank],0)),IF('Rankings Master'!$D$1="Sleeper",INDEX(Sleeper!$B$2:$B$201,MATCH('Rankings Master'!$A367,Sleeper!$A$2:$A$201,0)),"Need platform")))</f>
        <v>#N/A</v>
      </c>
      <c r="E367" t="e">
        <f>IF($D$1="ESPN",INDEX(Table2[Position],MATCH('Rankings Master'!$A367,Table2[Overall Rank],0)),IF('Rankings Master'!$D$1="NFL.com",INDEX(Table3[Position],MATCH('Rankings Master'!$A367,Table3[Rank],0)),INDEX(Sleeper!$C$2:$C$201,MATCH('Rankings Master'!A367,Sleeper!$A$2:$A$201,0))))</f>
        <v>#N/A</v>
      </c>
      <c r="F367" t="e">
        <f>INDEX(Table4[RK],MATCH('Rankings Master'!D367,Table4[PLAYER NAME],0))</f>
        <v>#N/A</v>
      </c>
      <c r="G367" t="e">
        <f t="shared" si="39"/>
        <v>#N/A</v>
      </c>
      <c r="H367" t="e">
        <f t="shared" si="40"/>
        <v>#N/A</v>
      </c>
      <c r="I367" t="e">
        <f t="shared" si="43"/>
        <v>#N/A</v>
      </c>
      <c r="J367" t="str">
        <f t="shared" si="41"/>
        <v/>
      </c>
      <c r="M367" t="str">
        <f>IFERROR(INDEX(PlayerSummaryTable[Rushing Yds],MATCH('Rankings Master'!D367,PlayerSummaryTable[Player],0)),"")</f>
        <v/>
      </c>
      <c r="N367" t="str">
        <f>IFERROR(INDEX(PlayerSummaryTable[Receiving Yds],MATCH('Rankings Master'!D367,PlayerSummaryTable[Player],0)),"")</f>
        <v/>
      </c>
      <c r="O367" t="str">
        <f>IFERROR(INDEX(PlayerSummaryTable[Passing Yds],MATCH('Rankings Master'!D367,PlayerSummaryTable[Player],0)),"")</f>
        <v/>
      </c>
      <c r="U367" t="str">
        <f>IF(COUNTIF('Draft Log'!$B$2:$B$301,D367)&gt;0,"DRAFTED","")</f>
        <v/>
      </c>
      <c r="V367" t="str">
        <f>IFERROR(INDEX('Draft Log'!$A$2:$A$301,MATCH(D367,'Draft Log'!$B$2:$B$301,0)),"")</f>
        <v/>
      </c>
      <c r="W367" t="str">
        <f>IFERROR(INDEX('Draft Log'!$C$2:$C$301,MATCH(D367,'Draft Log'!$B$2:$B$301,0)),"")</f>
        <v/>
      </c>
    </row>
    <row r="368" spans="1:23">
      <c r="A368">
        <f t="shared" si="42"/>
        <v>365</v>
      </c>
      <c r="D368" t="e">
        <f>IF($D$1="ESPN",INDEX(Table2[Mapped Name],MATCH('Rankings Master'!$A368,Table2[Overall Rank],0)),IF('Rankings Master'!$D$1="NFL.com",INDEX(Table3[Name Clean],MATCH('Rankings Master'!$A368,Table3[Rank],0)),IF('Rankings Master'!$D$1="Sleeper",INDEX(Sleeper!$B$2:$B$201,MATCH('Rankings Master'!$A368,Sleeper!$A$2:$A$201,0)),"Need platform")))</f>
        <v>#N/A</v>
      </c>
      <c r="E368" t="e">
        <f>IF($D$1="ESPN",INDEX(Table2[Position],MATCH('Rankings Master'!$A368,Table2[Overall Rank],0)),IF('Rankings Master'!$D$1="NFL.com",INDEX(Table3[Position],MATCH('Rankings Master'!$A368,Table3[Rank],0)),INDEX(Sleeper!$C$2:$C$201,MATCH('Rankings Master'!A368,Sleeper!$A$2:$A$201,0))))</f>
        <v>#N/A</v>
      </c>
      <c r="F368" t="e">
        <f>INDEX(Table4[RK],MATCH('Rankings Master'!D368,Table4[PLAYER NAME],0))</f>
        <v>#N/A</v>
      </c>
      <c r="G368" t="e">
        <f t="shared" si="39"/>
        <v>#N/A</v>
      </c>
      <c r="H368" t="e">
        <f t="shared" si="40"/>
        <v>#N/A</v>
      </c>
      <c r="I368" t="e">
        <f t="shared" si="43"/>
        <v>#N/A</v>
      </c>
      <c r="J368" t="str">
        <f t="shared" si="41"/>
        <v/>
      </c>
      <c r="M368" t="str">
        <f>IFERROR(INDEX(PlayerSummaryTable[Rushing Yds],MATCH('Rankings Master'!D368,PlayerSummaryTable[Player],0)),"")</f>
        <v/>
      </c>
      <c r="N368" t="str">
        <f>IFERROR(INDEX(PlayerSummaryTable[Receiving Yds],MATCH('Rankings Master'!D368,PlayerSummaryTable[Player],0)),"")</f>
        <v/>
      </c>
      <c r="O368" t="str">
        <f>IFERROR(INDEX(PlayerSummaryTable[Passing Yds],MATCH('Rankings Master'!D368,PlayerSummaryTable[Player],0)),"")</f>
        <v/>
      </c>
      <c r="U368" t="str">
        <f>IF(COUNTIF('Draft Log'!$B$2:$B$301,D368)&gt;0,"DRAFTED","")</f>
        <v/>
      </c>
      <c r="V368" t="str">
        <f>IFERROR(INDEX('Draft Log'!$A$2:$A$301,MATCH(D368,'Draft Log'!$B$2:$B$301,0)),"")</f>
        <v/>
      </c>
      <c r="W368" t="str">
        <f>IFERROR(INDEX('Draft Log'!$C$2:$C$301,MATCH(D368,'Draft Log'!$B$2:$B$301,0)),"")</f>
        <v/>
      </c>
    </row>
    <row r="369" spans="1:23">
      <c r="A369">
        <f t="shared" si="42"/>
        <v>366</v>
      </c>
      <c r="D369" t="e">
        <f>IF($D$1="ESPN",INDEX(Table2[Mapped Name],MATCH('Rankings Master'!$A369,Table2[Overall Rank],0)),IF('Rankings Master'!$D$1="NFL.com",INDEX(Table3[Name Clean],MATCH('Rankings Master'!$A369,Table3[Rank],0)),IF('Rankings Master'!$D$1="Sleeper",INDEX(Sleeper!$B$2:$B$201,MATCH('Rankings Master'!$A369,Sleeper!$A$2:$A$201,0)),"Need platform")))</f>
        <v>#N/A</v>
      </c>
      <c r="E369" t="e">
        <f>IF($D$1="ESPN",INDEX(Table2[Position],MATCH('Rankings Master'!$A369,Table2[Overall Rank],0)),IF('Rankings Master'!$D$1="NFL.com",INDEX(Table3[Position],MATCH('Rankings Master'!$A369,Table3[Rank],0)),INDEX(Sleeper!$C$2:$C$201,MATCH('Rankings Master'!A369,Sleeper!$A$2:$A$201,0))))</f>
        <v>#N/A</v>
      </c>
      <c r="F369" t="e">
        <f>INDEX(Table4[RK],MATCH('Rankings Master'!D369,Table4[PLAYER NAME],0))</f>
        <v>#N/A</v>
      </c>
      <c r="G369" t="e">
        <f t="shared" si="39"/>
        <v>#N/A</v>
      </c>
      <c r="H369" t="e">
        <f t="shared" si="40"/>
        <v>#N/A</v>
      </c>
      <c r="I369" t="e">
        <f t="shared" si="43"/>
        <v>#N/A</v>
      </c>
      <c r="J369" t="str">
        <f t="shared" si="41"/>
        <v/>
      </c>
      <c r="M369" t="str">
        <f>IFERROR(INDEX(PlayerSummaryTable[Rushing Yds],MATCH('Rankings Master'!D369,PlayerSummaryTable[Player],0)),"")</f>
        <v/>
      </c>
      <c r="N369" t="str">
        <f>IFERROR(INDEX(PlayerSummaryTable[Receiving Yds],MATCH('Rankings Master'!D369,PlayerSummaryTable[Player],0)),"")</f>
        <v/>
      </c>
      <c r="O369" t="str">
        <f>IFERROR(INDEX(PlayerSummaryTable[Passing Yds],MATCH('Rankings Master'!D369,PlayerSummaryTable[Player],0)),"")</f>
        <v/>
      </c>
      <c r="U369" t="str">
        <f>IF(COUNTIF('Draft Log'!$B$2:$B$301,D369)&gt;0,"DRAFTED","")</f>
        <v/>
      </c>
      <c r="V369" t="str">
        <f>IFERROR(INDEX('Draft Log'!$A$2:$A$301,MATCH(D369,'Draft Log'!$B$2:$B$301,0)),"")</f>
        <v/>
      </c>
      <c r="W369" t="str">
        <f>IFERROR(INDEX('Draft Log'!$C$2:$C$301,MATCH(D369,'Draft Log'!$B$2:$B$301,0)),"")</f>
        <v/>
      </c>
    </row>
    <row r="370" spans="1:23">
      <c r="A370">
        <f t="shared" si="42"/>
        <v>367</v>
      </c>
      <c r="D370" t="e">
        <f>IF($D$1="ESPN",INDEX(Table2[Mapped Name],MATCH('Rankings Master'!$A370,Table2[Overall Rank],0)),IF('Rankings Master'!$D$1="NFL.com",INDEX(Table3[Name Clean],MATCH('Rankings Master'!$A370,Table3[Rank],0)),IF('Rankings Master'!$D$1="Sleeper",INDEX(Sleeper!$B$2:$B$201,MATCH('Rankings Master'!$A370,Sleeper!$A$2:$A$201,0)),"Need platform")))</f>
        <v>#N/A</v>
      </c>
      <c r="E370" t="e">
        <f>IF($D$1="ESPN",INDEX(Table2[Position],MATCH('Rankings Master'!$A370,Table2[Overall Rank],0)),IF('Rankings Master'!$D$1="NFL.com",INDEX(Table3[Position],MATCH('Rankings Master'!$A370,Table3[Rank],0)),INDEX(Sleeper!$C$2:$C$201,MATCH('Rankings Master'!A370,Sleeper!$A$2:$A$201,0))))</f>
        <v>#N/A</v>
      </c>
      <c r="F370" t="e">
        <f>INDEX(Table4[RK],MATCH('Rankings Master'!D370,Table4[PLAYER NAME],0))</f>
        <v>#N/A</v>
      </c>
      <c r="G370" t="e">
        <f t="shared" si="39"/>
        <v>#N/A</v>
      </c>
      <c r="H370" t="e">
        <f t="shared" si="40"/>
        <v>#N/A</v>
      </c>
      <c r="I370" t="e">
        <f t="shared" si="43"/>
        <v>#N/A</v>
      </c>
      <c r="J370" t="str">
        <f t="shared" si="41"/>
        <v/>
      </c>
      <c r="M370" t="str">
        <f>IFERROR(INDEX(PlayerSummaryTable[Rushing Yds],MATCH('Rankings Master'!D370,PlayerSummaryTable[Player],0)),"")</f>
        <v/>
      </c>
      <c r="N370" t="str">
        <f>IFERROR(INDEX(PlayerSummaryTable[Receiving Yds],MATCH('Rankings Master'!D370,PlayerSummaryTable[Player],0)),"")</f>
        <v/>
      </c>
      <c r="O370" t="str">
        <f>IFERROR(INDEX(PlayerSummaryTable[Passing Yds],MATCH('Rankings Master'!D370,PlayerSummaryTable[Player],0)),"")</f>
        <v/>
      </c>
      <c r="U370" t="str">
        <f>IF(COUNTIF('Draft Log'!$B$2:$B$301,D370)&gt;0,"DRAFTED","")</f>
        <v/>
      </c>
      <c r="V370" t="str">
        <f>IFERROR(INDEX('Draft Log'!$A$2:$A$301,MATCH(D370,'Draft Log'!$B$2:$B$301,0)),"")</f>
        <v/>
      </c>
      <c r="W370" t="str">
        <f>IFERROR(INDEX('Draft Log'!$C$2:$C$301,MATCH(D370,'Draft Log'!$B$2:$B$301,0)),"")</f>
        <v/>
      </c>
    </row>
    <row r="371" spans="1:23">
      <c r="A371">
        <f t="shared" si="42"/>
        <v>368</v>
      </c>
      <c r="D371" t="e">
        <f>IF($D$1="ESPN",INDEX(Table2[Mapped Name],MATCH('Rankings Master'!$A371,Table2[Overall Rank],0)),IF('Rankings Master'!$D$1="NFL.com",INDEX(Table3[Name Clean],MATCH('Rankings Master'!$A371,Table3[Rank],0)),IF('Rankings Master'!$D$1="Sleeper",INDEX(Sleeper!$B$2:$B$201,MATCH('Rankings Master'!$A371,Sleeper!$A$2:$A$201,0)),"Need platform")))</f>
        <v>#N/A</v>
      </c>
      <c r="E371" t="e">
        <f>IF($D$1="ESPN",INDEX(Table2[Position],MATCH('Rankings Master'!$A371,Table2[Overall Rank],0)),IF('Rankings Master'!$D$1="NFL.com",INDEX(Table3[Position],MATCH('Rankings Master'!$A371,Table3[Rank],0)),INDEX(Sleeper!$C$2:$C$201,MATCH('Rankings Master'!A371,Sleeper!$A$2:$A$201,0))))</f>
        <v>#N/A</v>
      </c>
      <c r="F371" t="e">
        <f>INDEX(Table4[RK],MATCH('Rankings Master'!D371,Table4[PLAYER NAME],0))</f>
        <v>#N/A</v>
      </c>
      <c r="G371" t="e">
        <f t="shared" si="39"/>
        <v>#N/A</v>
      </c>
      <c r="H371" t="e">
        <f t="shared" si="40"/>
        <v>#N/A</v>
      </c>
      <c r="I371" t="e">
        <f t="shared" si="43"/>
        <v>#N/A</v>
      </c>
      <c r="J371" t="str">
        <f t="shared" si="41"/>
        <v/>
      </c>
      <c r="M371" t="str">
        <f>IFERROR(INDEX(PlayerSummaryTable[Rushing Yds],MATCH('Rankings Master'!D371,PlayerSummaryTable[Player],0)),"")</f>
        <v/>
      </c>
      <c r="N371" t="str">
        <f>IFERROR(INDEX(PlayerSummaryTable[Receiving Yds],MATCH('Rankings Master'!D371,PlayerSummaryTable[Player],0)),"")</f>
        <v/>
      </c>
      <c r="O371" t="str">
        <f>IFERROR(INDEX(PlayerSummaryTable[Passing Yds],MATCH('Rankings Master'!D371,PlayerSummaryTable[Player],0)),"")</f>
        <v/>
      </c>
      <c r="U371" t="str">
        <f>IF(COUNTIF('Draft Log'!$B$2:$B$301,D371)&gt;0,"DRAFTED","")</f>
        <v/>
      </c>
      <c r="V371" t="str">
        <f>IFERROR(INDEX('Draft Log'!$A$2:$A$301,MATCH(D371,'Draft Log'!$B$2:$B$301,0)),"")</f>
        <v/>
      </c>
      <c r="W371" t="str">
        <f>IFERROR(INDEX('Draft Log'!$C$2:$C$301,MATCH(D371,'Draft Log'!$B$2:$B$301,0)),"")</f>
        <v/>
      </c>
    </row>
    <row r="372" spans="1:23">
      <c r="A372">
        <f t="shared" si="42"/>
        <v>369</v>
      </c>
      <c r="D372" t="e">
        <f>IF($D$1="ESPN",INDEX(Table2[Mapped Name],MATCH('Rankings Master'!$A372,Table2[Overall Rank],0)),IF('Rankings Master'!$D$1="NFL.com",INDEX(Table3[Name Clean],MATCH('Rankings Master'!$A372,Table3[Rank],0)),IF('Rankings Master'!$D$1="Sleeper",INDEX(Sleeper!$B$2:$B$201,MATCH('Rankings Master'!$A372,Sleeper!$A$2:$A$201,0)),"Need platform")))</f>
        <v>#N/A</v>
      </c>
      <c r="E372" t="e">
        <f>IF($D$1="ESPN",INDEX(Table2[Position],MATCH('Rankings Master'!$A372,Table2[Overall Rank],0)),IF('Rankings Master'!$D$1="NFL.com",INDEX(Table3[Position],MATCH('Rankings Master'!$A372,Table3[Rank],0)),INDEX(Sleeper!$C$2:$C$201,MATCH('Rankings Master'!A372,Sleeper!$A$2:$A$201,0))))</f>
        <v>#N/A</v>
      </c>
      <c r="F372" t="e">
        <f>INDEX(Table4[RK],MATCH('Rankings Master'!D372,Table4[PLAYER NAME],0))</f>
        <v>#N/A</v>
      </c>
      <c r="G372" t="e">
        <f t="shared" si="39"/>
        <v>#N/A</v>
      </c>
      <c r="H372" t="e">
        <f t="shared" si="40"/>
        <v>#N/A</v>
      </c>
      <c r="I372" t="e">
        <f t="shared" si="43"/>
        <v>#N/A</v>
      </c>
      <c r="J372" t="str">
        <f t="shared" si="41"/>
        <v/>
      </c>
      <c r="M372" t="str">
        <f>IFERROR(INDEX(PlayerSummaryTable[Rushing Yds],MATCH('Rankings Master'!D372,PlayerSummaryTable[Player],0)),"")</f>
        <v/>
      </c>
      <c r="N372" t="str">
        <f>IFERROR(INDEX(PlayerSummaryTable[Receiving Yds],MATCH('Rankings Master'!D372,PlayerSummaryTable[Player],0)),"")</f>
        <v/>
      </c>
      <c r="O372" t="str">
        <f>IFERROR(INDEX(PlayerSummaryTable[Passing Yds],MATCH('Rankings Master'!D372,PlayerSummaryTable[Player],0)),"")</f>
        <v/>
      </c>
      <c r="U372" t="str">
        <f>IF(COUNTIF('Draft Log'!$B$2:$B$301,D372)&gt;0,"DRAFTED","")</f>
        <v/>
      </c>
      <c r="V372" t="str">
        <f>IFERROR(INDEX('Draft Log'!$A$2:$A$301,MATCH(D372,'Draft Log'!$B$2:$B$301,0)),"")</f>
        <v/>
      </c>
      <c r="W372" t="str">
        <f>IFERROR(INDEX('Draft Log'!$C$2:$C$301,MATCH(D372,'Draft Log'!$B$2:$B$301,0)),"")</f>
        <v/>
      </c>
    </row>
    <row r="373" spans="1:23">
      <c r="A373">
        <f t="shared" si="42"/>
        <v>370</v>
      </c>
      <c r="D373" t="e">
        <f>IF($D$1="ESPN",INDEX(Table2[Mapped Name],MATCH('Rankings Master'!$A373,Table2[Overall Rank],0)),IF('Rankings Master'!$D$1="NFL.com",INDEX(Table3[Name Clean],MATCH('Rankings Master'!$A373,Table3[Rank],0)),IF('Rankings Master'!$D$1="Sleeper",INDEX(Sleeper!$B$2:$B$201,MATCH('Rankings Master'!$A373,Sleeper!$A$2:$A$201,0)),"Need platform")))</f>
        <v>#N/A</v>
      </c>
      <c r="E373" t="e">
        <f>IF($D$1="ESPN",INDEX(Table2[Position],MATCH('Rankings Master'!$A373,Table2[Overall Rank],0)),IF('Rankings Master'!$D$1="NFL.com",INDEX(Table3[Position],MATCH('Rankings Master'!$A373,Table3[Rank],0)),INDEX(Sleeper!$C$2:$C$201,MATCH('Rankings Master'!A373,Sleeper!$A$2:$A$201,0))))</f>
        <v>#N/A</v>
      </c>
      <c r="F373" t="e">
        <f>INDEX(Table4[RK],MATCH('Rankings Master'!D373,Table4[PLAYER NAME],0))</f>
        <v>#N/A</v>
      </c>
      <c r="G373" t="e">
        <f t="shared" si="39"/>
        <v>#N/A</v>
      </c>
      <c r="H373" t="e">
        <f t="shared" si="40"/>
        <v>#N/A</v>
      </c>
      <c r="I373" t="e">
        <f t="shared" si="43"/>
        <v>#N/A</v>
      </c>
      <c r="J373" t="str">
        <f t="shared" si="41"/>
        <v/>
      </c>
      <c r="M373" t="str">
        <f>IFERROR(INDEX(PlayerSummaryTable[Rushing Yds],MATCH('Rankings Master'!D373,PlayerSummaryTable[Player],0)),"")</f>
        <v/>
      </c>
      <c r="N373" t="str">
        <f>IFERROR(INDEX(PlayerSummaryTable[Receiving Yds],MATCH('Rankings Master'!D373,PlayerSummaryTable[Player],0)),"")</f>
        <v/>
      </c>
      <c r="O373" t="str">
        <f>IFERROR(INDEX(PlayerSummaryTable[Passing Yds],MATCH('Rankings Master'!D373,PlayerSummaryTable[Player],0)),"")</f>
        <v/>
      </c>
      <c r="U373" t="str">
        <f>IF(COUNTIF('Draft Log'!$B$2:$B$301,D373)&gt;0,"DRAFTED","")</f>
        <v/>
      </c>
      <c r="V373" t="str">
        <f>IFERROR(INDEX('Draft Log'!$A$2:$A$301,MATCH(D373,'Draft Log'!$B$2:$B$301,0)),"")</f>
        <v/>
      </c>
      <c r="W373" t="str">
        <f>IFERROR(INDEX('Draft Log'!$C$2:$C$301,MATCH(D373,'Draft Log'!$B$2:$B$301,0)),"")</f>
        <v/>
      </c>
    </row>
    <row r="374" spans="1:23">
      <c r="A374">
        <f t="shared" si="42"/>
        <v>371</v>
      </c>
      <c r="D374" t="e">
        <f>IF($D$1="ESPN",INDEX(Table2[Mapped Name],MATCH('Rankings Master'!$A374,Table2[Overall Rank],0)),IF('Rankings Master'!$D$1="NFL.com",INDEX(Table3[Name Clean],MATCH('Rankings Master'!$A374,Table3[Rank],0)),IF('Rankings Master'!$D$1="Sleeper",INDEX(Sleeper!$B$2:$B$201,MATCH('Rankings Master'!$A374,Sleeper!$A$2:$A$201,0)),"Need platform")))</f>
        <v>#N/A</v>
      </c>
      <c r="E374" t="e">
        <f>IF($D$1="ESPN",INDEX(Table2[Position],MATCH('Rankings Master'!$A374,Table2[Overall Rank],0)),IF('Rankings Master'!$D$1="NFL.com",INDEX(Table3[Position],MATCH('Rankings Master'!$A374,Table3[Rank],0)),INDEX(Sleeper!$C$2:$C$201,MATCH('Rankings Master'!A374,Sleeper!$A$2:$A$201,0))))</f>
        <v>#N/A</v>
      </c>
      <c r="F374" t="e">
        <f>INDEX(Table4[RK],MATCH('Rankings Master'!D374,Table4[PLAYER NAME],0))</f>
        <v>#N/A</v>
      </c>
      <c r="G374" t="e">
        <f t="shared" si="39"/>
        <v>#N/A</v>
      </c>
      <c r="H374" t="e">
        <f t="shared" si="40"/>
        <v>#N/A</v>
      </c>
      <c r="I374" t="e">
        <f t="shared" si="43"/>
        <v>#N/A</v>
      </c>
      <c r="J374" t="str">
        <f t="shared" si="41"/>
        <v/>
      </c>
      <c r="M374" t="str">
        <f>IFERROR(INDEX(PlayerSummaryTable[Rushing Yds],MATCH('Rankings Master'!D374,PlayerSummaryTable[Player],0)),"")</f>
        <v/>
      </c>
      <c r="N374" t="str">
        <f>IFERROR(INDEX(PlayerSummaryTable[Receiving Yds],MATCH('Rankings Master'!D374,PlayerSummaryTable[Player],0)),"")</f>
        <v/>
      </c>
      <c r="O374" t="str">
        <f>IFERROR(INDEX(PlayerSummaryTable[Passing Yds],MATCH('Rankings Master'!D374,PlayerSummaryTable[Player],0)),"")</f>
        <v/>
      </c>
      <c r="U374" t="str">
        <f>IF(COUNTIF('Draft Log'!$B$2:$B$301,D374)&gt;0,"DRAFTED","")</f>
        <v/>
      </c>
      <c r="V374" t="str">
        <f>IFERROR(INDEX('Draft Log'!$A$2:$A$301,MATCH(D374,'Draft Log'!$B$2:$B$301,0)),"")</f>
        <v/>
      </c>
      <c r="W374" t="str">
        <f>IFERROR(INDEX('Draft Log'!$C$2:$C$301,MATCH(D374,'Draft Log'!$B$2:$B$301,0)),"")</f>
        <v/>
      </c>
    </row>
    <row r="375" spans="1:23">
      <c r="A375">
        <f t="shared" si="42"/>
        <v>372</v>
      </c>
      <c r="D375" t="e">
        <f>IF($D$1="ESPN",INDEX(Table2[Mapped Name],MATCH('Rankings Master'!$A375,Table2[Overall Rank],0)),IF('Rankings Master'!$D$1="NFL.com",INDEX(Table3[Name Clean],MATCH('Rankings Master'!$A375,Table3[Rank],0)),IF('Rankings Master'!$D$1="Sleeper",INDEX(Sleeper!$B$2:$B$201,MATCH('Rankings Master'!$A375,Sleeper!$A$2:$A$201,0)),"Need platform")))</f>
        <v>#N/A</v>
      </c>
      <c r="E375" t="e">
        <f>IF($D$1="ESPN",INDEX(Table2[Position],MATCH('Rankings Master'!$A375,Table2[Overall Rank],0)),IF('Rankings Master'!$D$1="NFL.com",INDEX(Table3[Position],MATCH('Rankings Master'!$A375,Table3[Rank],0)),INDEX(Sleeper!$C$2:$C$201,MATCH('Rankings Master'!A375,Sleeper!$A$2:$A$201,0))))</f>
        <v>#N/A</v>
      </c>
      <c r="F375" t="e">
        <f>INDEX(Table4[RK],MATCH('Rankings Master'!D375,Table4[PLAYER NAME],0))</f>
        <v>#N/A</v>
      </c>
      <c r="G375" t="e">
        <f t="shared" si="39"/>
        <v>#N/A</v>
      </c>
      <c r="H375" t="e">
        <f t="shared" si="40"/>
        <v>#N/A</v>
      </c>
      <c r="I375" t="e">
        <f t="shared" si="43"/>
        <v>#N/A</v>
      </c>
      <c r="J375" t="str">
        <f t="shared" si="41"/>
        <v/>
      </c>
      <c r="M375" t="str">
        <f>IFERROR(INDEX(PlayerSummaryTable[Rushing Yds],MATCH('Rankings Master'!D375,PlayerSummaryTable[Player],0)),"")</f>
        <v/>
      </c>
      <c r="N375" t="str">
        <f>IFERROR(INDEX(PlayerSummaryTable[Receiving Yds],MATCH('Rankings Master'!D375,PlayerSummaryTable[Player],0)),"")</f>
        <v/>
      </c>
      <c r="O375" t="str">
        <f>IFERROR(INDEX(PlayerSummaryTable[Passing Yds],MATCH('Rankings Master'!D375,PlayerSummaryTable[Player],0)),"")</f>
        <v/>
      </c>
      <c r="U375" t="str">
        <f>IF(COUNTIF('Draft Log'!$B$2:$B$301,D375)&gt;0,"DRAFTED","")</f>
        <v/>
      </c>
      <c r="V375" t="str">
        <f>IFERROR(INDEX('Draft Log'!$A$2:$A$301,MATCH(D375,'Draft Log'!$B$2:$B$301,0)),"")</f>
        <v/>
      </c>
      <c r="W375" t="str">
        <f>IFERROR(INDEX('Draft Log'!$C$2:$C$301,MATCH(D375,'Draft Log'!$B$2:$B$301,0)),"")</f>
        <v/>
      </c>
    </row>
    <row r="376" spans="1:23">
      <c r="A376">
        <f t="shared" si="42"/>
        <v>373</v>
      </c>
      <c r="D376" t="e">
        <f>IF($D$1="ESPN",INDEX(Table2[Mapped Name],MATCH('Rankings Master'!$A376,Table2[Overall Rank],0)),IF('Rankings Master'!$D$1="NFL.com",INDEX(Table3[Name Clean],MATCH('Rankings Master'!$A376,Table3[Rank],0)),IF('Rankings Master'!$D$1="Sleeper",INDEX(Sleeper!$B$2:$B$201,MATCH('Rankings Master'!$A376,Sleeper!$A$2:$A$201,0)),"Need platform")))</f>
        <v>#N/A</v>
      </c>
      <c r="E376" t="e">
        <f>IF($D$1="ESPN",INDEX(Table2[Position],MATCH('Rankings Master'!$A376,Table2[Overall Rank],0)),IF('Rankings Master'!$D$1="NFL.com",INDEX(Table3[Position],MATCH('Rankings Master'!$A376,Table3[Rank],0)),INDEX(Sleeper!$C$2:$C$201,MATCH('Rankings Master'!A376,Sleeper!$A$2:$A$201,0))))</f>
        <v>#N/A</v>
      </c>
      <c r="F376" t="e">
        <f>INDEX(Table4[RK],MATCH('Rankings Master'!D376,Table4[PLAYER NAME],0))</f>
        <v>#N/A</v>
      </c>
      <c r="G376" t="e">
        <f t="shared" si="39"/>
        <v>#N/A</v>
      </c>
      <c r="H376" t="e">
        <f t="shared" si="40"/>
        <v>#N/A</v>
      </c>
      <c r="I376" t="e">
        <f t="shared" si="43"/>
        <v>#N/A</v>
      </c>
      <c r="J376" t="str">
        <f t="shared" si="41"/>
        <v/>
      </c>
      <c r="M376" t="str">
        <f>IFERROR(INDEX(PlayerSummaryTable[Rushing Yds],MATCH('Rankings Master'!D376,PlayerSummaryTable[Player],0)),"")</f>
        <v/>
      </c>
      <c r="N376" t="str">
        <f>IFERROR(INDEX(PlayerSummaryTable[Receiving Yds],MATCH('Rankings Master'!D376,PlayerSummaryTable[Player],0)),"")</f>
        <v/>
      </c>
      <c r="O376" t="str">
        <f>IFERROR(INDEX(PlayerSummaryTable[Passing Yds],MATCH('Rankings Master'!D376,PlayerSummaryTable[Player],0)),"")</f>
        <v/>
      </c>
      <c r="U376" t="str">
        <f>IF(COUNTIF('Draft Log'!$B$2:$B$301,D376)&gt;0,"DRAFTED","")</f>
        <v/>
      </c>
      <c r="V376" t="str">
        <f>IFERROR(INDEX('Draft Log'!$A$2:$A$301,MATCH(D376,'Draft Log'!$B$2:$B$301,0)),"")</f>
        <v/>
      </c>
      <c r="W376" t="str">
        <f>IFERROR(INDEX('Draft Log'!$C$2:$C$301,MATCH(D376,'Draft Log'!$B$2:$B$301,0)),"")</f>
        <v/>
      </c>
    </row>
    <row r="377" spans="1:23">
      <c r="A377">
        <f t="shared" si="42"/>
        <v>374</v>
      </c>
      <c r="D377" t="e">
        <f>IF($D$1="ESPN",INDEX(Table2[Mapped Name],MATCH('Rankings Master'!$A377,Table2[Overall Rank],0)),IF('Rankings Master'!$D$1="NFL.com",INDEX(Table3[Name Clean],MATCH('Rankings Master'!$A377,Table3[Rank],0)),IF('Rankings Master'!$D$1="Sleeper",INDEX(Sleeper!$B$2:$B$201,MATCH('Rankings Master'!$A377,Sleeper!$A$2:$A$201,0)),"Need platform")))</f>
        <v>#N/A</v>
      </c>
      <c r="E377" t="e">
        <f>IF($D$1="ESPN",INDEX(Table2[Position],MATCH('Rankings Master'!$A377,Table2[Overall Rank],0)),IF('Rankings Master'!$D$1="NFL.com",INDEX(Table3[Position],MATCH('Rankings Master'!$A377,Table3[Rank],0)),INDEX(Sleeper!$C$2:$C$201,MATCH('Rankings Master'!A377,Sleeper!$A$2:$A$201,0))))</f>
        <v>#N/A</v>
      </c>
      <c r="F377" t="e">
        <f>INDEX(Table4[RK],MATCH('Rankings Master'!D377,Table4[PLAYER NAME],0))</f>
        <v>#N/A</v>
      </c>
      <c r="G377" t="e">
        <f t="shared" si="39"/>
        <v>#N/A</v>
      </c>
      <c r="H377" t="e">
        <f t="shared" si="40"/>
        <v>#N/A</v>
      </c>
      <c r="I377" t="e">
        <f t="shared" si="43"/>
        <v>#N/A</v>
      </c>
      <c r="J377" t="str">
        <f t="shared" si="41"/>
        <v/>
      </c>
      <c r="M377" t="str">
        <f>IFERROR(INDEX(PlayerSummaryTable[Rushing Yds],MATCH('Rankings Master'!D377,PlayerSummaryTable[Player],0)),"")</f>
        <v/>
      </c>
      <c r="N377" t="str">
        <f>IFERROR(INDEX(PlayerSummaryTable[Receiving Yds],MATCH('Rankings Master'!D377,PlayerSummaryTable[Player],0)),"")</f>
        <v/>
      </c>
      <c r="O377" t="str">
        <f>IFERROR(INDEX(PlayerSummaryTable[Passing Yds],MATCH('Rankings Master'!D377,PlayerSummaryTable[Player],0)),"")</f>
        <v/>
      </c>
      <c r="U377" t="str">
        <f>IF(COUNTIF('Draft Log'!$B$2:$B$301,D377)&gt;0,"DRAFTED","")</f>
        <v/>
      </c>
      <c r="V377" t="str">
        <f>IFERROR(INDEX('Draft Log'!$A$2:$A$301,MATCH(D377,'Draft Log'!$B$2:$B$301,0)),"")</f>
        <v/>
      </c>
      <c r="W377" t="str">
        <f>IFERROR(INDEX('Draft Log'!$C$2:$C$301,MATCH(D377,'Draft Log'!$B$2:$B$301,0)),"")</f>
        <v/>
      </c>
    </row>
    <row r="378" spans="1:23">
      <c r="A378">
        <f t="shared" si="42"/>
        <v>375</v>
      </c>
      <c r="D378" t="e">
        <f>IF($D$1="ESPN",INDEX(Table2[Mapped Name],MATCH('Rankings Master'!$A378,Table2[Overall Rank],0)),IF('Rankings Master'!$D$1="NFL.com",INDEX(Table3[Name Clean],MATCH('Rankings Master'!$A378,Table3[Rank],0)),IF('Rankings Master'!$D$1="Sleeper",INDEX(Sleeper!$B$2:$B$201,MATCH('Rankings Master'!$A378,Sleeper!$A$2:$A$201,0)),"Need platform")))</f>
        <v>#N/A</v>
      </c>
      <c r="E378" t="e">
        <f>IF($D$1="ESPN",INDEX(Table2[Position],MATCH('Rankings Master'!$A378,Table2[Overall Rank],0)),IF('Rankings Master'!$D$1="NFL.com",INDEX(Table3[Position],MATCH('Rankings Master'!$A378,Table3[Rank],0)),INDEX(Sleeper!$C$2:$C$201,MATCH('Rankings Master'!A378,Sleeper!$A$2:$A$201,0))))</f>
        <v>#N/A</v>
      </c>
      <c r="F378" t="e">
        <f>INDEX(Table4[RK],MATCH('Rankings Master'!D378,Table4[PLAYER NAME],0))</f>
        <v>#N/A</v>
      </c>
      <c r="G378" t="e">
        <f t="shared" si="39"/>
        <v>#N/A</v>
      </c>
      <c r="H378" t="e">
        <f t="shared" si="40"/>
        <v>#N/A</v>
      </c>
      <c r="I378" t="e">
        <f t="shared" si="43"/>
        <v>#N/A</v>
      </c>
      <c r="J378" t="str">
        <f t="shared" si="41"/>
        <v/>
      </c>
      <c r="M378" t="str">
        <f>IFERROR(INDEX(PlayerSummaryTable[Rushing Yds],MATCH('Rankings Master'!D378,PlayerSummaryTable[Player],0)),"")</f>
        <v/>
      </c>
      <c r="N378" t="str">
        <f>IFERROR(INDEX(PlayerSummaryTable[Receiving Yds],MATCH('Rankings Master'!D378,PlayerSummaryTable[Player],0)),"")</f>
        <v/>
      </c>
      <c r="O378" t="str">
        <f>IFERROR(INDEX(PlayerSummaryTable[Passing Yds],MATCH('Rankings Master'!D378,PlayerSummaryTable[Player],0)),"")</f>
        <v/>
      </c>
      <c r="U378" t="str">
        <f>IF(COUNTIF('Draft Log'!$B$2:$B$301,D378)&gt;0,"DRAFTED","")</f>
        <v/>
      </c>
      <c r="V378" t="str">
        <f>IFERROR(INDEX('Draft Log'!$A$2:$A$301,MATCH(D378,'Draft Log'!$B$2:$B$301,0)),"")</f>
        <v/>
      </c>
      <c r="W378" t="str">
        <f>IFERROR(INDEX('Draft Log'!$C$2:$C$301,MATCH(D378,'Draft Log'!$B$2:$B$301,0)),"")</f>
        <v/>
      </c>
    </row>
    <row r="379" spans="1:23">
      <c r="A379">
        <f t="shared" si="42"/>
        <v>376</v>
      </c>
      <c r="D379" t="e">
        <f>IF($D$1="ESPN",INDEX(Table2[Mapped Name],MATCH('Rankings Master'!$A379,Table2[Overall Rank],0)),IF('Rankings Master'!$D$1="NFL.com",INDEX(Table3[Name Clean],MATCH('Rankings Master'!$A379,Table3[Rank],0)),IF('Rankings Master'!$D$1="Sleeper",INDEX(Sleeper!$B$2:$B$201,MATCH('Rankings Master'!$A379,Sleeper!$A$2:$A$201,0)),"Need platform")))</f>
        <v>#N/A</v>
      </c>
      <c r="E379" t="e">
        <f>IF($D$1="ESPN",INDEX(Table2[Position],MATCH('Rankings Master'!$A379,Table2[Overall Rank],0)),IF('Rankings Master'!$D$1="NFL.com",INDEX(Table3[Position],MATCH('Rankings Master'!$A379,Table3[Rank],0)),INDEX(Sleeper!$C$2:$C$201,MATCH('Rankings Master'!A379,Sleeper!$A$2:$A$201,0))))</f>
        <v>#N/A</v>
      </c>
      <c r="F379" t="e">
        <f>INDEX(Table4[RK],MATCH('Rankings Master'!D379,Table4[PLAYER NAME],0))</f>
        <v>#N/A</v>
      </c>
      <c r="G379" t="e">
        <f t="shared" si="39"/>
        <v>#N/A</v>
      </c>
      <c r="H379" t="e">
        <f t="shared" si="40"/>
        <v>#N/A</v>
      </c>
      <c r="I379" t="e">
        <f t="shared" si="43"/>
        <v>#N/A</v>
      </c>
      <c r="J379" t="str">
        <f t="shared" si="41"/>
        <v/>
      </c>
      <c r="M379" t="str">
        <f>IFERROR(INDEX(PlayerSummaryTable[Rushing Yds],MATCH('Rankings Master'!D379,PlayerSummaryTable[Player],0)),"")</f>
        <v/>
      </c>
      <c r="N379" t="str">
        <f>IFERROR(INDEX(PlayerSummaryTable[Receiving Yds],MATCH('Rankings Master'!D379,PlayerSummaryTable[Player],0)),"")</f>
        <v/>
      </c>
      <c r="O379" t="str">
        <f>IFERROR(INDEX(PlayerSummaryTable[Passing Yds],MATCH('Rankings Master'!D379,PlayerSummaryTable[Player],0)),"")</f>
        <v/>
      </c>
      <c r="U379" t="str">
        <f>IF(COUNTIF('Draft Log'!$B$2:$B$301,D379)&gt;0,"DRAFTED","")</f>
        <v/>
      </c>
      <c r="V379" t="str">
        <f>IFERROR(INDEX('Draft Log'!$A$2:$A$301,MATCH(D379,'Draft Log'!$B$2:$B$301,0)),"")</f>
        <v/>
      </c>
      <c r="W379" t="str">
        <f>IFERROR(INDEX('Draft Log'!$C$2:$C$301,MATCH(D379,'Draft Log'!$B$2:$B$301,0)),"")</f>
        <v/>
      </c>
    </row>
    <row r="380" spans="1:23">
      <c r="A380">
        <f t="shared" si="42"/>
        <v>377</v>
      </c>
      <c r="D380" t="e">
        <f>IF($D$1="ESPN",INDEX(Table2[Mapped Name],MATCH('Rankings Master'!$A380,Table2[Overall Rank],0)),IF('Rankings Master'!$D$1="NFL.com",INDEX(Table3[Name Clean],MATCH('Rankings Master'!$A380,Table3[Rank],0)),IF('Rankings Master'!$D$1="Sleeper",INDEX(Sleeper!$B$2:$B$201,MATCH('Rankings Master'!$A380,Sleeper!$A$2:$A$201,0)),"Need platform")))</f>
        <v>#N/A</v>
      </c>
      <c r="E380" t="e">
        <f>IF($D$1="ESPN",INDEX(Table2[Position],MATCH('Rankings Master'!$A380,Table2[Overall Rank],0)),IF('Rankings Master'!$D$1="NFL.com",INDEX(Table3[Position],MATCH('Rankings Master'!$A380,Table3[Rank],0)),INDEX(Sleeper!$C$2:$C$201,MATCH('Rankings Master'!A380,Sleeper!$A$2:$A$201,0))))</f>
        <v>#N/A</v>
      </c>
      <c r="F380" t="e">
        <f>INDEX(Table4[RK],MATCH('Rankings Master'!D380,Table4[PLAYER NAME],0))</f>
        <v>#N/A</v>
      </c>
      <c r="G380" t="e">
        <f t="shared" si="39"/>
        <v>#N/A</v>
      </c>
      <c r="H380" t="e">
        <f t="shared" si="40"/>
        <v>#N/A</v>
      </c>
      <c r="I380" t="e">
        <f t="shared" si="43"/>
        <v>#N/A</v>
      </c>
      <c r="J380" t="str">
        <f t="shared" si="41"/>
        <v/>
      </c>
      <c r="M380" t="str">
        <f>IFERROR(INDEX(PlayerSummaryTable[Rushing Yds],MATCH('Rankings Master'!D380,PlayerSummaryTable[Player],0)),"")</f>
        <v/>
      </c>
      <c r="N380" t="str">
        <f>IFERROR(INDEX(PlayerSummaryTable[Receiving Yds],MATCH('Rankings Master'!D380,PlayerSummaryTable[Player],0)),"")</f>
        <v/>
      </c>
      <c r="O380" t="str">
        <f>IFERROR(INDEX(PlayerSummaryTable[Passing Yds],MATCH('Rankings Master'!D380,PlayerSummaryTable[Player],0)),"")</f>
        <v/>
      </c>
      <c r="U380" t="str">
        <f>IF(COUNTIF('Draft Log'!$B$2:$B$301,D380)&gt;0,"DRAFTED","")</f>
        <v/>
      </c>
      <c r="V380" t="str">
        <f>IFERROR(INDEX('Draft Log'!$A$2:$A$301,MATCH(D380,'Draft Log'!$B$2:$B$301,0)),"")</f>
        <v/>
      </c>
      <c r="W380" t="str">
        <f>IFERROR(INDEX('Draft Log'!$C$2:$C$301,MATCH(D380,'Draft Log'!$B$2:$B$301,0)),"")</f>
        <v/>
      </c>
    </row>
    <row r="381" spans="1:23">
      <c r="A381">
        <f t="shared" si="42"/>
        <v>378</v>
      </c>
      <c r="D381" t="e">
        <f>IF($D$1="ESPN",INDEX(Table2[Mapped Name],MATCH('Rankings Master'!$A381,Table2[Overall Rank],0)),IF('Rankings Master'!$D$1="NFL.com",INDEX(Table3[Name Clean],MATCH('Rankings Master'!$A381,Table3[Rank],0)),IF('Rankings Master'!$D$1="Sleeper",INDEX(Sleeper!$B$2:$B$201,MATCH('Rankings Master'!$A381,Sleeper!$A$2:$A$201,0)),"Need platform")))</f>
        <v>#N/A</v>
      </c>
      <c r="E381" t="e">
        <f>IF($D$1="ESPN",INDEX(Table2[Position],MATCH('Rankings Master'!$A381,Table2[Overall Rank],0)),IF('Rankings Master'!$D$1="NFL.com",INDEX(Table3[Position],MATCH('Rankings Master'!$A381,Table3[Rank],0)),INDEX(Sleeper!$C$2:$C$201,MATCH('Rankings Master'!A381,Sleeper!$A$2:$A$201,0))))</f>
        <v>#N/A</v>
      </c>
      <c r="F381" t="e">
        <f>INDEX(Table4[RK],MATCH('Rankings Master'!D381,Table4[PLAYER NAME],0))</f>
        <v>#N/A</v>
      </c>
      <c r="G381" t="e">
        <f t="shared" si="39"/>
        <v>#N/A</v>
      </c>
      <c r="H381" t="e">
        <f t="shared" si="40"/>
        <v>#N/A</v>
      </c>
      <c r="I381" t="e">
        <f t="shared" si="43"/>
        <v>#N/A</v>
      </c>
      <c r="J381" t="str">
        <f t="shared" si="41"/>
        <v/>
      </c>
      <c r="M381" t="str">
        <f>IFERROR(INDEX(PlayerSummaryTable[Rushing Yds],MATCH('Rankings Master'!D381,PlayerSummaryTable[Player],0)),"")</f>
        <v/>
      </c>
      <c r="N381" t="str">
        <f>IFERROR(INDEX(PlayerSummaryTable[Receiving Yds],MATCH('Rankings Master'!D381,PlayerSummaryTable[Player],0)),"")</f>
        <v/>
      </c>
      <c r="O381" t="str">
        <f>IFERROR(INDEX(PlayerSummaryTable[Passing Yds],MATCH('Rankings Master'!D381,PlayerSummaryTable[Player],0)),"")</f>
        <v/>
      </c>
      <c r="U381" t="str">
        <f>IF(COUNTIF('Draft Log'!$B$2:$B$301,D381)&gt;0,"DRAFTED","")</f>
        <v/>
      </c>
      <c r="V381" t="str">
        <f>IFERROR(INDEX('Draft Log'!$A$2:$A$301,MATCH(D381,'Draft Log'!$B$2:$B$301,0)),"")</f>
        <v/>
      </c>
      <c r="W381" t="str">
        <f>IFERROR(INDEX('Draft Log'!$C$2:$C$301,MATCH(D381,'Draft Log'!$B$2:$B$301,0)),"")</f>
        <v/>
      </c>
    </row>
    <row r="382" spans="1:23">
      <c r="A382">
        <f t="shared" si="42"/>
        <v>379</v>
      </c>
      <c r="D382" t="e">
        <f>IF($D$1="ESPN",INDEX(Table2[Mapped Name],MATCH('Rankings Master'!$A382,Table2[Overall Rank],0)),IF('Rankings Master'!$D$1="NFL.com",INDEX(Table3[Name Clean],MATCH('Rankings Master'!$A382,Table3[Rank],0)),IF('Rankings Master'!$D$1="Sleeper",INDEX(Sleeper!$B$2:$B$201,MATCH('Rankings Master'!$A382,Sleeper!$A$2:$A$201,0)),"Need platform")))</f>
        <v>#N/A</v>
      </c>
      <c r="E382" t="e">
        <f>IF($D$1="ESPN",INDEX(Table2[Position],MATCH('Rankings Master'!$A382,Table2[Overall Rank],0)),IF('Rankings Master'!$D$1="NFL.com",INDEX(Table3[Position],MATCH('Rankings Master'!$A382,Table3[Rank],0)),INDEX(Sleeper!$C$2:$C$201,MATCH('Rankings Master'!A382,Sleeper!$A$2:$A$201,0))))</f>
        <v>#N/A</v>
      </c>
      <c r="F382" t="e">
        <f>INDEX(Table4[RK],MATCH('Rankings Master'!D382,Table4[PLAYER NAME],0))</f>
        <v>#N/A</v>
      </c>
      <c r="G382" t="e">
        <f t="shared" si="39"/>
        <v>#N/A</v>
      </c>
      <c r="H382" t="e">
        <f t="shared" si="40"/>
        <v>#N/A</v>
      </c>
      <c r="I382" t="e">
        <f t="shared" si="43"/>
        <v>#N/A</v>
      </c>
      <c r="J382" t="str">
        <f t="shared" si="41"/>
        <v/>
      </c>
      <c r="M382" t="str">
        <f>IFERROR(INDEX(PlayerSummaryTable[Rushing Yds],MATCH('Rankings Master'!D382,PlayerSummaryTable[Player],0)),"")</f>
        <v/>
      </c>
      <c r="N382" t="str">
        <f>IFERROR(INDEX(PlayerSummaryTable[Receiving Yds],MATCH('Rankings Master'!D382,PlayerSummaryTable[Player],0)),"")</f>
        <v/>
      </c>
      <c r="O382" t="str">
        <f>IFERROR(INDEX(PlayerSummaryTable[Passing Yds],MATCH('Rankings Master'!D382,PlayerSummaryTable[Player],0)),"")</f>
        <v/>
      </c>
      <c r="U382" t="str">
        <f>IF(COUNTIF('Draft Log'!$B$2:$B$301,D382)&gt;0,"DRAFTED","")</f>
        <v/>
      </c>
      <c r="V382" t="str">
        <f>IFERROR(INDEX('Draft Log'!$A$2:$A$301,MATCH(D382,'Draft Log'!$B$2:$B$301,0)),"")</f>
        <v/>
      </c>
      <c r="W382" t="str">
        <f>IFERROR(INDEX('Draft Log'!$C$2:$C$301,MATCH(D382,'Draft Log'!$B$2:$B$301,0)),"")</f>
        <v/>
      </c>
    </row>
    <row r="383" spans="1:23">
      <c r="A383">
        <f t="shared" si="42"/>
        <v>380</v>
      </c>
      <c r="D383" t="e">
        <f>IF($D$1="ESPN",INDEX(Table2[Mapped Name],MATCH('Rankings Master'!$A383,Table2[Overall Rank],0)),IF('Rankings Master'!$D$1="NFL.com",INDEX(Table3[Name Clean],MATCH('Rankings Master'!$A383,Table3[Rank],0)),IF('Rankings Master'!$D$1="Sleeper",INDEX(Sleeper!$B$2:$B$201,MATCH('Rankings Master'!$A383,Sleeper!$A$2:$A$201,0)),"Need platform")))</f>
        <v>#N/A</v>
      </c>
      <c r="E383" t="e">
        <f>IF($D$1="ESPN",INDEX(Table2[Position],MATCH('Rankings Master'!$A383,Table2[Overall Rank],0)),IF('Rankings Master'!$D$1="NFL.com",INDEX(Table3[Position],MATCH('Rankings Master'!$A383,Table3[Rank],0)),INDEX(Sleeper!$C$2:$C$201,MATCH('Rankings Master'!A383,Sleeper!$A$2:$A$201,0))))</f>
        <v>#N/A</v>
      </c>
      <c r="F383" t="e">
        <f>INDEX(Table4[RK],MATCH('Rankings Master'!D383,Table4[PLAYER NAME],0))</f>
        <v>#N/A</v>
      </c>
      <c r="G383" t="e">
        <f t="shared" si="39"/>
        <v>#N/A</v>
      </c>
      <c r="H383" t="e">
        <f t="shared" si="40"/>
        <v>#N/A</v>
      </c>
      <c r="I383" t="e">
        <f t="shared" si="43"/>
        <v>#N/A</v>
      </c>
      <c r="J383" t="str">
        <f t="shared" si="41"/>
        <v/>
      </c>
      <c r="M383" t="str">
        <f>IFERROR(INDEX(PlayerSummaryTable[Rushing Yds],MATCH('Rankings Master'!D383,PlayerSummaryTable[Player],0)),"")</f>
        <v/>
      </c>
      <c r="N383" t="str">
        <f>IFERROR(INDEX(PlayerSummaryTable[Receiving Yds],MATCH('Rankings Master'!D383,PlayerSummaryTable[Player],0)),"")</f>
        <v/>
      </c>
      <c r="O383" t="str">
        <f>IFERROR(INDEX(PlayerSummaryTable[Passing Yds],MATCH('Rankings Master'!D383,PlayerSummaryTable[Player],0)),"")</f>
        <v/>
      </c>
      <c r="U383" t="str">
        <f>IF(COUNTIF('Draft Log'!$B$2:$B$301,D383)&gt;0,"DRAFTED","")</f>
        <v/>
      </c>
      <c r="V383" t="str">
        <f>IFERROR(INDEX('Draft Log'!$A$2:$A$301,MATCH(D383,'Draft Log'!$B$2:$B$301,0)),"")</f>
        <v/>
      </c>
      <c r="W383" t="str">
        <f>IFERROR(INDEX('Draft Log'!$C$2:$C$301,MATCH(D383,'Draft Log'!$B$2:$B$301,0)),"")</f>
        <v/>
      </c>
    </row>
    <row r="384" spans="1:23">
      <c r="A384">
        <f t="shared" si="42"/>
        <v>381</v>
      </c>
      <c r="D384" t="e">
        <f>IF($D$1="ESPN",INDEX(Table2[Mapped Name],MATCH('Rankings Master'!$A384,Table2[Overall Rank],0)),IF('Rankings Master'!$D$1="NFL.com",INDEX(Table3[Name Clean],MATCH('Rankings Master'!$A384,Table3[Rank],0)),IF('Rankings Master'!$D$1="Sleeper",INDEX(Sleeper!$B$2:$B$201,MATCH('Rankings Master'!$A384,Sleeper!$A$2:$A$201,0)),"Need platform")))</f>
        <v>#N/A</v>
      </c>
      <c r="E384" t="e">
        <f>IF($D$1="ESPN",INDEX(Table2[Position],MATCH('Rankings Master'!$A384,Table2[Overall Rank],0)),IF('Rankings Master'!$D$1="NFL.com",INDEX(Table3[Position],MATCH('Rankings Master'!$A384,Table3[Rank],0)),INDEX(Sleeper!$C$2:$C$201,MATCH('Rankings Master'!A384,Sleeper!$A$2:$A$201,0))))</f>
        <v>#N/A</v>
      </c>
      <c r="F384" t="e">
        <f>INDEX(Table4[RK],MATCH('Rankings Master'!D384,Table4[PLAYER NAME],0))</f>
        <v>#N/A</v>
      </c>
      <c r="G384" t="e">
        <f t="shared" si="39"/>
        <v>#N/A</v>
      </c>
      <c r="H384" t="e">
        <f t="shared" si="40"/>
        <v>#N/A</v>
      </c>
      <c r="I384" t="e">
        <f t="shared" si="43"/>
        <v>#N/A</v>
      </c>
      <c r="J384" t="str">
        <f t="shared" si="41"/>
        <v/>
      </c>
      <c r="M384" t="str">
        <f>IFERROR(INDEX(PlayerSummaryTable[Rushing Yds],MATCH('Rankings Master'!D384,PlayerSummaryTable[Player],0)),"")</f>
        <v/>
      </c>
      <c r="N384" t="str">
        <f>IFERROR(INDEX(PlayerSummaryTable[Receiving Yds],MATCH('Rankings Master'!D384,PlayerSummaryTable[Player],0)),"")</f>
        <v/>
      </c>
      <c r="O384" t="str">
        <f>IFERROR(INDEX(PlayerSummaryTable[Passing Yds],MATCH('Rankings Master'!D384,PlayerSummaryTable[Player],0)),"")</f>
        <v/>
      </c>
      <c r="U384" t="str">
        <f>IF(COUNTIF('Draft Log'!$B$2:$B$301,D384)&gt;0,"DRAFTED","")</f>
        <v/>
      </c>
      <c r="V384" t="str">
        <f>IFERROR(INDEX('Draft Log'!$A$2:$A$301,MATCH(D384,'Draft Log'!$B$2:$B$301,0)),"")</f>
        <v/>
      </c>
      <c r="W384" t="str">
        <f>IFERROR(INDEX('Draft Log'!$C$2:$C$301,MATCH(D384,'Draft Log'!$B$2:$B$301,0)),"")</f>
        <v/>
      </c>
    </row>
    <row r="385" spans="1:23">
      <c r="A385">
        <f t="shared" si="42"/>
        <v>382</v>
      </c>
      <c r="D385" t="e">
        <f>IF($D$1="ESPN",INDEX(Table2[Mapped Name],MATCH('Rankings Master'!$A385,Table2[Overall Rank],0)),IF('Rankings Master'!$D$1="NFL.com",INDEX(Table3[Name Clean],MATCH('Rankings Master'!$A385,Table3[Rank],0)),IF('Rankings Master'!$D$1="Sleeper",INDEX(Sleeper!$B$2:$B$201,MATCH('Rankings Master'!$A385,Sleeper!$A$2:$A$201,0)),"Need platform")))</f>
        <v>#N/A</v>
      </c>
      <c r="E385" t="e">
        <f>IF($D$1="ESPN",INDEX(Table2[Position],MATCH('Rankings Master'!$A385,Table2[Overall Rank],0)),IF('Rankings Master'!$D$1="NFL.com",INDEX(Table3[Position],MATCH('Rankings Master'!$A385,Table3[Rank],0)),INDEX(Sleeper!$C$2:$C$201,MATCH('Rankings Master'!A385,Sleeper!$A$2:$A$201,0))))</f>
        <v>#N/A</v>
      </c>
      <c r="F385" t="e">
        <f>INDEX(Table4[RK],MATCH('Rankings Master'!D385,Table4[PLAYER NAME],0))</f>
        <v>#N/A</v>
      </c>
      <c r="G385" t="e">
        <f t="shared" si="39"/>
        <v>#N/A</v>
      </c>
      <c r="H385" t="e">
        <f t="shared" si="40"/>
        <v>#N/A</v>
      </c>
      <c r="I385" t="e">
        <f t="shared" si="43"/>
        <v>#N/A</v>
      </c>
      <c r="J385" t="str">
        <f t="shared" si="41"/>
        <v/>
      </c>
      <c r="M385" t="str">
        <f>IFERROR(INDEX(PlayerSummaryTable[Rushing Yds],MATCH('Rankings Master'!D385,PlayerSummaryTable[Player],0)),"")</f>
        <v/>
      </c>
      <c r="N385" t="str">
        <f>IFERROR(INDEX(PlayerSummaryTable[Receiving Yds],MATCH('Rankings Master'!D385,PlayerSummaryTable[Player],0)),"")</f>
        <v/>
      </c>
      <c r="O385" t="str">
        <f>IFERROR(INDEX(PlayerSummaryTable[Passing Yds],MATCH('Rankings Master'!D385,PlayerSummaryTable[Player],0)),"")</f>
        <v/>
      </c>
      <c r="U385" t="str">
        <f>IF(COUNTIF('Draft Log'!$B$2:$B$301,D385)&gt;0,"DRAFTED","")</f>
        <v/>
      </c>
      <c r="V385" t="str">
        <f>IFERROR(INDEX('Draft Log'!$A$2:$A$301,MATCH(D385,'Draft Log'!$B$2:$B$301,0)),"")</f>
        <v/>
      </c>
      <c r="W385" t="str">
        <f>IFERROR(INDEX('Draft Log'!$C$2:$C$301,MATCH(D385,'Draft Log'!$B$2:$B$301,0)),"")</f>
        <v/>
      </c>
    </row>
    <row r="386" spans="1:23">
      <c r="A386">
        <f t="shared" si="42"/>
        <v>383</v>
      </c>
      <c r="D386" t="e">
        <f>IF($D$1="ESPN",INDEX(Table2[Mapped Name],MATCH('Rankings Master'!$A386,Table2[Overall Rank],0)),IF('Rankings Master'!$D$1="NFL.com",INDEX(Table3[Name Clean],MATCH('Rankings Master'!$A386,Table3[Rank],0)),IF('Rankings Master'!$D$1="Sleeper",INDEX(Sleeper!$B$2:$B$201,MATCH('Rankings Master'!$A386,Sleeper!$A$2:$A$201,0)),"Need platform")))</f>
        <v>#N/A</v>
      </c>
      <c r="E386" t="e">
        <f>IF($D$1="ESPN",INDEX(Table2[Position],MATCH('Rankings Master'!$A386,Table2[Overall Rank],0)),IF('Rankings Master'!$D$1="NFL.com",INDEX(Table3[Position],MATCH('Rankings Master'!$A386,Table3[Rank],0)),INDEX(Sleeper!$C$2:$C$201,MATCH('Rankings Master'!A386,Sleeper!$A$2:$A$201,0))))</f>
        <v>#N/A</v>
      </c>
      <c r="F386" t="e">
        <f>INDEX(Table4[RK],MATCH('Rankings Master'!D386,Table4[PLAYER NAME],0))</f>
        <v>#N/A</v>
      </c>
      <c r="G386" t="e">
        <f t="shared" si="39"/>
        <v>#N/A</v>
      </c>
      <c r="H386" t="e">
        <f t="shared" si="40"/>
        <v>#N/A</v>
      </c>
      <c r="I386" t="e">
        <f t="shared" si="43"/>
        <v>#N/A</v>
      </c>
      <c r="J386" t="str">
        <f t="shared" si="41"/>
        <v/>
      </c>
      <c r="M386" t="str">
        <f>IFERROR(INDEX(PlayerSummaryTable[Rushing Yds],MATCH('Rankings Master'!D386,PlayerSummaryTable[Player],0)),"")</f>
        <v/>
      </c>
      <c r="N386" t="str">
        <f>IFERROR(INDEX(PlayerSummaryTable[Receiving Yds],MATCH('Rankings Master'!D386,PlayerSummaryTable[Player],0)),"")</f>
        <v/>
      </c>
      <c r="O386" t="str">
        <f>IFERROR(INDEX(PlayerSummaryTable[Passing Yds],MATCH('Rankings Master'!D386,PlayerSummaryTable[Player],0)),"")</f>
        <v/>
      </c>
      <c r="U386" t="str">
        <f>IF(COUNTIF('Draft Log'!$B$2:$B$301,D386)&gt;0,"DRAFTED","")</f>
        <v/>
      </c>
      <c r="V386" t="str">
        <f>IFERROR(INDEX('Draft Log'!$A$2:$A$301,MATCH(D386,'Draft Log'!$B$2:$B$301,0)),"")</f>
        <v/>
      </c>
      <c r="W386" t="str">
        <f>IFERROR(INDEX('Draft Log'!$C$2:$C$301,MATCH(D386,'Draft Log'!$B$2:$B$301,0)),"")</f>
        <v/>
      </c>
    </row>
    <row r="387" spans="1:23">
      <c r="A387">
        <f t="shared" si="42"/>
        <v>384</v>
      </c>
      <c r="D387" t="e">
        <f>IF($D$1="ESPN",INDEX(Table2[Mapped Name],MATCH('Rankings Master'!$A387,Table2[Overall Rank],0)),IF('Rankings Master'!$D$1="NFL.com",INDEX(Table3[Name Clean],MATCH('Rankings Master'!$A387,Table3[Rank],0)),IF('Rankings Master'!$D$1="Sleeper",INDEX(Sleeper!$B$2:$B$201,MATCH('Rankings Master'!$A387,Sleeper!$A$2:$A$201,0)),"Need platform")))</f>
        <v>#N/A</v>
      </c>
      <c r="E387" t="e">
        <f>IF($D$1="ESPN",INDEX(Table2[Position],MATCH('Rankings Master'!$A387,Table2[Overall Rank],0)),IF('Rankings Master'!$D$1="NFL.com",INDEX(Table3[Position],MATCH('Rankings Master'!$A387,Table3[Rank],0)),INDEX(Sleeper!$C$2:$C$201,MATCH('Rankings Master'!A387,Sleeper!$A$2:$A$201,0))))</f>
        <v>#N/A</v>
      </c>
      <c r="F387" t="e">
        <f>INDEX(Table4[RK],MATCH('Rankings Master'!D387,Table4[PLAYER NAME],0))</f>
        <v>#N/A</v>
      </c>
      <c r="G387" t="e">
        <f t="shared" si="39"/>
        <v>#N/A</v>
      </c>
      <c r="H387" t="e">
        <f t="shared" si="40"/>
        <v>#N/A</v>
      </c>
      <c r="I387" t="e">
        <f t="shared" si="43"/>
        <v>#N/A</v>
      </c>
      <c r="J387" t="str">
        <f t="shared" si="41"/>
        <v/>
      </c>
      <c r="M387" t="str">
        <f>IFERROR(INDEX(PlayerSummaryTable[Rushing Yds],MATCH('Rankings Master'!D387,PlayerSummaryTable[Player],0)),"")</f>
        <v/>
      </c>
      <c r="N387" t="str">
        <f>IFERROR(INDEX(PlayerSummaryTable[Receiving Yds],MATCH('Rankings Master'!D387,PlayerSummaryTable[Player],0)),"")</f>
        <v/>
      </c>
      <c r="O387" t="str">
        <f>IFERROR(INDEX(PlayerSummaryTable[Passing Yds],MATCH('Rankings Master'!D387,PlayerSummaryTable[Player],0)),"")</f>
        <v/>
      </c>
      <c r="U387" t="str">
        <f>IF(COUNTIF('Draft Log'!$B$2:$B$301,D387)&gt;0,"DRAFTED","")</f>
        <v/>
      </c>
      <c r="V387" t="str">
        <f>IFERROR(INDEX('Draft Log'!$A$2:$A$301,MATCH(D387,'Draft Log'!$B$2:$B$301,0)),"")</f>
        <v/>
      </c>
      <c r="W387" t="str">
        <f>IFERROR(INDEX('Draft Log'!$C$2:$C$301,MATCH(D387,'Draft Log'!$B$2:$B$301,0)),"")</f>
        <v/>
      </c>
    </row>
    <row r="388" spans="1:23">
      <c r="A388">
        <f t="shared" si="42"/>
        <v>385</v>
      </c>
      <c r="D388" t="e">
        <f>IF($D$1="ESPN",INDEX(Table2[Mapped Name],MATCH('Rankings Master'!$A388,Table2[Overall Rank],0)),IF('Rankings Master'!$D$1="NFL.com",INDEX(Table3[Name Clean],MATCH('Rankings Master'!$A388,Table3[Rank],0)),IF('Rankings Master'!$D$1="Sleeper",INDEX(Sleeper!$B$2:$B$201,MATCH('Rankings Master'!$A388,Sleeper!$A$2:$A$201,0)),"Need platform")))</f>
        <v>#N/A</v>
      </c>
      <c r="E388" t="e">
        <f>IF($D$1="ESPN",INDEX(Table2[Position],MATCH('Rankings Master'!$A388,Table2[Overall Rank],0)),IF('Rankings Master'!$D$1="NFL.com",INDEX(Table3[Position],MATCH('Rankings Master'!$A388,Table3[Rank],0)),INDEX(Sleeper!$C$2:$C$201,MATCH('Rankings Master'!A388,Sleeper!$A$2:$A$201,0))))</f>
        <v>#N/A</v>
      </c>
      <c r="F388" t="e">
        <f>INDEX(Table4[RK],MATCH('Rankings Master'!D388,Table4[PLAYER NAME],0))</f>
        <v>#N/A</v>
      </c>
      <c r="G388" t="e">
        <f t="shared" ref="G388:G402" si="44">A388-F388</f>
        <v>#N/A</v>
      </c>
      <c r="H388" t="e">
        <f t="shared" ref="H388:H402" si="45">G388/F388</f>
        <v>#N/A</v>
      </c>
      <c r="I388" t="e">
        <f t="shared" si="43"/>
        <v>#N/A</v>
      </c>
      <c r="J388" t="str">
        <f t="shared" si="41"/>
        <v/>
      </c>
      <c r="M388" t="str">
        <f>IFERROR(INDEX(PlayerSummaryTable[Rushing Yds],MATCH('Rankings Master'!D388,PlayerSummaryTable[Player],0)),"")</f>
        <v/>
      </c>
      <c r="N388" t="str">
        <f>IFERROR(INDEX(PlayerSummaryTable[Receiving Yds],MATCH('Rankings Master'!D388,PlayerSummaryTable[Player],0)),"")</f>
        <v/>
      </c>
      <c r="O388" t="str">
        <f>IFERROR(INDEX(PlayerSummaryTable[Passing Yds],MATCH('Rankings Master'!D388,PlayerSummaryTable[Player],0)),"")</f>
        <v/>
      </c>
      <c r="U388" t="str">
        <f>IF(COUNTIF('Draft Log'!$B$2:$B$301,D388)&gt;0,"DRAFTED","")</f>
        <v/>
      </c>
      <c r="V388" t="str">
        <f>IFERROR(INDEX('Draft Log'!$A$2:$A$301,MATCH(D388,'Draft Log'!$B$2:$B$301,0)),"")</f>
        <v/>
      </c>
      <c r="W388" t="str">
        <f>IFERROR(INDEX('Draft Log'!$C$2:$C$301,MATCH(D388,'Draft Log'!$B$2:$B$301,0)),"")</f>
        <v/>
      </c>
    </row>
    <row r="389" spans="1:23">
      <c r="A389">
        <f t="shared" si="42"/>
        <v>386</v>
      </c>
      <c r="D389" t="e">
        <f>IF($D$1="ESPN",INDEX(Table2[Mapped Name],MATCH('Rankings Master'!$A389,Table2[Overall Rank],0)),IF('Rankings Master'!$D$1="NFL.com",INDEX(Table3[Name Clean],MATCH('Rankings Master'!$A389,Table3[Rank],0)),IF('Rankings Master'!$D$1="Sleeper",INDEX(Sleeper!$B$2:$B$201,MATCH('Rankings Master'!$A389,Sleeper!$A$2:$A$201,0)),"Need platform")))</f>
        <v>#N/A</v>
      </c>
      <c r="E389" t="e">
        <f>IF($D$1="ESPN",INDEX(Table2[Position],MATCH('Rankings Master'!$A389,Table2[Overall Rank],0)),IF('Rankings Master'!$D$1="NFL.com",INDEX(Table3[Position],MATCH('Rankings Master'!$A389,Table3[Rank],0)),INDEX(Sleeper!$C$2:$C$201,MATCH('Rankings Master'!A389,Sleeper!$A$2:$A$201,0))))</f>
        <v>#N/A</v>
      </c>
      <c r="F389" t="e">
        <f>INDEX(Table4[RK],MATCH('Rankings Master'!D389,Table4[PLAYER NAME],0))</f>
        <v>#N/A</v>
      </c>
      <c r="G389" t="e">
        <f t="shared" si="44"/>
        <v>#N/A</v>
      </c>
      <c r="H389" t="e">
        <f t="shared" si="45"/>
        <v>#N/A</v>
      </c>
      <c r="I389" t="e">
        <f t="shared" si="43"/>
        <v>#N/A</v>
      </c>
      <c r="J389" t="str">
        <f t="shared" ref="J389:J402" si="46">IF(W389=$G$1,"M",IF(AND(U389="Drafted",W389&lt;&gt;$G$1),"Y",""))</f>
        <v/>
      </c>
      <c r="M389" t="str">
        <f>IFERROR(INDEX(PlayerSummaryTable[Rushing Yds],MATCH('Rankings Master'!D389,PlayerSummaryTable[Player],0)),"")</f>
        <v/>
      </c>
      <c r="N389" t="str">
        <f>IFERROR(INDEX(PlayerSummaryTable[Receiving Yds],MATCH('Rankings Master'!D389,PlayerSummaryTable[Player],0)),"")</f>
        <v/>
      </c>
      <c r="O389" t="str">
        <f>IFERROR(INDEX(PlayerSummaryTable[Passing Yds],MATCH('Rankings Master'!D389,PlayerSummaryTable[Player],0)),"")</f>
        <v/>
      </c>
      <c r="U389" t="str">
        <f>IF(COUNTIF('Draft Log'!$B$2:$B$301,D389)&gt;0,"DRAFTED","")</f>
        <v/>
      </c>
      <c r="V389" t="str">
        <f>IFERROR(INDEX('Draft Log'!$A$2:$A$301,MATCH(D389,'Draft Log'!$B$2:$B$301,0)),"")</f>
        <v/>
      </c>
      <c r="W389" t="str">
        <f>IFERROR(INDEX('Draft Log'!$C$2:$C$301,MATCH(D389,'Draft Log'!$B$2:$B$301,0)),"")</f>
        <v/>
      </c>
    </row>
    <row r="390" spans="1:23">
      <c r="A390">
        <f t="shared" si="42"/>
        <v>387</v>
      </c>
      <c r="D390" t="e">
        <f>IF($D$1="ESPN",INDEX(Table2[Mapped Name],MATCH('Rankings Master'!$A390,Table2[Overall Rank],0)),IF('Rankings Master'!$D$1="NFL.com",INDEX(Table3[Name Clean],MATCH('Rankings Master'!$A390,Table3[Rank],0)),IF('Rankings Master'!$D$1="Sleeper",INDEX(Sleeper!$B$2:$B$201,MATCH('Rankings Master'!$A390,Sleeper!$A$2:$A$201,0)),"Need platform")))</f>
        <v>#N/A</v>
      </c>
      <c r="E390" t="e">
        <f>IF($D$1="ESPN",INDEX(Table2[Position],MATCH('Rankings Master'!$A390,Table2[Overall Rank],0)),IF('Rankings Master'!$D$1="NFL.com",INDEX(Table3[Position],MATCH('Rankings Master'!$A390,Table3[Rank],0)),INDEX(Sleeper!$C$2:$C$201,MATCH('Rankings Master'!A390,Sleeper!$A$2:$A$201,0))))</f>
        <v>#N/A</v>
      </c>
      <c r="F390" t="e">
        <f>INDEX(Table4[RK],MATCH('Rankings Master'!D390,Table4[PLAYER NAME],0))</f>
        <v>#N/A</v>
      </c>
      <c r="G390" t="e">
        <f t="shared" si="44"/>
        <v>#N/A</v>
      </c>
      <c r="H390" t="e">
        <f t="shared" si="45"/>
        <v>#N/A</v>
      </c>
      <c r="I390" t="e">
        <f t="shared" si="43"/>
        <v>#N/A</v>
      </c>
      <c r="J390" t="str">
        <f t="shared" si="46"/>
        <v/>
      </c>
      <c r="M390" t="str">
        <f>IFERROR(INDEX(PlayerSummaryTable[Rushing Yds],MATCH('Rankings Master'!D390,PlayerSummaryTable[Player],0)),"")</f>
        <v/>
      </c>
      <c r="N390" t="str">
        <f>IFERROR(INDEX(PlayerSummaryTable[Receiving Yds],MATCH('Rankings Master'!D390,PlayerSummaryTable[Player],0)),"")</f>
        <v/>
      </c>
      <c r="O390" t="str">
        <f>IFERROR(INDEX(PlayerSummaryTable[Passing Yds],MATCH('Rankings Master'!D390,PlayerSummaryTable[Player],0)),"")</f>
        <v/>
      </c>
      <c r="U390" t="str">
        <f>IF(COUNTIF('Draft Log'!$B$2:$B$301,D390)&gt;0,"DRAFTED","")</f>
        <v/>
      </c>
      <c r="V390" t="str">
        <f>IFERROR(INDEX('Draft Log'!$A$2:$A$301,MATCH(D390,'Draft Log'!$B$2:$B$301,0)),"")</f>
        <v/>
      </c>
      <c r="W390" t="str">
        <f>IFERROR(INDEX('Draft Log'!$C$2:$C$301,MATCH(D390,'Draft Log'!$B$2:$B$301,0)),"")</f>
        <v/>
      </c>
    </row>
    <row r="391" spans="1:23">
      <c r="A391">
        <f t="shared" si="42"/>
        <v>388</v>
      </c>
      <c r="D391" t="e">
        <f>IF($D$1="ESPN",INDEX(Table2[Mapped Name],MATCH('Rankings Master'!$A391,Table2[Overall Rank],0)),IF('Rankings Master'!$D$1="NFL.com",INDEX(Table3[Name Clean],MATCH('Rankings Master'!$A391,Table3[Rank],0)),IF('Rankings Master'!$D$1="Sleeper",INDEX(Sleeper!$B$2:$B$201,MATCH('Rankings Master'!$A391,Sleeper!$A$2:$A$201,0)),"Need platform")))</f>
        <v>#N/A</v>
      </c>
      <c r="E391" t="e">
        <f>IF($D$1="ESPN",INDEX(Table2[Position],MATCH('Rankings Master'!$A391,Table2[Overall Rank],0)),IF('Rankings Master'!$D$1="NFL.com",INDEX(Table3[Position],MATCH('Rankings Master'!$A391,Table3[Rank],0)),INDEX(Sleeper!$C$2:$C$201,MATCH('Rankings Master'!A391,Sleeper!$A$2:$A$201,0))))</f>
        <v>#N/A</v>
      </c>
      <c r="F391" t="e">
        <f>INDEX(Table4[RK],MATCH('Rankings Master'!D391,Table4[PLAYER NAME],0))</f>
        <v>#N/A</v>
      </c>
      <c r="G391" t="e">
        <f t="shared" si="44"/>
        <v>#N/A</v>
      </c>
      <c r="H391" t="e">
        <f t="shared" si="45"/>
        <v>#N/A</v>
      </c>
      <c r="I391" t="e">
        <f t="shared" si="43"/>
        <v>#N/A</v>
      </c>
      <c r="J391" t="str">
        <f t="shared" si="46"/>
        <v/>
      </c>
      <c r="M391" t="str">
        <f>IFERROR(INDEX(PlayerSummaryTable[Rushing Yds],MATCH('Rankings Master'!D391,PlayerSummaryTable[Player],0)),"")</f>
        <v/>
      </c>
      <c r="N391" t="str">
        <f>IFERROR(INDEX(PlayerSummaryTable[Receiving Yds],MATCH('Rankings Master'!D391,PlayerSummaryTable[Player],0)),"")</f>
        <v/>
      </c>
      <c r="O391" t="str">
        <f>IFERROR(INDEX(PlayerSummaryTable[Passing Yds],MATCH('Rankings Master'!D391,PlayerSummaryTable[Player],0)),"")</f>
        <v/>
      </c>
      <c r="U391" t="str">
        <f>IF(COUNTIF('Draft Log'!$B$2:$B$301,D391)&gt;0,"DRAFTED","")</f>
        <v/>
      </c>
      <c r="V391" t="str">
        <f>IFERROR(INDEX('Draft Log'!$A$2:$A$301,MATCH(D391,'Draft Log'!$B$2:$B$301,0)),"")</f>
        <v/>
      </c>
      <c r="W391" t="str">
        <f>IFERROR(INDEX('Draft Log'!$C$2:$C$301,MATCH(D391,'Draft Log'!$B$2:$B$301,0)),"")</f>
        <v/>
      </c>
    </row>
    <row r="392" spans="1:23">
      <c r="A392">
        <f t="shared" si="42"/>
        <v>389</v>
      </c>
      <c r="D392" t="e">
        <f>IF($D$1="ESPN",INDEX(Table2[Mapped Name],MATCH('Rankings Master'!$A392,Table2[Overall Rank],0)),IF('Rankings Master'!$D$1="NFL.com",INDEX(Table3[Name Clean],MATCH('Rankings Master'!$A392,Table3[Rank],0)),IF('Rankings Master'!$D$1="Sleeper",INDEX(Sleeper!$B$2:$B$201,MATCH('Rankings Master'!$A392,Sleeper!$A$2:$A$201,0)),"Need platform")))</f>
        <v>#N/A</v>
      </c>
      <c r="E392" t="e">
        <f>IF($D$1="ESPN",INDEX(Table2[Position],MATCH('Rankings Master'!$A392,Table2[Overall Rank],0)),IF('Rankings Master'!$D$1="NFL.com",INDEX(Table3[Position],MATCH('Rankings Master'!$A392,Table3[Rank],0)),INDEX(Sleeper!$C$2:$C$201,MATCH('Rankings Master'!A392,Sleeper!$A$2:$A$201,0))))</f>
        <v>#N/A</v>
      </c>
      <c r="F392" t="e">
        <f>INDEX(Table4[RK],MATCH('Rankings Master'!D392,Table4[PLAYER NAME],0))</f>
        <v>#N/A</v>
      </c>
      <c r="G392" t="e">
        <f t="shared" si="44"/>
        <v>#N/A</v>
      </c>
      <c r="H392" t="e">
        <f t="shared" si="45"/>
        <v>#N/A</v>
      </c>
      <c r="I392" t="e">
        <f t="shared" si="43"/>
        <v>#N/A</v>
      </c>
      <c r="J392" t="str">
        <f t="shared" si="46"/>
        <v/>
      </c>
      <c r="M392" t="str">
        <f>IFERROR(INDEX(PlayerSummaryTable[Rushing Yds],MATCH('Rankings Master'!D392,PlayerSummaryTable[Player],0)),"")</f>
        <v/>
      </c>
      <c r="N392" t="str">
        <f>IFERROR(INDEX(PlayerSummaryTable[Receiving Yds],MATCH('Rankings Master'!D392,PlayerSummaryTable[Player],0)),"")</f>
        <v/>
      </c>
      <c r="O392" t="str">
        <f>IFERROR(INDEX(PlayerSummaryTable[Passing Yds],MATCH('Rankings Master'!D392,PlayerSummaryTable[Player],0)),"")</f>
        <v/>
      </c>
      <c r="U392" t="str">
        <f>IF(COUNTIF('Draft Log'!$B$2:$B$301,D392)&gt;0,"DRAFTED","")</f>
        <v/>
      </c>
      <c r="V392" t="str">
        <f>IFERROR(INDEX('Draft Log'!$A$2:$A$301,MATCH(D392,'Draft Log'!$B$2:$B$301,0)),"")</f>
        <v/>
      </c>
      <c r="W392" t="str">
        <f>IFERROR(INDEX('Draft Log'!$C$2:$C$301,MATCH(D392,'Draft Log'!$B$2:$B$301,0)),"")</f>
        <v/>
      </c>
    </row>
    <row r="393" spans="1:23">
      <c r="A393">
        <f t="shared" si="42"/>
        <v>390</v>
      </c>
      <c r="D393" t="e">
        <f>IF($D$1="ESPN",INDEX(Table2[Mapped Name],MATCH('Rankings Master'!$A393,Table2[Overall Rank],0)),IF('Rankings Master'!$D$1="NFL.com",INDEX(Table3[Name Clean],MATCH('Rankings Master'!$A393,Table3[Rank],0)),IF('Rankings Master'!$D$1="Sleeper",INDEX(Sleeper!$B$2:$B$201,MATCH('Rankings Master'!$A393,Sleeper!$A$2:$A$201,0)),"Need platform")))</f>
        <v>#N/A</v>
      </c>
      <c r="E393" t="e">
        <f>IF($D$1="ESPN",INDEX(Table2[Position],MATCH('Rankings Master'!$A393,Table2[Overall Rank],0)),IF('Rankings Master'!$D$1="NFL.com",INDEX(Table3[Position],MATCH('Rankings Master'!$A393,Table3[Rank],0)),INDEX(Sleeper!$C$2:$C$201,MATCH('Rankings Master'!A393,Sleeper!$A$2:$A$201,0))))</f>
        <v>#N/A</v>
      </c>
      <c r="F393" t="e">
        <f>INDEX(Table4[RK],MATCH('Rankings Master'!D393,Table4[PLAYER NAME],0))</f>
        <v>#N/A</v>
      </c>
      <c r="G393" t="e">
        <f t="shared" si="44"/>
        <v>#N/A</v>
      </c>
      <c r="H393" t="e">
        <f t="shared" si="45"/>
        <v>#N/A</v>
      </c>
      <c r="I393" t="e">
        <f t="shared" si="43"/>
        <v>#N/A</v>
      </c>
      <c r="J393" t="str">
        <f t="shared" si="46"/>
        <v/>
      </c>
      <c r="M393" t="str">
        <f>IFERROR(INDEX(PlayerSummaryTable[Rushing Yds],MATCH('Rankings Master'!D393,PlayerSummaryTable[Player],0)),"")</f>
        <v/>
      </c>
      <c r="N393" t="str">
        <f>IFERROR(INDEX(PlayerSummaryTable[Receiving Yds],MATCH('Rankings Master'!D393,PlayerSummaryTable[Player],0)),"")</f>
        <v/>
      </c>
      <c r="O393" t="str">
        <f>IFERROR(INDEX(PlayerSummaryTable[Passing Yds],MATCH('Rankings Master'!D393,PlayerSummaryTable[Player],0)),"")</f>
        <v/>
      </c>
      <c r="U393" t="str">
        <f>IF(COUNTIF('Draft Log'!$B$2:$B$301,D393)&gt;0,"DRAFTED","")</f>
        <v/>
      </c>
      <c r="V393" t="str">
        <f>IFERROR(INDEX('Draft Log'!$A$2:$A$301,MATCH(D393,'Draft Log'!$B$2:$B$301,0)),"")</f>
        <v/>
      </c>
      <c r="W393" t="str">
        <f>IFERROR(INDEX('Draft Log'!$C$2:$C$301,MATCH(D393,'Draft Log'!$B$2:$B$301,0)),"")</f>
        <v/>
      </c>
    </row>
    <row r="394" spans="1:23">
      <c r="A394">
        <f t="shared" si="42"/>
        <v>391</v>
      </c>
      <c r="D394" t="e">
        <f>IF($D$1="ESPN",INDEX(Table2[Mapped Name],MATCH('Rankings Master'!$A394,Table2[Overall Rank],0)),IF('Rankings Master'!$D$1="NFL.com",INDEX(Table3[Name Clean],MATCH('Rankings Master'!$A394,Table3[Rank],0)),IF('Rankings Master'!$D$1="Sleeper",INDEX(Sleeper!$B$2:$B$201,MATCH('Rankings Master'!$A394,Sleeper!$A$2:$A$201,0)),"Need platform")))</f>
        <v>#N/A</v>
      </c>
      <c r="E394" t="e">
        <f>IF($D$1="ESPN",INDEX(Table2[Position],MATCH('Rankings Master'!$A394,Table2[Overall Rank],0)),IF('Rankings Master'!$D$1="NFL.com",INDEX(Table3[Position],MATCH('Rankings Master'!$A394,Table3[Rank],0)),INDEX(Sleeper!$C$2:$C$201,MATCH('Rankings Master'!A394,Sleeper!$A$2:$A$201,0))))</f>
        <v>#N/A</v>
      </c>
      <c r="F394" t="e">
        <f>INDEX(Table4[RK],MATCH('Rankings Master'!D394,Table4[PLAYER NAME],0))</f>
        <v>#N/A</v>
      </c>
      <c r="G394" t="e">
        <f t="shared" si="44"/>
        <v>#N/A</v>
      </c>
      <c r="H394" t="e">
        <f t="shared" si="45"/>
        <v>#N/A</v>
      </c>
      <c r="I394" t="e">
        <f t="shared" si="43"/>
        <v>#N/A</v>
      </c>
      <c r="J394" t="str">
        <f t="shared" si="46"/>
        <v/>
      </c>
      <c r="M394" t="str">
        <f>IFERROR(INDEX(PlayerSummaryTable[Rushing Yds],MATCH('Rankings Master'!D394,PlayerSummaryTable[Player],0)),"")</f>
        <v/>
      </c>
      <c r="N394" t="str">
        <f>IFERROR(INDEX(PlayerSummaryTable[Receiving Yds],MATCH('Rankings Master'!D394,PlayerSummaryTable[Player],0)),"")</f>
        <v/>
      </c>
      <c r="O394" t="str">
        <f>IFERROR(INDEX(PlayerSummaryTable[Passing Yds],MATCH('Rankings Master'!D394,PlayerSummaryTable[Player],0)),"")</f>
        <v/>
      </c>
      <c r="U394" t="str">
        <f>IF(COUNTIF('Draft Log'!$B$2:$B$301,D394)&gt;0,"DRAFTED","")</f>
        <v/>
      </c>
      <c r="V394" t="str">
        <f>IFERROR(INDEX('Draft Log'!$A$2:$A$301,MATCH(D394,'Draft Log'!$B$2:$B$301,0)),"")</f>
        <v/>
      </c>
      <c r="W394" t="str">
        <f>IFERROR(INDEX('Draft Log'!$C$2:$C$301,MATCH(D394,'Draft Log'!$B$2:$B$301,0)),"")</f>
        <v/>
      </c>
    </row>
    <row r="395" spans="1:23">
      <c r="A395">
        <f t="shared" si="42"/>
        <v>392</v>
      </c>
      <c r="D395" t="e">
        <f>IF($D$1="ESPN",INDEX(Table2[Mapped Name],MATCH('Rankings Master'!$A395,Table2[Overall Rank],0)),IF('Rankings Master'!$D$1="NFL.com",INDEX(Table3[Name Clean],MATCH('Rankings Master'!$A395,Table3[Rank],0)),IF('Rankings Master'!$D$1="Sleeper",INDEX(Sleeper!$B$2:$B$201,MATCH('Rankings Master'!$A395,Sleeper!$A$2:$A$201,0)),"Need platform")))</f>
        <v>#N/A</v>
      </c>
      <c r="E395" t="e">
        <f>IF($D$1="ESPN",INDEX(Table2[Position],MATCH('Rankings Master'!$A395,Table2[Overall Rank],0)),IF('Rankings Master'!$D$1="NFL.com",INDEX(Table3[Position],MATCH('Rankings Master'!$A395,Table3[Rank],0)),INDEX(Sleeper!$C$2:$C$201,MATCH('Rankings Master'!A395,Sleeper!$A$2:$A$201,0))))</f>
        <v>#N/A</v>
      </c>
      <c r="F395" t="e">
        <f>INDEX(Table4[RK],MATCH('Rankings Master'!D395,Table4[PLAYER NAME],0))</f>
        <v>#N/A</v>
      </c>
      <c r="G395" t="e">
        <f t="shared" si="44"/>
        <v>#N/A</v>
      </c>
      <c r="H395" t="e">
        <f t="shared" si="45"/>
        <v>#N/A</v>
      </c>
      <c r="I395" t="e">
        <f t="shared" si="43"/>
        <v>#N/A</v>
      </c>
      <c r="J395" t="str">
        <f t="shared" si="46"/>
        <v/>
      </c>
      <c r="M395" t="str">
        <f>IFERROR(INDEX(PlayerSummaryTable[Rushing Yds],MATCH('Rankings Master'!D395,PlayerSummaryTable[Player],0)),"")</f>
        <v/>
      </c>
      <c r="N395" t="str">
        <f>IFERROR(INDEX(PlayerSummaryTable[Receiving Yds],MATCH('Rankings Master'!D395,PlayerSummaryTable[Player],0)),"")</f>
        <v/>
      </c>
      <c r="O395" t="str">
        <f>IFERROR(INDEX(PlayerSummaryTable[Passing Yds],MATCH('Rankings Master'!D395,PlayerSummaryTable[Player],0)),"")</f>
        <v/>
      </c>
      <c r="U395" t="str">
        <f>IF(COUNTIF('Draft Log'!$B$2:$B$301,D395)&gt;0,"DRAFTED","")</f>
        <v/>
      </c>
      <c r="V395" t="str">
        <f>IFERROR(INDEX('Draft Log'!$A$2:$A$301,MATCH(D395,'Draft Log'!$B$2:$B$301,0)),"")</f>
        <v/>
      </c>
      <c r="W395" t="str">
        <f>IFERROR(INDEX('Draft Log'!$C$2:$C$301,MATCH(D395,'Draft Log'!$B$2:$B$301,0)),"")</f>
        <v/>
      </c>
    </row>
    <row r="396" spans="1:23">
      <c r="A396">
        <f t="shared" si="42"/>
        <v>393</v>
      </c>
      <c r="D396" t="e">
        <f>IF($D$1="ESPN",INDEX(Table2[Mapped Name],MATCH('Rankings Master'!$A396,Table2[Overall Rank],0)),IF('Rankings Master'!$D$1="NFL.com",INDEX(Table3[Name Clean],MATCH('Rankings Master'!$A396,Table3[Rank],0)),IF('Rankings Master'!$D$1="Sleeper",INDEX(Sleeper!$B$2:$B$201,MATCH('Rankings Master'!$A396,Sleeper!$A$2:$A$201,0)),"Need platform")))</f>
        <v>#N/A</v>
      </c>
      <c r="E396" t="e">
        <f>IF($D$1="ESPN",INDEX(Table2[Position],MATCH('Rankings Master'!$A396,Table2[Overall Rank],0)),IF('Rankings Master'!$D$1="NFL.com",INDEX(Table3[Position],MATCH('Rankings Master'!$A396,Table3[Rank],0)),INDEX(Sleeper!$C$2:$C$201,MATCH('Rankings Master'!A396,Sleeper!$A$2:$A$201,0))))</f>
        <v>#N/A</v>
      </c>
      <c r="F396" t="e">
        <f>INDEX(Table4[RK],MATCH('Rankings Master'!D396,Table4[PLAYER NAME],0))</f>
        <v>#N/A</v>
      </c>
      <c r="G396" t="e">
        <f t="shared" si="44"/>
        <v>#N/A</v>
      </c>
      <c r="H396" t="e">
        <f t="shared" si="45"/>
        <v>#N/A</v>
      </c>
      <c r="I396" t="e">
        <f t="shared" si="43"/>
        <v>#N/A</v>
      </c>
      <c r="J396" t="str">
        <f t="shared" si="46"/>
        <v/>
      </c>
      <c r="M396" t="str">
        <f>IFERROR(INDEX(PlayerSummaryTable[Rushing Yds],MATCH('Rankings Master'!D396,PlayerSummaryTable[Player],0)),"")</f>
        <v/>
      </c>
      <c r="N396" t="str">
        <f>IFERROR(INDEX(PlayerSummaryTable[Receiving Yds],MATCH('Rankings Master'!D396,PlayerSummaryTable[Player],0)),"")</f>
        <v/>
      </c>
      <c r="O396" t="str">
        <f>IFERROR(INDEX(PlayerSummaryTable[Passing Yds],MATCH('Rankings Master'!D396,PlayerSummaryTable[Player],0)),"")</f>
        <v/>
      </c>
      <c r="U396" t="str">
        <f>IF(COUNTIF('Draft Log'!$B$2:$B$301,D396)&gt;0,"DRAFTED","")</f>
        <v/>
      </c>
      <c r="V396" t="str">
        <f>IFERROR(INDEX('Draft Log'!$A$2:$A$301,MATCH(D396,'Draft Log'!$B$2:$B$301,0)),"")</f>
        <v/>
      </c>
      <c r="W396" t="str">
        <f>IFERROR(INDEX('Draft Log'!$C$2:$C$301,MATCH(D396,'Draft Log'!$B$2:$B$301,0)),"")</f>
        <v/>
      </c>
    </row>
    <row r="397" spans="1:23">
      <c r="A397">
        <f t="shared" ref="A397:A402" si="47">A396+1</f>
        <v>394</v>
      </c>
      <c r="D397" t="e">
        <f>IF($D$1="ESPN",INDEX(Table2[Mapped Name],MATCH('Rankings Master'!$A397,Table2[Overall Rank],0)),IF('Rankings Master'!$D$1="NFL.com",INDEX(Table3[Name Clean],MATCH('Rankings Master'!$A397,Table3[Rank],0)),IF('Rankings Master'!$D$1="Sleeper",INDEX(Sleeper!$B$2:$B$201,MATCH('Rankings Master'!$A397,Sleeper!$A$2:$A$201,0)),"Need platform")))</f>
        <v>#N/A</v>
      </c>
      <c r="E397" t="e">
        <f>IF($D$1="ESPN",INDEX(Table2[Position],MATCH('Rankings Master'!$A397,Table2[Overall Rank],0)),IF('Rankings Master'!$D$1="NFL.com",INDEX(Table3[Position],MATCH('Rankings Master'!$A397,Table3[Rank],0)),INDEX(Sleeper!$C$2:$C$201,MATCH('Rankings Master'!A397,Sleeper!$A$2:$A$201,0))))</f>
        <v>#N/A</v>
      </c>
      <c r="F397" t="e">
        <f>INDEX(Table4[RK],MATCH('Rankings Master'!D397,Table4[PLAYER NAME],0))</f>
        <v>#N/A</v>
      </c>
      <c r="G397" t="e">
        <f t="shared" si="44"/>
        <v>#N/A</v>
      </c>
      <c r="H397" t="e">
        <f t="shared" si="45"/>
        <v>#N/A</v>
      </c>
      <c r="I397" t="e">
        <f t="shared" si="43"/>
        <v>#N/A</v>
      </c>
      <c r="J397" t="str">
        <f t="shared" si="46"/>
        <v/>
      </c>
      <c r="M397" t="str">
        <f>IFERROR(INDEX(PlayerSummaryTable[Rushing Yds],MATCH('Rankings Master'!D397,PlayerSummaryTable[Player],0)),"")</f>
        <v/>
      </c>
      <c r="N397" t="str">
        <f>IFERROR(INDEX(PlayerSummaryTable[Receiving Yds],MATCH('Rankings Master'!D397,PlayerSummaryTable[Player],0)),"")</f>
        <v/>
      </c>
      <c r="O397" t="str">
        <f>IFERROR(INDEX(PlayerSummaryTable[Passing Yds],MATCH('Rankings Master'!D397,PlayerSummaryTable[Player],0)),"")</f>
        <v/>
      </c>
      <c r="U397" t="str">
        <f>IF(COUNTIF('Draft Log'!$B$2:$B$301,D397)&gt;0,"DRAFTED","")</f>
        <v/>
      </c>
      <c r="V397" t="str">
        <f>IFERROR(INDEX('Draft Log'!$A$2:$A$301,MATCH(D397,'Draft Log'!$B$2:$B$301,0)),"")</f>
        <v/>
      </c>
      <c r="W397" t="str">
        <f>IFERROR(INDEX('Draft Log'!$C$2:$C$301,MATCH(D397,'Draft Log'!$B$2:$B$301,0)),"")</f>
        <v/>
      </c>
    </row>
    <row r="398" spans="1:23">
      <c r="A398">
        <f t="shared" si="47"/>
        <v>395</v>
      </c>
      <c r="D398" t="e">
        <f>IF($D$1="ESPN",INDEX(Table2[Mapped Name],MATCH('Rankings Master'!$A398,Table2[Overall Rank],0)),IF('Rankings Master'!$D$1="NFL.com",INDEX(Table3[Name Clean],MATCH('Rankings Master'!$A398,Table3[Rank],0)),IF('Rankings Master'!$D$1="Sleeper",INDEX(Sleeper!$B$2:$B$201,MATCH('Rankings Master'!$A398,Sleeper!$A$2:$A$201,0)),"Need platform")))</f>
        <v>#N/A</v>
      </c>
      <c r="E398" t="e">
        <f>IF($D$1="ESPN",INDEX(Table2[Position],MATCH('Rankings Master'!$A398,Table2[Overall Rank],0)),IF('Rankings Master'!$D$1="NFL.com",INDEX(Table3[Position],MATCH('Rankings Master'!$A398,Table3[Rank],0)),INDEX(Sleeper!$C$2:$C$201,MATCH('Rankings Master'!A398,Sleeper!$A$2:$A$201,0))))</f>
        <v>#N/A</v>
      </c>
      <c r="F398" t="e">
        <f>INDEX(Table4[RK],MATCH('Rankings Master'!D398,Table4[PLAYER NAME],0))</f>
        <v>#N/A</v>
      </c>
      <c r="G398" t="e">
        <f t="shared" si="44"/>
        <v>#N/A</v>
      </c>
      <c r="H398" t="e">
        <f t="shared" si="45"/>
        <v>#N/A</v>
      </c>
      <c r="I398" t="e">
        <f t="shared" si="43"/>
        <v>#N/A</v>
      </c>
      <c r="J398" t="str">
        <f t="shared" si="46"/>
        <v/>
      </c>
      <c r="M398" t="str">
        <f>IFERROR(INDEX(PlayerSummaryTable[Rushing Yds],MATCH('Rankings Master'!D398,PlayerSummaryTable[Player],0)),"")</f>
        <v/>
      </c>
      <c r="N398" t="str">
        <f>IFERROR(INDEX(PlayerSummaryTable[Receiving Yds],MATCH('Rankings Master'!D398,PlayerSummaryTable[Player],0)),"")</f>
        <v/>
      </c>
      <c r="O398" t="str">
        <f>IFERROR(INDEX(PlayerSummaryTable[Passing Yds],MATCH('Rankings Master'!D398,PlayerSummaryTable[Player],0)),"")</f>
        <v/>
      </c>
      <c r="U398" t="str">
        <f>IF(COUNTIF('Draft Log'!$B$2:$B$301,D398)&gt;0,"DRAFTED","")</f>
        <v/>
      </c>
      <c r="V398" t="str">
        <f>IFERROR(INDEX('Draft Log'!$A$2:$A$301,MATCH(D398,'Draft Log'!$B$2:$B$301,0)),"")</f>
        <v/>
      </c>
      <c r="W398" t="str">
        <f>IFERROR(INDEX('Draft Log'!$C$2:$C$301,MATCH(D398,'Draft Log'!$B$2:$B$301,0)),"")</f>
        <v/>
      </c>
    </row>
    <row r="399" spans="1:23">
      <c r="A399">
        <f t="shared" si="47"/>
        <v>396</v>
      </c>
      <c r="D399" t="e">
        <f>IF($D$1="ESPN",INDEX(Table2[Mapped Name],MATCH('Rankings Master'!$A399,Table2[Overall Rank],0)),IF('Rankings Master'!$D$1="NFL.com",INDEX(Table3[Name Clean],MATCH('Rankings Master'!$A399,Table3[Rank],0)),IF('Rankings Master'!$D$1="Sleeper",INDEX(Sleeper!$B$2:$B$201,MATCH('Rankings Master'!$A399,Sleeper!$A$2:$A$201,0)),"Need platform")))</f>
        <v>#N/A</v>
      </c>
      <c r="E399" t="e">
        <f>IF($D$1="ESPN",INDEX(Table2[Position],MATCH('Rankings Master'!$A399,Table2[Overall Rank],0)),IF('Rankings Master'!$D$1="NFL.com",INDEX(Table3[Position],MATCH('Rankings Master'!$A399,Table3[Rank],0)),INDEX(Sleeper!$C$2:$C$201,MATCH('Rankings Master'!A399,Sleeper!$A$2:$A$201,0))))</f>
        <v>#N/A</v>
      </c>
      <c r="F399" t="e">
        <f>INDEX(Table4[RK],MATCH('Rankings Master'!D399,Table4[PLAYER NAME],0))</f>
        <v>#N/A</v>
      </c>
      <c r="G399" t="e">
        <f t="shared" si="44"/>
        <v>#N/A</v>
      </c>
      <c r="H399" t="e">
        <f t="shared" si="45"/>
        <v>#N/A</v>
      </c>
      <c r="I399" t="e">
        <f t="shared" si="43"/>
        <v>#N/A</v>
      </c>
      <c r="J399" t="str">
        <f t="shared" si="46"/>
        <v/>
      </c>
      <c r="M399" t="str">
        <f>IFERROR(INDEX(PlayerSummaryTable[Rushing Yds],MATCH('Rankings Master'!D399,PlayerSummaryTable[Player],0)),"")</f>
        <v/>
      </c>
      <c r="N399" t="str">
        <f>IFERROR(INDEX(PlayerSummaryTable[Receiving Yds],MATCH('Rankings Master'!D399,PlayerSummaryTable[Player],0)),"")</f>
        <v/>
      </c>
      <c r="O399" t="str">
        <f>IFERROR(INDEX(PlayerSummaryTable[Passing Yds],MATCH('Rankings Master'!D399,PlayerSummaryTable[Player],0)),"")</f>
        <v/>
      </c>
      <c r="U399" t="str">
        <f>IF(COUNTIF('Draft Log'!$B$2:$B$301,D399)&gt;0,"DRAFTED","")</f>
        <v/>
      </c>
      <c r="V399" t="str">
        <f>IFERROR(INDEX('Draft Log'!$A$2:$A$301,MATCH(D399,'Draft Log'!$B$2:$B$301,0)),"")</f>
        <v/>
      </c>
      <c r="W399" t="str">
        <f>IFERROR(INDEX('Draft Log'!$C$2:$C$301,MATCH(D399,'Draft Log'!$B$2:$B$301,0)),"")</f>
        <v/>
      </c>
    </row>
    <row r="400" spans="1:23">
      <c r="A400">
        <f t="shared" si="47"/>
        <v>397</v>
      </c>
      <c r="D400" t="e">
        <f>IF($D$1="ESPN",INDEX(Table2[Mapped Name],MATCH('Rankings Master'!$A400,Table2[Overall Rank],0)),IF('Rankings Master'!$D$1="NFL.com",INDEX(Table3[Name Clean],MATCH('Rankings Master'!$A400,Table3[Rank],0)),IF('Rankings Master'!$D$1="Sleeper",INDEX(Sleeper!$B$2:$B$201,MATCH('Rankings Master'!$A400,Sleeper!$A$2:$A$201,0)),"Need platform")))</f>
        <v>#N/A</v>
      </c>
      <c r="E400" t="e">
        <f>IF($D$1="ESPN",INDEX(Table2[Position],MATCH('Rankings Master'!$A400,Table2[Overall Rank],0)),IF('Rankings Master'!$D$1="NFL.com",INDEX(Table3[Position],MATCH('Rankings Master'!$A400,Table3[Rank],0)),INDEX(Sleeper!$C$2:$C$201,MATCH('Rankings Master'!A400,Sleeper!$A$2:$A$201,0))))</f>
        <v>#N/A</v>
      </c>
      <c r="F400" t="e">
        <f>INDEX(Table4[RK],MATCH('Rankings Master'!D400,Table4[PLAYER NAME],0))</f>
        <v>#N/A</v>
      </c>
      <c r="G400" t="e">
        <f t="shared" si="44"/>
        <v>#N/A</v>
      </c>
      <c r="H400" t="e">
        <f t="shared" si="45"/>
        <v>#N/A</v>
      </c>
      <c r="I400" t="e">
        <f t="shared" si="43"/>
        <v>#N/A</v>
      </c>
      <c r="J400" t="str">
        <f t="shared" si="46"/>
        <v/>
      </c>
      <c r="M400" t="str">
        <f>IFERROR(INDEX(PlayerSummaryTable[Rushing Yds],MATCH('Rankings Master'!D400,PlayerSummaryTable[Player],0)),"")</f>
        <v/>
      </c>
      <c r="N400" t="str">
        <f>IFERROR(INDEX(PlayerSummaryTable[Receiving Yds],MATCH('Rankings Master'!D400,PlayerSummaryTable[Player],0)),"")</f>
        <v/>
      </c>
      <c r="O400" t="str">
        <f>IFERROR(INDEX(PlayerSummaryTable[Passing Yds],MATCH('Rankings Master'!D400,PlayerSummaryTable[Player],0)),"")</f>
        <v/>
      </c>
      <c r="U400" t="str">
        <f>IF(COUNTIF('Draft Log'!$B$2:$B$301,D400)&gt;0,"DRAFTED","")</f>
        <v/>
      </c>
      <c r="V400" t="str">
        <f>IFERROR(INDEX('Draft Log'!$A$2:$A$301,MATCH(D400,'Draft Log'!$B$2:$B$301,0)),"")</f>
        <v/>
      </c>
      <c r="W400" t="str">
        <f>IFERROR(INDEX('Draft Log'!$C$2:$C$301,MATCH(D400,'Draft Log'!$B$2:$B$301,0)),"")</f>
        <v/>
      </c>
    </row>
    <row r="401" spans="1:23">
      <c r="A401">
        <f t="shared" si="47"/>
        <v>398</v>
      </c>
      <c r="D401" t="e">
        <f>IF($D$1="ESPN",INDEX(Table2[Mapped Name],MATCH('Rankings Master'!$A401,Table2[Overall Rank],0)),IF('Rankings Master'!$D$1="NFL.com",INDEX(Table3[Name Clean],MATCH('Rankings Master'!$A401,Table3[Rank],0)),IF('Rankings Master'!$D$1="Sleeper",INDEX(Sleeper!$B$2:$B$201,MATCH('Rankings Master'!$A401,Sleeper!$A$2:$A$201,0)),"Need platform")))</f>
        <v>#N/A</v>
      </c>
      <c r="E401" t="e">
        <f>IF($D$1="ESPN",INDEX(Table2[Position],MATCH('Rankings Master'!$A401,Table2[Overall Rank],0)),IF('Rankings Master'!$D$1="NFL.com",INDEX(Table3[Position],MATCH('Rankings Master'!$A401,Table3[Rank],0)),INDEX(Sleeper!$C$2:$C$201,MATCH('Rankings Master'!A401,Sleeper!$A$2:$A$201,0))))</f>
        <v>#N/A</v>
      </c>
      <c r="F401" t="e">
        <f>INDEX(Table4[RK],MATCH('Rankings Master'!D401,Table4[PLAYER NAME],0))</f>
        <v>#N/A</v>
      </c>
      <c r="G401" t="e">
        <f t="shared" si="44"/>
        <v>#N/A</v>
      </c>
      <c r="H401" t="e">
        <f t="shared" si="45"/>
        <v>#N/A</v>
      </c>
      <c r="I401" t="e">
        <f t="shared" si="43"/>
        <v>#N/A</v>
      </c>
      <c r="J401" t="str">
        <f t="shared" si="46"/>
        <v/>
      </c>
      <c r="M401" t="str">
        <f>IFERROR(INDEX(PlayerSummaryTable[Rushing Yds],MATCH('Rankings Master'!D401,PlayerSummaryTable[Player],0)),"")</f>
        <v/>
      </c>
      <c r="N401" t="str">
        <f>IFERROR(INDEX(PlayerSummaryTable[Receiving Yds],MATCH('Rankings Master'!D401,PlayerSummaryTable[Player],0)),"")</f>
        <v/>
      </c>
      <c r="O401" t="str">
        <f>IFERROR(INDEX(PlayerSummaryTable[Passing Yds],MATCH('Rankings Master'!D401,PlayerSummaryTable[Player],0)),"")</f>
        <v/>
      </c>
      <c r="U401" t="str">
        <f>IF(COUNTIF('Draft Log'!$B$2:$B$301,D401)&gt;0,"DRAFTED","")</f>
        <v/>
      </c>
      <c r="V401" t="str">
        <f>IFERROR(INDEX('Draft Log'!$A$2:$A$301,MATCH(D401,'Draft Log'!$B$2:$B$301,0)),"")</f>
        <v/>
      </c>
      <c r="W401" t="str">
        <f>IFERROR(INDEX('Draft Log'!$C$2:$C$301,MATCH(D401,'Draft Log'!$B$2:$B$301,0)),"")</f>
        <v/>
      </c>
    </row>
    <row r="402" spans="1:23">
      <c r="A402">
        <f t="shared" si="47"/>
        <v>399</v>
      </c>
      <c r="D402" t="e">
        <f>IF($D$1="ESPN",INDEX(Table2[Mapped Name],MATCH('Rankings Master'!$A402,Table2[Overall Rank],0)),IF('Rankings Master'!$D$1="NFL.com",INDEX(Table3[Name Clean],MATCH('Rankings Master'!$A402,Table3[Rank],0)),IF('Rankings Master'!$D$1="Sleeper",INDEX(Sleeper!$B$2:$B$201,MATCH('Rankings Master'!$A402,Sleeper!$A$2:$A$201,0)),"Need platform")))</f>
        <v>#N/A</v>
      </c>
      <c r="E402" t="e">
        <f>IF($D$1="ESPN",INDEX(Table2[Position],MATCH('Rankings Master'!$A402,Table2[Overall Rank],0)),IF('Rankings Master'!$D$1="NFL.com",INDEX(Table3[Position],MATCH('Rankings Master'!$A402,Table3[Rank],0)),INDEX(Sleeper!$C$2:$C$201,MATCH('Rankings Master'!A402,Sleeper!$A$2:$A$201,0))))</f>
        <v>#N/A</v>
      </c>
      <c r="F402" t="e">
        <f>INDEX(Table4[RK],MATCH('Rankings Master'!D402,Table4[PLAYER NAME],0))</f>
        <v>#N/A</v>
      </c>
      <c r="G402" t="e">
        <f t="shared" si="44"/>
        <v>#N/A</v>
      </c>
      <c r="H402" t="e">
        <f t="shared" si="45"/>
        <v>#N/A</v>
      </c>
      <c r="I402" t="e">
        <f t="shared" si="43"/>
        <v>#N/A</v>
      </c>
      <c r="J402" t="str">
        <f t="shared" si="46"/>
        <v/>
      </c>
      <c r="M402" t="str">
        <f>IFERROR(INDEX(PlayerSummaryTable[Rushing Yds],MATCH('Rankings Master'!D402,PlayerSummaryTable[Player],0)),"")</f>
        <v/>
      </c>
      <c r="N402" t="str">
        <f>IFERROR(INDEX(PlayerSummaryTable[Receiving Yds],MATCH('Rankings Master'!D402,PlayerSummaryTable[Player],0)),"")</f>
        <v/>
      </c>
      <c r="O402" t="str">
        <f>IFERROR(INDEX(PlayerSummaryTable[Passing Yds],MATCH('Rankings Master'!D402,PlayerSummaryTable[Player],0)),"")</f>
        <v/>
      </c>
      <c r="U402" t="str">
        <f>IF(COUNTIF('Draft Log'!$B$2:$B$301,D402)&gt;0,"DRAFTED","")</f>
        <v/>
      </c>
      <c r="V402" t="str">
        <f>IFERROR(INDEX('Draft Log'!$A$2:$A$301,MATCH(D402,'Draft Log'!$B$2:$B$301,0)),"")</f>
        <v/>
      </c>
      <c r="W402" t="str">
        <f>IFERROR(INDEX('Draft Log'!$C$2:$C$301,MATCH(D402,'Draft Log'!$B$2:$B$301,0)),"")</f>
        <v/>
      </c>
    </row>
  </sheetData>
  <autoFilter ref="A3:N402" xr:uid="{00000000-0001-0000-0100-000000000000}"/>
  <conditionalFormatting sqref="A5:C198 A199:A203 F5:I203 A4:J4 D5:E402 J5:J402">
    <cfRule type="expression" dxfId="21" priority="15">
      <formula>$J4="M"</formula>
    </cfRule>
  </conditionalFormatting>
  <conditionalFormatting sqref="A5:C198 A199:A203">
    <cfRule type="expression" dxfId="20" priority="14">
      <formula>$J5="Y"</formula>
    </cfRule>
  </conditionalFormatting>
  <conditionalFormatting sqref="A4:J4 F5:I203 D5:E402 J5:J402 G204:I402">
    <cfRule type="expression" dxfId="19" priority="16">
      <formula>$J4="Y"</formula>
    </cfRule>
  </conditionalFormatting>
  <conditionalFormatting sqref="F5:F402">
    <cfRule type="expression" dxfId="18" priority="12">
      <formula>$J5="Y"</formula>
    </cfRule>
  </conditionalFormatting>
  <conditionalFormatting sqref="F204:I402">
    <cfRule type="expression" dxfId="17" priority="11">
      <formula>$J204="M"</formula>
    </cfRule>
  </conditionalFormatting>
  <conditionalFormatting sqref="G1">
    <cfRule type="expression" dxfId="16" priority="13">
      <formula>$U1="DRAFTED"</formula>
    </cfRule>
  </conditionalFormatting>
  <conditionalFormatting sqref="AA4:AD4">
    <cfRule type="top10" dxfId="15" priority="10" bottom="1" rank="1"/>
  </conditionalFormatting>
  <conditionalFormatting sqref="AA5:AD5">
    <cfRule type="top10" dxfId="14" priority="9" bottom="1" rank="1"/>
  </conditionalFormatting>
  <conditionalFormatting sqref="AA6:AD6">
    <cfRule type="top10" dxfId="13" priority="8" bottom="1" rank="1"/>
  </conditionalFormatting>
  <conditionalFormatting sqref="AA7:AD7">
    <cfRule type="top10" dxfId="12" priority="7" bottom="1" rank="1"/>
  </conditionalFormatting>
  <conditionalFormatting sqref="AA8:AD8">
    <cfRule type="top10" dxfId="11" priority="6" bottom="1" rank="1"/>
  </conditionalFormatting>
  <conditionalFormatting sqref="AA9:AD9">
    <cfRule type="top10" dxfId="10" priority="5" bottom="1" rank="1"/>
  </conditionalFormatting>
  <conditionalFormatting sqref="AA10:AD10">
    <cfRule type="top10" dxfId="9" priority="4" bottom="1" rank="1"/>
  </conditionalFormatting>
  <conditionalFormatting sqref="AA11:AD11">
    <cfRule type="top10" dxfId="8" priority="3" bottom="1" rank="1"/>
  </conditionalFormatting>
  <conditionalFormatting sqref="AA12:AD12">
    <cfRule type="top10" dxfId="7" priority="2" bottom="1" rank="1"/>
  </conditionalFormatting>
  <conditionalFormatting sqref="AA13:AD13">
    <cfRule type="top10" dxfId="6" priority="1" bottom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1"/>
  <sheetViews>
    <sheetView workbookViewId="0"/>
  </sheetViews>
  <sheetFormatPr defaultRowHeight="14.5"/>
  <cols>
    <col min="2" max="3" width="32.90625" hidden="1" customWidth="1"/>
    <col min="4" max="5" width="19.08984375" customWidth="1"/>
    <col min="6" max="6" width="19.6328125" customWidth="1"/>
    <col min="7" max="7" width="15.6328125" customWidth="1"/>
    <col min="8" max="9" width="13.54296875" customWidth="1"/>
    <col min="12" max="12" width="0" hidden="1" customWidth="1"/>
    <col min="17" max="17" width="8.7265625" hidden="1" customWidth="1"/>
    <col min="19" max="19" width="10.36328125" customWidth="1"/>
  </cols>
  <sheetData>
    <row r="1" spans="1:19">
      <c r="A1" t="s">
        <v>502</v>
      </c>
      <c r="B1" t="s">
        <v>503</v>
      </c>
      <c r="C1" t="s">
        <v>504</v>
      </c>
      <c r="D1" t="s">
        <v>1204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  <c r="J1" t="s">
        <v>511</v>
      </c>
      <c r="K1" t="s">
        <v>506</v>
      </c>
      <c r="L1" t="s">
        <v>512</v>
      </c>
      <c r="M1" t="s">
        <v>513</v>
      </c>
      <c r="Q1" t="s">
        <v>512</v>
      </c>
      <c r="R1" t="s">
        <v>515</v>
      </c>
      <c r="S1" t="s">
        <v>503</v>
      </c>
    </row>
    <row r="2" spans="1:19" hidden="1">
      <c r="A2" s="1">
        <v>1</v>
      </c>
      <c r="B2" t="s">
        <v>516</v>
      </c>
      <c r="C2" t="s">
        <v>517</v>
      </c>
      <c r="D2" t="s">
        <v>4</v>
      </c>
      <c r="E2" t="str">
        <f>INDEX('NFL.com rankings drop'!$E$2:$E$201,MATCH('NFL.com Rankings'!D2,'NFL.com rankings drop'!$D$2:$D$201,0))</f>
        <v>WR</v>
      </c>
      <c r="F2">
        <f>INDEX('Fantasy Pros Standard Rankings'!$A$2:$A$561,MATCH('NFL.com Rankings'!D2,'Fantasy Pros Standard Rankings'!$B$2:$B$561,0))</f>
        <v>2</v>
      </c>
      <c r="G2">
        <f>A2-F2</f>
        <v>-1</v>
      </c>
      <c r="H2">
        <f>G2/F2</f>
        <v>-0.5</v>
      </c>
      <c r="I2" t="str">
        <f>IF(AND(H2 &gt; -1, H2 &lt;= -0.5), "Extremely Overvalued",
IF(AND(H2 &gt; -0.5, H2 &lt;= -0.15), "Pretty Overvalued",
IF(AND(H2 &gt; -0.15, H2 &lt; 0), "Slightly Overvalued",
IF(H2 = 0, "At ADP",
IF(AND(H2 &gt; 0, H2 &lt;= 0.15), "Slightly Undervalued",
IF(AND(H2 &gt; 0.15, H2 &lt;= 0.5), "Pretty Undervalued",
IF(AND(H2 &gt; 0.5, H2 &lt;= 1), "Extremely Undervalued", "")))))))</f>
        <v>Extremely Overvalued</v>
      </c>
      <c r="K2">
        <f>IF(E2="QB",1,IF(E2="RB",2,IF(E2="WR",3,IF(E2="TE",4,IF(E2="K",5,"Check")))))</f>
        <v>3</v>
      </c>
      <c r="L2" t="str">
        <f>IF(J2="M",COUNTIFS($J$2:J2,"M",$E$2:E2,"RB")&amp;" - "&amp;K2,"N/A")</f>
        <v>N/A</v>
      </c>
      <c r="M2">
        <v>1100.5</v>
      </c>
      <c r="N2">
        <v>500.5</v>
      </c>
      <c r="Q2" s="2" t="str">
        <f>"1 - 1"</f>
        <v>1 - 1</v>
      </c>
      <c r="R2" t="s">
        <v>518</v>
      </c>
      <c r="S2" t="str">
        <f>IFERROR(INDEX($D$2:$D$201,MATCH(Q2,$L$2:$L$201,0)),"")</f>
        <v/>
      </c>
    </row>
    <row r="3" spans="1:19" hidden="1">
      <c r="A3" s="1">
        <v>2</v>
      </c>
      <c r="B3" t="s">
        <v>519</v>
      </c>
      <c r="C3" t="s">
        <v>520</v>
      </c>
      <c r="D3" t="s">
        <v>10</v>
      </c>
      <c r="E3" t="str">
        <f>INDEX('NFL.com rankings drop'!$E$2:$E$201,MATCH('NFL.com Rankings'!D3,'NFL.com rankings drop'!$D$2:$D$201,0))</f>
        <v>WR</v>
      </c>
      <c r="F3">
        <f>INDEX('Fantasy Pros Standard Rankings'!$A$2:$A$561,MATCH('NFL.com Rankings'!D3,'Fantasy Pros Standard Rankings'!$B$2:$B$561,0))</f>
        <v>10</v>
      </c>
      <c r="G3">
        <f t="shared" ref="G3:G66" si="0">A3-F3</f>
        <v>-8</v>
      </c>
      <c r="H3">
        <f t="shared" ref="H3:H66" si="1">G3/F3</f>
        <v>-0.8</v>
      </c>
      <c r="I3" t="str">
        <f t="shared" ref="I3:I66" si="2">IF(AND(H3 &gt; -1, H3 &lt;= -0.5), "Extremely Overvalued",
IF(AND(H3 &gt; -0.5, H3 &lt;= -0.15), "Pretty Overvalued",
IF(AND(H3 &gt; -0.15, H3 &lt; 0), "Slightly Overvalued",
IF(H3 = 0, "At ADP",
IF(AND(H3 &gt; 0, H3 &lt;= 0.15), "Slightly Undervalued",
IF(AND(H3 &gt; 0.15, H3 &lt;= 0.5), "Pretty Undervalued",
IF(AND(H3 &gt; 0.5, H3 &lt;= 1), "Extremely Undervalued", "")))))))</f>
        <v>Extremely Overvalued</v>
      </c>
      <c r="K3">
        <f t="shared" ref="K3:K66" si="3">IF(E3="QB",1,IF(E3="RB",2,IF(E3="WR",3,IF(E3="TE",4,IF(E3="K",5,"Check")))))</f>
        <v>3</v>
      </c>
      <c r="L3" t="str">
        <f>IF(J3="M",COUNTIFS($J$1:J3,"M",$E$1:E3,"WR")&amp;" - "&amp;K3,"N/A")</f>
        <v>N/A</v>
      </c>
      <c r="N3">
        <v>1325.5</v>
      </c>
      <c r="Q3" t="str">
        <f>"2 - 1"</f>
        <v>2 - 1</v>
      </c>
      <c r="R3" t="s">
        <v>521</v>
      </c>
      <c r="S3" t="str">
        <f t="shared" ref="S3:S17" si="4">IFERROR(INDEX($D$2:$D$196,MATCH(Q3,$L$2:$L$196,0)),"")</f>
        <v/>
      </c>
    </row>
    <row r="4" spans="1:19" hidden="1">
      <c r="A4" s="1">
        <v>3</v>
      </c>
      <c r="B4" t="s">
        <v>522</v>
      </c>
      <c r="C4" t="s">
        <v>523</v>
      </c>
      <c r="D4" t="s">
        <v>9</v>
      </c>
      <c r="E4" t="str">
        <f>INDEX('NFL.com rankings drop'!$E$2:$E$201,MATCH('NFL.com Rankings'!D4,'NFL.com rankings drop'!$D$2:$D$201,0))</f>
        <v>WR</v>
      </c>
      <c r="F4">
        <f>INDEX('Fantasy Pros Standard Rankings'!$A$2:$A$561,MATCH('NFL.com Rankings'!D4,'Fantasy Pros Standard Rankings'!$B$2:$B$561,0))</f>
        <v>11</v>
      </c>
      <c r="G4">
        <f t="shared" si="0"/>
        <v>-8</v>
      </c>
      <c r="H4">
        <f t="shared" si="1"/>
        <v>-0.72727272727272729</v>
      </c>
      <c r="I4" t="str">
        <f t="shared" si="2"/>
        <v>Extremely Overvalued</v>
      </c>
      <c r="K4">
        <f t="shared" si="3"/>
        <v>3</v>
      </c>
      <c r="L4" t="str">
        <f>IF(J4="M",COUNTIFS($J$1:J4,"M",$E$1:E4,"WR")&amp;" - "&amp;K4,"N/A")</f>
        <v>N/A</v>
      </c>
      <c r="Q4" t="str">
        <f>"3 - 1"</f>
        <v>3 - 1</v>
      </c>
      <c r="R4" t="s">
        <v>524</v>
      </c>
      <c r="S4" t="str">
        <f t="shared" si="4"/>
        <v/>
      </c>
    </row>
    <row r="5" spans="1:19">
      <c r="A5" s="1">
        <v>4</v>
      </c>
      <c r="B5" t="s">
        <v>525</v>
      </c>
      <c r="C5" t="s">
        <v>526</v>
      </c>
      <c r="D5" t="s">
        <v>6</v>
      </c>
      <c r="E5" t="str">
        <f>INDEX('NFL.com rankings drop'!$E$2:$E$201,MATCH('NFL.com Rankings'!D5,'NFL.com rankings drop'!$D$2:$D$201,0))</f>
        <v>RB</v>
      </c>
      <c r="F5">
        <f>INDEX('Fantasy Pros Standard Rankings'!$A$2:$A$561,MATCH('NFL.com Rankings'!D5,'Fantasy Pros Standard Rankings'!$B$2:$B$561,0))</f>
        <v>3</v>
      </c>
      <c r="G5">
        <f t="shared" si="0"/>
        <v>1</v>
      </c>
      <c r="H5">
        <f t="shared" si="1"/>
        <v>0.33333333333333331</v>
      </c>
      <c r="I5" t="str">
        <f t="shared" si="2"/>
        <v>Pretty Undervalued</v>
      </c>
      <c r="K5">
        <f t="shared" si="3"/>
        <v>2</v>
      </c>
      <c r="L5" t="str">
        <f>IF(J5="M",COUNTIFS($J$1:J5,"M",$E$1:E5,"WR")&amp;" - "&amp;K5,"N/A")</f>
        <v>N/A</v>
      </c>
      <c r="N5">
        <v>1250.5</v>
      </c>
      <c r="Q5" t="str">
        <f>"1 - 2"</f>
        <v>1 - 2</v>
      </c>
      <c r="R5" t="s">
        <v>527</v>
      </c>
      <c r="S5" t="str">
        <f t="shared" si="4"/>
        <v/>
      </c>
    </row>
    <row r="6" spans="1:19">
      <c r="A6" s="1">
        <v>5</v>
      </c>
      <c r="B6" t="s">
        <v>528</v>
      </c>
      <c r="C6" t="s">
        <v>529</v>
      </c>
      <c r="D6" t="s">
        <v>7</v>
      </c>
      <c r="E6" t="str">
        <f>INDEX('NFL.com rankings drop'!$E$2:$E$201,MATCH('NFL.com Rankings'!D6,'NFL.com rankings drop'!$D$2:$D$201,0))</f>
        <v>RB</v>
      </c>
      <c r="F6">
        <f>INDEX('Fantasy Pros Standard Rankings'!$A$2:$A$561,MATCH('NFL.com Rankings'!D6,'Fantasy Pros Standard Rankings'!$B$2:$B$561,0))</f>
        <v>15</v>
      </c>
      <c r="G6">
        <f t="shared" si="0"/>
        <v>-10</v>
      </c>
      <c r="H6">
        <f t="shared" si="1"/>
        <v>-0.66666666666666663</v>
      </c>
      <c r="I6" t="str">
        <f t="shared" si="2"/>
        <v>Extremely Overvalued</v>
      </c>
      <c r="K6">
        <f t="shared" si="3"/>
        <v>2</v>
      </c>
      <c r="L6" t="str">
        <f>IF(J6="M",COUNTIFS($J$1:J6,"M",$E$1:E6,"WR")&amp;" - "&amp;K6,"N/A")</f>
        <v>N/A</v>
      </c>
      <c r="N6">
        <v>1250.5</v>
      </c>
      <c r="Q6" t="str">
        <f>"2 - 2"</f>
        <v>2 - 2</v>
      </c>
      <c r="R6" t="s">
        <v>530</v>
      </c>
      <c r="S6" t="str">
        <f t="shared" si="4"/>
        <v/>
      </c>
    </row>
    <row r="7" spans="1:19" hidden="1">
      <c r="A7" s="1">
        <v>6</v>
      </c>
      <c r="B7" t="s">
        <v>531</v>
      </c>
      <c r="C7" t="s">
        <v>532</v>
      </c>
      <c r="D7" t="s">
        <v>11</v>
      </c>
      <c r="E7" t="str">
        <f>INDEX('NFL.com rankings drop'!$E$2:$E$201,MATCH('NFL.com Rankings'!D7,'NFL.com rankings drop'!$D$2:$D$201,0))</f>
        <v>RB</v>
      </c>
      <c r="F7">
        <f>INDEX('Fantasy Pros Standard Rankings'!$A$2:$A$561,MATCH('NFL.com Rankings'!D7,'Fantasy Pros Standard Rankings'!$B$2:$B$561,0))</f>
        <v>1</v>
      </c>
      <c r="G7">
        <f t="shared" si="0"/>
        <v>5</v>
      </c>
      <c r="H7">
        <f t="shared" si="1"/>
        <v>5</v>
      </c>
      <c r="I7" t="str">
        <f t="shared" si="2"/>
        <v/>
      </c>
      <c r="K7">
        <f t="shared" si="3"/>
        <v>2</v>
      </c>
      <c r="L7" t="str">
        <f>IF(J7="M",COUNTIFS($J$1:J7,"M",$E$1:E7,"WR")&amp;" - "&amp;K7,"N/A")</f>
        <v>N/A</v>
      </c>
      <c r="N7">
        <v>1300.5</v>
      </c>
      <c r="Q7" t="str">
        <f>"3 - 2"</f>
        <v>3 - 2</v>
      </c>
      <c r="R7" t="s">
        <v>533</v>
      </c>
      <c r="S7" t="str">
        <f t="shared" si="4"/>
        <v/>
      </c>
    </row>
    <row r="8" spans="1:19" hidden="1">
      <c r="A8" s="1">
        <v>7</v>
      </c>
      <c r="B8" t="s">
        <v>534</v>
      </c>
      <c r="C8" t="s">
        <v>535</v>
      </c>
      <c r="D8" t="s">
        <v>14</v>
      </c>
      <c r="E8" t="str">
        <f>INDEX('NFL.com rankings drop'!$E$2:$E$201,MATCH('NFL.com Rankings'!D8,'NFL.com rankings drop'!$D$2:$D$201,0))</f>
        <v>WR</v>
      </c>
      <c r="F8">
        <f>INDEX('Fantasy Pros Standard Rankings'!$A$2:$A$561,MATCH('NFL.com Rankings'!D8,'Fantasy Pros Standard Rankings'!$B$2:$B$561,0))</f>
        <v>4</v>
      </c>
      <c r="G8">
        <f t="shared" si="0"/>
        <v>3</v>
      </c>
      <c r="H8">
        <f t="shared" si="1"/>
        <v>0.75</v>
      </c>
      <c r="I8" t="str">
        <f t="shared" si="2"/>
        <v>Extremely Undervalued</v>
      </c>
      <c r="K8">
        <f t="shared" si="3"/>
        <v>3</v>
      </c>
      <c r="L8" t="str">
        <f>IF(J8="M",COUNTIFS($J$2:J8,"M",$E$2:E8,"RB")&amp;" - "&amp;K8,"N/A")</f>
        <v>N/A</v>
      </c>
      <c r="M8">
        <v>1025.5</v>
      </c>
      <c r="Q8" t="str">
        <f>"4 - 2"</f>
        <v>4 - 2</v>
      </c>
      <c r="R8" t="s">
        <v>536</v>
      </c>
      <c r="S8" t="str">
        <f t="shared" si="4"/>
        <v/>
      </c>
    </row>
    <row r="9" spans="1:19" hidden="1">
      <c r="A9" s="1">
        <v>8</v>
      </c>
      <c r="B9" t="s">
        <v>537</v>
      </c>
      <c r="C9" t="s">
        <v>538</v>
      </c>
      <c r="D9" t="s">
        <v>15</v>
      </c>
      <c r="E9" t="str">
        <f>INDEX('NFL.com rankings drop'!$E$2:$E$201,MATCH('NFL.com Rankings'!D9,'NFL.com rankings drop'!$D$2:$D$201,0))</f>
        <v>WR</v>
      </c>
      <c r="F9">
        <f>INDEX('Fantasy Pros Standard Rankings'!$A$2:$A$561,MATCH('NFL.com Rankings'!D9,'Fantasy Pros Standard Rankings'!$B$2:$B$561,0))</f>
        <v>26</v>
      </c>
      <c r="G9">
        <f t="shared" si="0"/>
        <v>-18</v>
      </c>
      <c r="H9">
        <f t="shared" si="1"/>
        <v>-0.69230769230769229</v>
      </c>
      <c r="I9" t="str">
        <f t="shared" si="2"/>
        <v>Extremely Overvalued</v>
      </c>
      <c r="K9">
        <f t="shared" si="3"/>
        <v>3</v>
      </c>
      <c r="L9" t="str">
        <f>IF(J9="M",COUNTIFS($J$2:J9,"M",$E$2:E9,"RB")&amp;" - "&amp;K9,"N/A")</f>
        <v>N/A</v>
      </c>
      <c r="M9">
        <v>1025.5</v>
      </c>
      <c r="Q9" t="str">
        <f>"5 - 2"</f>
        <v>5 - 2</v>
      </c>
      <c r="R9" t="s">
        <v>539</v>
      </c>
      <c r="S9" t="str">
        <f t="shared" si="4"/>
        <v/>
      </c>
    </row>
    <row r="10" spans="1:19" hidden="1">
      <c r="A10" s="1">
        <v>9</v>
      </c>
      <c r="B10" t="s">
        <v>540</v>
      </c>
      <c r="C10" t="s">
        <v>541</v>
      </c>
      <c r="D10" t="s">
        <v>17</v>
      </c>
      <c r="E10" t="str">
        <f>INDEX('NFL.com rankings drop'!$E$2:$E$201,MATCH('NFL.com Rankings'!D10,'NFL.com rankings drop'!$D$2:$D$201,0))</f>
        <v>WR</v>
      </c>
      <c r="F10">
        <f>INDEX('Fantasy Pros Standard Rankings'!$A$2:$A$561,MATCH('NFL.com Rankings'!D10,'Fantasy Pros Standard Rankings'!$B$2:$B$561,0))</f>
        <v>6</v>
      </c>
      <c r="G10">
        <f t="shared" si="0"/>
        <v>3</v>
      </c>
      <c r="H10">
        <f t="shared" si="1"/>
        <v>0.5</v>
      </c>
      <c r="I10" t="str">
        <f t="shared" si="2"/>
        <v>Pretty Undervalued</v>
      </c>
      <c r="K10">
        <f t="shared" si="3"/>
        <v>3</v>
      </c>
      <c r="L10" t="str">
        <f>IF(J10="M",COUNTIFS($J$1:J10,"M",$E$1:E10,"WR")&amp;" - "&amp;K10,"N/A")</f>
        <v>N/A</v>
      </c>
      <c r="N10">
        <v>1225.5</v>
      </c>
      <c r="Q10" t="str">
        <f>"6 - 2"</f>
        <v>6 - 2</v>
      </c>
      <c r="R10" t="s">
        <v>542</v>
      </c>
      <c r="S10" t="str">
        <f t="shared" si="4"/>
        <v/>
      </c>
    </row>
    <row r="11" spans="1:19" hidden="1">
      <c r="A11" s="1">
        <v>10</v>
      </c>
      <c r="B11" t="s">
        <v>543</v>
      </c>
      <c r="C11" t="s">
        <v>544</v>
      </c>
      <c r="D11" t="s">
        <v>16</v>
      </c>
      <c r="E11" t="str">
        <f>INDEX('NFL.com rankings drop'!$E$2:$E$201,MATCH('NFL.com Rankings'!D11,'NFL.com rankings drop'!$D$2:$D$201,0))</f>
        <v>WR</v>
      </c>
      <c r="F11">
        <f>INDEX('Fantasy Pros Standard Rankings'!$A$2:$A$561,MATCH('NFL.com Rankings'!D11,'Fantasy Pros Standard Rankings'!$B$2:$B$561,0))</f>
        <v>75</v>
      </c>
      <c r="G11">
        <f t="shared" si="0"/>
        <v>-65</v>
      </c>
      <c r="H11">
        <f t="shared" si="1"/>
        <v>-0.8666666666666667</v>
      </c>
      <c r="I11" t="str">
        <f t="shared" si="2"/>
        <v>Extremely Overvalued</v>
      </c>
      <c r="K11">
        <f t="shared" si="3"/>
        <v>3</v>
      </c>
      <c r="L11" t="str">
        <f>IF(J11="M",COUNTIFS($J$1:J11,"M",$E$1:E11,"WR")&amp;" - "&amp;K11,"N/A")</f>
        <v>N/A</v>
      </c>
      <c r="Q11" t="str">
        <f>"1 - 3"</f>
        <v>1 - 3</v>
      </c>
      <c r="R11" t="s">
        <v>545</v>
      </c>
      <c r="S11" t="str">
        <f t="shared" si="4"/>
        <v/>
      </c>
    </row>
    <row r="12" spans="1:19" hidden="1">
      <c r="A12" s="1">
        <v>11</v>
      </c>
      <c r="B12" t="s">
        <v>546</v>
      </c>
      <c r="C12" t="s">
        <v>547</v>
      </c>
      <c r="D12" t="s">
        <v>23</v>
      </c>
      <c r="E12" t="str">
        <f>INDEX('NFL.com rankings drop'!$E$2:$E$201,MATCH('NFL.com Rankings'!D12,'NFL.com rankings drop'!$D$2:$D$201,0))</f>
        <v>RB</v>
      </c>
      <c r="F12">
        <f>INDEX('Fantasy Pros Standard Rankings'!$A$2:$A$561,MATCH('NFL.com Rankings'!D12,'Fantasy Pros Standard Rankings'!$B$2:$B$561,0))</f>
        <v>23</v>
      </c>
      <c r="G12">
        <f t="shared" si="0"/>
        <v>-12</v>
      </c>
      <c r="H12">
        <f t="shared" si="1"/>
        <v>-0.52173913043478259</v>
      </c>
      <c r="I12" t="str">
        <f t="shared" si="2"/>
        <v>Extremely Overvalued</v>
      </c>
      <c r="K12">
        <f t="shared" si="3"/>
        <v>2</v>
      </c>
      <c r="L12" t="str">
        <f>IF(J12="M",COUNTIFS($J$1:J12,"M",$E$1:E12,"WR")&amp;" - "&amp;K12,"N/A")</f>
        <v>N/A</v>
      </c>
      <c r="N12">
        <v>1125.5</v>
      </c>
      <c r="Q12" t="str">
        <f>"2 - 3"</f>
        <v>2 - 3</v>
      </c>
      <c r="R12" t="s">
        <v>548</v>
      </c>
      <c r="S12" t="str">
        <f t="shared" si="4"/>
        <v/>
      </c>
    </row>
    <row r="13" spans="1:19">
      <c r="A13" s="1">
        <v>12</v>
      </c>
      <c r="B13" t="s">
        <v>549</v>
      </c>
      <c r="C13" t="s">
        <v>550</v>
      </c>
      <c r="D13" t="s">
        <v>12</v>
      </c>
      <c r="E13" t="str">
        <f>INDEX('NFL.com rankings drop'!$E$2:$E$201,MATCH('NFL.com Rankings'!D13,'NFL.com rankings drop'!$D$2:$D$201,0))</f>
        <v>RB</v>
      </c>
      <c r="F13">
        <f>INDEX('Fantasy Pros Standard Rankings'!$A$2:$A$561,MATCH('NFL.com Rankings'!D13,'Fantasy Pros Standard Rankings'!$B$2:$B$561,0))</f>
        <v>14</v>
      </c>
      <c r="G13">
        <f t="shared" si="0"/>
        <v>-2</v>
      </c>
      <c r="H13">
        <f t="shared" si="1"/>
        <v>-0.14285714285714285</v>
      </c>
      <c r="I13" t="str">
        <f t="shared" si="2"/>
        <v>Slightly Overvalued</v>
      </c>
      <c r="K13">
        <f t="shared" si="3"/>
        <v>2</v>
      </c>
      <c r="L13" t="str">
        <f>IF(J13="M",COUNTIFS($J$2:J13,"M",$E$2:E13,"RB")&amp;" - "&amp;K13,"N/A")</f>
        <v>N/A</v>
      </c>
      <c r="M13">
        <v>1000.5</v>
      </c>
      <c r="Q13" t="str">
        <f>"3 - 3"</f>
        <v>3 - 3</v>
      </c>
      <c r="R13" t="s">
        <v>551</v>
      </c>
      <c r="S13" t="str">
        <f t="shared" si="4"/>
        <v/>
      </c>
    </row>
    <row r="14" spans="1:19" hidden="1">
      <c r="A14" s="1">
        <v>13</v>
      </c>
      <c r="B14" t="s">
        <v>552</v>
      </c>
      <c r="C14" t="s">
        <v>553</v>
      </c>
      <c r="D14" t="s">
        <v>19</v>
      </c>
      <c r="E14" t="str">
        <f>INDEX('NFL.com rankings drop'!$E$2:$E$201,MATCH('NFL.com Rankings'!D14,'NFL.com rankings drop'!$D$2:$D$201,0))</f>
        <v>RB</v>
      </c>
      <c r="F14">
        <f>INDEX('Fantasy Pros Standard Rankings'!$A$2:$A$561,MATCH('NFL.com Rankings'!D14,'Fantasy Pros Standard Rankings'!$B$2:$B$561,0))</f>
        <v>31</v>
      </c>
      <c r="G14">
        <f t="shared" si="0"/>
        <v>-18</v>
      </c>
      <c r="H14">
        <f t="shared" si="1"/>
        <v>-0.58064516129032262</v>
      </c>
      <c r="I14" t="str">
        <f t="shared" si="2"/>
        <v>Extremely Overvalued</v>
      </c>
      <c r="K14">
        <f t="shared" si="3"/>
        <v>2</v>
      </c>
      <c r="L14" t="str">
        <f>IF(J14="M",COUNTIFS($J$2:J14,"M",$E$2:E14,"RB")&amp;" - "&amp;K14,"N/A")</f>
        <v>N/A</v>
      </c>
      <c r="M14">
        <v>1050.5</v>
      </c>
      <c r="Q14" t="str">
        <f>"4 - 3"</f>
        <v>4 - 3</v>
      </c>
      <c r="R14" t="s">
        <v>554</v>
      </c>
      <c r="S14" t="str">
        <f t="shared" si="4"/>
        <v/>
      </c>
    </row>
    <row r="15" spans="1:19" hidden="1">
      <c r="A15" s="1">
        <v>14</v>
      </c>
      <c r="B15" t="s">
        <v>555</v>
      </c>
      <c r="C15" t="s">
        <v>556</v>
      </c>
      <c r="D15" t="s">
        <v>20</v>
      </c>
      <c r="E15" t="str">
        <f>INDEX('NFL.com rankings drop'!$E$2:$E$201,MATCH('NFL.com Rankings'!D15,'NFL.com rankings drop'!$D$2:$D$201,0))</f>
        <v>WR</v>
      </c>
      <c r="F15">
        <f>INDEX('Fantasy Pros Standard Rankings'!$A$2:$A$561,MATCH('NFL.com Rankings'!D15,'Fantasy Pros Standard Rankings'!$B$2:$B$561,0))</f>
        <v>12</v>
      </c>
      <c r="G15">
        <f t="shared" si="0"/>
        <v>2</v>
      </c>
      <c r="H15">
        <f t="shared" si="1"/>
        <v>0.16666666666666666</v>
      </c>
      <c r="I15" t="str">
        <f t="shared" si="2"/>
        <v>Pretty Undervalued</v>
      </c>
      <c r="K15">
        <f t="shared" si="3"/>
        <v>3</v>
      </c>
      <c r="L15" t="str">
        <f>IF(J15="M",COUNTIFS($J$2:J15,"M",$E$2:E15,"RB")&amp;" - "&amp;K15,"N/A")</f>
        <v>N/A</v>
      </c>
      <c r="M15">
        <v>825.5</v>
      </c>
      <c r="Q15" t="str">
        <f>"5 - 3"</f>
        <v>5 - 3</v>
      </c>
      <c r="R15" t="s">
        <v>557</v>
      </c>
      <c r="S15" t="str">
        <f t="shared" si="4"/>
        <v/>
      </c>
    </row>
    <row r="16" spans="1:19" hidden="1">
      <c r="A16" s="1">
        <v>15</v>
      </c>
      <c r="B16" t="s">
        <v>558</v>
      </c>
      <c r="C16" t="s">
        <v>559</v>
      </c>
      <c r="D16" t="s">
        <v>18</v>
      </c>
      <c r="E16" t="str">
        <f>INDEX('NFL.com rankings drop'!$E$2:$E$201,MATCH('NFL.com Rankings'!D16,'NFL.com rankings drop'!$D$2:$D$201,0))</f>
        <v>RB</v>
      </c>
      <c r="F16">
        <f>INDEX('Fantasy Pros Standard Rankings'!$A$2:$A$561,MATCH('NFL.com Rankings'!D16,'Fantasy Pros Standard Rankings'!$B$2:$B$561,0))</f>
        <v>9</v>
      </c>
      <c r="G16">
        <f t="shared" si="0"/>
        <v>6</v>
      </c>
      <c r="H16">
        <f t="shared" si="1"/>
        <v>0.66666666666666663</v>
      </c>
      <c r="I16" t="str">
        <f t="shared" si="2"/>
        <v>Extremely Undervalued</v>
      </c>
      <c r="K16">
        <f t="shared" si="3"/>
        <v>2</v>
      </c>
      <c r="L16" t="str">
        <f>IF(J16="M",COUNTIFS($J$1:J16,"M",$E$1:E16,"WR")&amp;" - "&amp;K16,"N/A")</f>
        <v>N/A</v>
      </c>
      <c r="Q16" t="str">
        <f>"6 - 4"</f>
        <v>6 - 4</v>
      </c>
      <c r="R16" t="s">
        <v>560</v>
      </c>
      <c r="S16" t="str">
        <f t="shared" si="4"/>
        <v/>
      </c>
    </row>
    <row r="17" spans="1:19">
      <c r="A17" s="1">
        <v>16</v>
      </c>
      <c r="B17" t="s">
        <v>561</v>
      </c>
      <c r="C17" t="s">
        <v>562</v>
      </c>
      <c r="D17" t="s">
        <v>13</v>
      </c>
      <c r="E17" t="str">
        <f>INDEX('NFL.com rankings drop'!$E$2:$E$201,MATCH('NFL.com Rankings'!D17,'NFL.com rankings drop'!$D$2:$D$201,0))</f>
        <v>WR</v>
      </c>
      <c r="F17">
        <f>INDEX('Fantasy Pros Standard Rankings'!$A$2:$A$561,MATCH('NFL.com Rankings'!D17,'Fantasy Pros Standard Rankings'!$B$2:$B$561,0))</f>
        <v>13</v>
      </c>
      <c r="G17">
        <f t="shared" si="0"/>
        <v>3</v>
      </c>
      <c r="H17">
        <f t="shared" si="1"/>
        <v>0.23076923076923078</v>
      </c>
      <c r="I17" t="str">
        <f t="shared" si="2"/>
        <v>Pretty Undervalued</v>
      </c>
      <c r="K17">
        <f t="shared" si="3"/>
        <v>3</v>
      </c>
      <c r="L17" t="str">
        <f>IF(J17="M",COUNTIFS($J$1:J17,"M",$E$1:E17,"WR")&amp;" - "&amp;K17,"N/A")</f>
        <v>N/A</v>
      </c>
      <c r="N17">
        <v>1050.5</v>
      </c>
      <c r="Q17" t="str">
        <f>"1  - 4"</f>
        <v>1  - 4</v>
      </c>
      <c r="R17" t="s">
        <v>563</v>
      </c>
      <c r="S17" t="str">
        <f t="shared" si="4"/>
        <v/>
      </c>
    </row>
    <row r="18" spans="1:19" hidden="1">
      <c r="A18" s="1">
        <v>17</v>
      </c>
      <c r="B18" t="s">
        <v>564</v>
      </c>
      <c r="C18" t="s">
        <v>565</v>
      </c>
      <c r="D18" t="s">
        <v>22</v>
      </c>
      <c r="E18" t="str">
        <f>INDEX('NFL.com rankings drop'!$E$2:$E$201,MATCH('NFL.com Rankings'!D18,'NFL.com rankings drop'!$D$2:$D$201,0))</f>
        <v>WR</v>
      </c>
      <c r="F18">
        <f>INDEX('Fantasy Pros Standard Rankings'!$A$2:$A$561,MATCH('NFL.com Rankings'!D18,'Fantasy Pros Standard Rankings'!$B$2:$B$561,0))</f>
        <v>17</v>
      </c>
      <c r="G18">
        <f t="shared" si="0"/>
        <v>0</v>
      </c>
      <c r="H18">
        <f t="shared" si="1"/>
        <v>0</v>
      </c>
      <c r="I18" t="str">
        <f t="shared" si="2"/>
        <v>At ADP</v>
      </c>
      <c r="K18">
        <f t="shared" si="3"/>
        <v>3</v>
      </c>
      <c r="L18" t="str">
        <f>IF(J18="M",COUNTIFS($J$1:J18,"M",$E$1:E18,"WR")&amp;" - "&amp;K18,"N/A")</f>
        <v>N/A</v>
      </c>
      <c r="N18">
        <v>1000.5</v>
      </c>
      <c r="Q18" t="str">
        <f>"2 - 4"</f>
        <v>2 - 4</v>
      </c>
      <c r="R18" t="s">
        <v>566</v>
      </c>
      <c r="S18" t="str">
        <f>IFERROR(INDEX($D$2:$D$196,MATCH(Q18,$L$2:$L$196,0)),"")</f>
        <v/>
      </c>
    </row>
    <row r="19" spans="1:19" hidden="1">
      <c r="A19" s="1">
        <v>18</v>
      </c>
      <c r="B19" t="s">
        <v>567</v>
      </c>
      <c r="C19" t="s">
        <v>568</v>
      </c>
      <c r="D19" t="s">
        <v>25</v>
      </c>
      <c r="E19" t="str">
        <f>INDEX('NFL.com rankings drop'!$E$2:$E$201,MATCH('NFL.com Rankings'!D19,'NFL.com rankings drop'!$D$2:$D$201,0))</f>
        <v>TE</v>
      </c>
      <c r="F19">
        <f>INDEX('Fantasy Pros Standard Rankings'!$A$2:$A$561,MATCH('NFL.com Rankings'!D19,'Fantasy Pros Standard Rankings'!$B$2:$B$561,0))</f>
        <v>16</v>
      </c>
      <c r="G19">
        <f t="shared" si="0"/>
        <v>2</v>
      </c>
      <c r="H19">
        <f t="shared" si="1"/>
        <v>0.125</v>
      </c>
      <c r="I19" t="str">
        <f t="shared" si="2"/>
        <v>Slightly Undervalued</v>
      </c>
      <c r="K19">
        <f t="shared" si="3"/>
        <v>4</v>
      </c>
      <c r="L19" t="str">
        <f>IF(J19="M",COUNTIFS($J$2:J19,"M",$E$2:E19,"RB")&amp;" - "&amp;K19,"N/A")</f>
        <v>N/A</v>
      </c>
      <c r="M19">
        <v>925.5</v>
      </c>
    </row>
    <row r="20" spans="1:19" hidden="1">
      <c r="A20" s="1">
        <v>19</v>
      </c>
      <c r="B20" t="s">
        <v>569</v>
      </c>
      <c r="C20" t="s">
        <v>570</v>
      </c>
      <c r="D20" t="s">
        <v>24</v>
      </c>
      <c r="E20" t="str">
        <f>INDEX('NFL.com rankings drop'!$E$2:$E$201,MATCH('NFL.com Rankings'!D20,'NFL.com rankings drop'!$D$2:$D$201,0))</f>
        <v>RB</v>
      </c>
      <c r="F20">
        <f>INDEX('Fantasy Pros Standard Rankings'!$A$2:$A$561,MATCH('NFL.com Rankings'!D20,'Fantasy Pros Standard Rankings'!$B$2:$B$561,0))</f>
        <v>144</v>
      </c>
      <c r="G20">
        <f t="shared" si="0"/>
        <v>-125</v>
      </c>
      <c r="H20">
        <f t="shared" si="1"/>
        <v>-0.86805555555555558</v>
      </c>
      <c r="I20" t="str">
        <f t="shared" si="2"/>
        <v>Extremely Overvalued</v>
      </c>
      <c r="K20">
        <f t="shared" si="3"/>
        <v>2</v>
      </c>
      <c r="L20" t="str">
        <f>IF(J20="M",COUNTIFS($J$2:J20,"M",$E$2:E20,"RB")&amp;" - "&amp;K20,"N/A")</f>
        <v>N/A</v>
      </c>
      <c r="M20">
        <v>950.5</v>
      </c>
    </row>
    <row r="21" spans="1:19" hidden="1">
      <c r="A21" s="1">
        <v>20</v>
      </c>
      <c r="B21" t="s">
        <v>571</v>
      </c>
      <c r="C21" t="s">
        <v>572</v>
      </c>
      <c r="D21" t="s">
        <v>27</v>
      </c>
      <c r="E21" t="str">
        <f>INDEX('NFL.com rankings drop'!$E$2:$E$201,MATCH('NFL.com Rankings'!D21,'NFL.com rankings drop'!$D$2:$D$201,0))</f>
        <v>WR</v>
      </c>
      <c r="F21">
        <f>INDEX('Fantasy Pros Standard Rankings'!$A$2:$A$561,MATCH('NFL.com Rankings'!D21,'Fantasy Pros Standard Rankings'!$B$2:$B$561,0))</f>
        <v>41</v>
      </c>
      <c r="G21">
        <f t="shared" si="0"/>
        <v>-21</v>
      </c>
      <c r="H21">
        <f t="shared" si="1"/>
        <v>-0.51219512195121952</v>
      </c>
      <c r="I21" t="str">
        <f t="shared" si="2"/>
        <v>Extremely Overvalued</v>
      </c>
      <c r="K21">
        <f t="shared" si="3"/>
        <v>3</v>
      </c>
      <c r="L21" t="str">
        <f>IF(J21="M",COUNTIFS($J$2:J21,"M",$E$2:E21,"RB")&amp;" - "&amp;K21,"N/A")</f>
        <v>N/A</v>
      </c>
      <c r="M21">
        <v>925.5</v>
      </c>
      <c r="Q21" s="3"/>
    </row>
    <row r="22" spans="1:19" hidden="1">
      <c r="A22" s="1">
        <v>21</v>
      </c>
      <c r="B22" t="s">
        <v>573</v>
      </c>
      <c r="C22" t="s">
        <v>574</v>
      </c>
      <c r="D22" t="s">
        <v>21</v>
      </c>
      <c r="E22" t="str">
        <f>INDEX('NFL.com rankings drop'!$E$2:$E$201,MATCH('NFL.com Rankings'!D22,'NFL.com rankings drop'!$D$2:$D$201,0))</f>
        <v>RB</v>
      </c>
      <c r="F22">
        <f>INDEX('Fantasy Pros Standard Rankings'!$A$2:$A$561,MATCH('NFL.com Rankings'!D22,'Fantasy Pros Standard Rankings'!$B$2:$B$561,0))</f>
        <v>7</v>
      </c>
      <c r="G22">
        <f t="shared" si="0"/>
        <v>14</v>
      </c>
      <c r="H22">
        <f t="shared" si="1"/>
        <v>2</v>
      </c>
      <c r="I22" t="str">
        <f t="shared" si="2"/>
        <v/>
      </c>
      <c r="K22">
        <f t="shared" si="3"/>
        <v>2</v>
      </c>
      <c r="L22" t="str">
        <f>IF(J22="M",COUNTIFS($J$2:J22,"M",$E$2:E22,"RB")&amp;" - "&amp;K22,"N/A")</f>
        <v>N/A</v>
      </c>
      <c r="M22">
        <v>925.5</v>
      </c>
      <c r="Q22" s="3"/>
    </row>
    <row r="23" spans="1:19" hidden="1">
      <c r="A23" s="1">
        <v>22</v>
      </c>
      <c r="B23" t="s">
        <v>575</v>
      </c>
      <c r="C23" t="s">
        <v>576</v>
      </c>
      <c r="D23" t="s">
        <v>29</v>
      </c>
      <c r="E23" t="str">
        <f>INDEX('NFL.com rankings drop'!$E$2:$E$201,MATCH('NFL.com Rankings'!D23,'NFL.com rankings drop'!$D$2:$D$201,0))</f>
        <v>RB</v>
      </c>
      <c r="F23">
        <f>INDEX('Fantasy Pros Standard Rankings'!$A$2:$A$561,MATCH('NFL.com Rankings'!D23,'Fantasy Pros Standard Rankings'!$B$2:$B$561,0))</f>
        <v>30</v>
      </c>
      <c r="G23">
        <f t="shared" si="0"/>
        <v>-8</v>
      </c>
      <c r="H23">
        <f t="shared" si="1"/>
        <v>-0.26666666666666666</v>
      </c>
      <c r="I23" t="str">
        <f t="shared" si="2"/>
        <v>Pretty Overvalued</v>
      </c>
      <c r="K23">
        <f t="shared" si="3"/>
        <v>2</v>
      </c>
      <c r="L23" t="str">
        <f>IF(J23="M",COUNTIFS($J$1:J23,"M",$E$1:E23,"WR")&amp;" - "&amp;K23,"N/A")</f>
        <v>N/A</v>
      </c>
      <c r="Q23" s="3"/>
    </row>
    <row r="24" spans="1:19" hidden="1">
      <c r="A24" s="1">
        <v>23</v>
      </c>
      <c r="B24" t="s">
        <v>577</v>
      </c>
      <c r="C24" t="s">
        <v>578</v>
      </c>
      <c r="D24" t="s">
        <v>28</v>
      </c>
      <c r="E24" t="str">
        <f>INDEX('NFL.com rankings drop'!$E$2:$E$201,MATCH('NFL.com Rankings'!D24,'NFL.com rankings drop'!$D$2:$D$201,0))</f>
        <v>RB</v>
      </c>
      <c r="F24">
        <f>INDEX('Fantasy Pros Standard Rankings'!$A$2:$A$561,MATCH('NFL.com Rankings'!D24,'Fantasy Pros Standard Rankings'!$B$2:$B$561,0))</f>
        <v>51</v>
      </c>
      <c r="G24">
        <f t="shared" si="0"/>
        <v>-28</v>
      </c>
      <c r="H24">
        <f t="shared" si="1"/>
        <v>-0.5490196078431373</v>
      </c>
      <c r="I24" t="str">
        <f t="shared" si="2"/>
        <v>Extremely Overvalued</v>
      </c>
      <c r="K24">
        <f t="shared" si="3"/>
        <v>2</v>
      </c>
      <c r="L24" t="str">
        <f>IF(J24="M",COUNTIFS($J$1:J24,"M",$E$1:E24,"WR")&amp;" - "&amp;K24,"N/A")</f>
        <v>N/A</v>
      </c>
      <c r="N24">
        <v>1000.5</v>
      </c>
    </row>
    <row r="25" spans="1:19" hidden="1">
      <c r="A25" s="1">
        <v>24</v>
      </c>
      <c r="B25" t="s">
        <v>579</v>
      </c>
      <c r="C25" t="s">
        <v>580</v>
      </c>
      <c r="D25" t="s">
        <v>47</v>
      </c>
      <c r="E25" t="str">
        <f>INDEX('NFL.com rankings drop'!$E$2:$E$201,MATCH('NFL.com Rankings'!D25,'NFL.com rankings drop'!$D$2:$D$201,0))</f>
        <v>WR</v>
      </c>
      <c r="F25">
        <f>INDEX('Fantasy Pros Standard Rankings'!$A$2:$A$561,MATCH('NFL.com Rankings'!D25,'Fantasy Pros Standard Rankings'!$B$2:$B$561,0))</f>
        <v>49</v>
      </c>
      <c r="G25">
        <f t="shared" si="0"/>
        <v>-25</v>
      </c>
      <c r="H25">
        <f t="shared" si="1"/>
        <v>-0.51020408163265307</v>
      </c>
      <c r="I25" t="str">
        <f t="shared" si="2"/>
        <v>Extremely Overvalued</v>
      </c>
      <c r="K25">
        <f t="shared" si="3"/>
        <v>3</v>
      </c>
      <c r="L25" t="str">
        <f>IF(J25="M",COUNTIFS($J$1:J25,"M",$E$1:E25,"WR")&amp;" - "&amp;K25,"N/A")</f>
        <v>N/A</v>
      </c>
    </row>
    <row r="26" spans="1:19" hidden="1">
      <c r="A26" s="1">
        <v>25</v>
      </c>
      <c r="B26" t="s">
        <v>581</v>
      </c>
      <c r="C26" t="s">
        <v>582</v>
      </c>
      <c r="D26" t="s">
        <v>36</v>
      </c>
      <c r="E26" t="str">
        <f>INDEX('NFL.com rankings drop'!$E$2:$E$201,MATCH('NFL.com Rankings'!D26,'NFL.com rankings drop'!$D$2:$D$201,0))</f>
        <v>TE</v>
      </c>
      <c r="F26">
        <f>INDEX('Fantasy Pros Standard Rankings'!$A$2:$A$561,MATCH('NFL.com Rankings'!D26,'Fantasy Pros Standard Rankings'!$B$2:$B$561,0))</f>
        <v>22</v>
      </c>
      <c r="G26">
        <f t="shared" si="0"/>
        <v>3</v>
      </c>
      <c r="H26">
        <f t="shared" si="1"/>
        <v>0.13636363636363635</v>
      </c>
      <c r="I26" t="str">
        <f t="shared" si="2"/>
        <v>Slightly Undervalued</v>
      </c>
      <c r="K26">
        <f t="shared" si="3"/>
        <v>4</v>
      </c>
      <c r="L26" t="str">
        <f>IF(J26="M",COUNTIFS($J$1:J26,"M",$E$1:E26,"WR")&amp;" - "&amp;K26,"N/A")</f>
        <v>N/A</v>
      </c>
      <c r="N26">
        <v>950.5</v>
      </c>
    </row>
    <row r="27" spans="1:19" hidden="1">
      <c r="A27" s="1">
        <v>26</v>
      </c>
      <c r="B27" t="s">
        <v>583</v>
      </c>
      <c r="C27" t="s">
        <v>584</v>
      </c>
      <c r="D27" t="s">
        <v>46</v>
      </c>
      <c r="E27" t="str">
        <f>INDEX('NFL.com rankings drop'!$E$2:$E$201,MATCH('NFL.com Rankings'!D27,'NFL.com rankings drop'!$D$2:$D$201,0))</f>
        <v>RB</v>
      </c>
      <c r="F27">
        <f>INDEX('Fantasy Pros Standard Rankings'!$A$2:$A$561,MATCH('NFL.com Rankings'!D27,'Fantasy Pros Standard Rankings'!$B$2:$B$561,0))</f>
        <v>39</v>
      </c>
      <c r="G27">
        <f t="shared" si="0"/>
        <v>-13</v>
      </c>
      <c r="H27">
        <f t="shared" si="1"/>
        <v>-0.33333333333333331</v>
      </c>
      <c r="I27" t="str">
        <f t="shared" si="2"/>
        <v>Pretty Overvalued</v>
      </c>
      <c r="K27">
        <f t="shared" si="3"/>
        <v>2</v>
      </c>
      <c r="L27" t="str">
        <f>IF(J27="M",COUNTIFS($J$1:J27,"M",$E$1:E27,"WR")&amp;" - "&amp;K27,"N/A")</f>
        <v>N/A</v>
      </c>
      <c r="N27">
        <v>1000.5</v>
      </c>
    </row>
    <row r="28" spans="1:19" hidden="1">
      <c r="A28" s="1">
        <v>27</v>
      </c>
      <c r="B28" t="s">
        <v>585</v>
      </c>
      <c r="C28" t="s">
        <v>586</v>
      </c>
      <c r="D28" t="s">
        <v>39</v>
      </c>
      <c r="E28" t="str">
        <f>INDEX('NFL.com rankings drop'!$E$2:$E$201,MATCH('NFL.com Rankings'!D28,'NFL.com rankings drop'!$D$2:$D$201,0))</f>
        <v>RB</v>
      </c>
      <c r="F28" t="e">
        <f>INDEX('Fantasy Pros Standard Rankings'!$A$2:$A$561,MATCH('NFL.com Rankings'!D28,'Fantasy Pros Standard Rankings'!$B$2:$B$561,0))</f>
        <v>#N/A</v>
      </c>
      <c r="G28" t="e">
        <f t="shared" si="0"/>
        <v>#N/A</v>
      </c>
      <c r="H28" t="e">
        <f t="shared" si="1"/>
        <v>#N/A</v>
      </c>
      <c r="I28" t="e">
        <f t="shared" si="2"/>
        <v>#N/A</v>
      </c>
      <c r="K28">
        <f t="shared" si="3"/>
        <v>2</v>
      </c>
      <c r="L28" t="str">
        <f>IF(J28="M",COUNTIFS($J$1:J28,"M",$E$1:E28,"WR")&amp;" - "&amp;K28,"N/A")</f>
        <v>N/A</v>
      </c>
    </row>
    <row r="29" spans="1:19" hidden="1">
      <c r="A29" s="1">
        <v>28</v>
      </c>
      <c r="B29" t="s">
        <v>587</v>
      </c>
      <c r="C29" t="s">
        <v>588</v>
      </c>
      <c r="D29" t="s">
        <v>32</v>
      </c>
      <c r="E29" t="str">
        <f>INDEX('NFL.com rankings drop'!$E$2:$E$201,MATCH('NFL.com Rankings'!D29,'NFL.com rankings drop'!$D$2:$D$201,0))</f>
        <v>WR</v>
      </c>
      <c r="F29">
        <f>INDEX('Fantasy Pros Standard Rankings'!$A$2:$A$561,MATCH('NFL.com Rankings'!D29,'Fantasy Pros Standard Rankings'!$B$2:$B$561,0))</f>
        <v>33</v>
      </c>
      <c r="G29">
        <f t="shared" si="0"/>
        <v>-5</v>
      </c>
      <c r="H29">
        <f t="shared" si="1"/>
        <v>-0.15151515151515152</v>
      </c>
      <c r="I29" t="str">
        <f t="shared" si="2"/>
        <v>Pretty Overvalued</v>
      </c>
      <c r="K29">
        <f t="shared" si="3"/>
        <v>3</v>
      </c>
      <c r="L29" t="str">
        <f>IF(J29="M",COUNTIFS($J$2:J29,"M",$E$2:E29,"RB")&amp;" - "&amp;K29,"N/A")</f>
        <v>N/A</v>
      </c>
      <c r="M29">
        <v>800.5</v>
      </c>
    </row>
    <row r="30" spans="1:19" hidden="1">
      <c r="A30" s="1">
        <v>29</v>
      </c>
      <c r="B30" t="s">
        <v>589</v>
      </c>
      <c r="C30" t="s">
        <v>590</v>
      </c>
      <c r="D30" t="s">
        <v>31</v>
      </c>
      <c r="E30" t="str">
        <f>INDEX('NFL.com rankings drop'!$E$2:$E$201,MATCH('NFL.com Rankings'!D30,'NFL.com rankings drop'!$D$2:$D$201,0))</f>
        <v>QB</v>
      </c>
      <c r="F30">
        <f>INDEX('Fantasy Pros Standard Rankings'!$A$2:$A$561,MATCH('NFL.com Rankings'!D30,'Fantasy Pros Standard Rankings'!$B$2:$B$561,0))</f>
        <v>27</v>
      </c>
      <c r="G30">
        <f t="shared" si="0"/>
        <v>2</v>
      </c>
      <c r="H30">
        <f t="shared" si="1"/>
        <v>7.407407407407407E-2</v>
      </c>
      <c r="I30" t="str">
        <f t="shared" si="2"/>
        <v>Slightly Undervalued</v>
      </c>
      <c r="K30">
        <f t="shared" si="3"/>
        <v>1</v>
      </c>
      <c r="L30" t="str">
        <f>IF(J30="M",COUNTIFS($J$1:J30,"M",$E$1:E30,"WR")&amp;" - "&amp;K30,"N/A")</f>
        <v>N/A</v>
      </c>
      <c r="N30">
        <v>825.5</v>
      </c>
    </row>
    <row r="31" spans="1:19" hidden="1">
      <c r="A31" s="1">
        <v>30</v>
      </c>
      <c r="B31" t="s">
        <v>591</v>
      </c>
      <c r="C31" t="s">
        <v>592</v>
      </c>
      <c r="D31" t="s">
        <v>30</v>
      </c>
      <c r="E31" t="str">
        <f>INDEX('NFL.com rankings drop'!$E$2:$E$201,MATCH('NFL.com Rankings'!D31,'NFL.com rankings drop'!$D$2:$D$201,0))</f>
        <v>QB</v>
      </c>
      <c r="F31">
        <f>INDEX('Fantasy Pros Standard Rankings'!$A$2:$A$561,MATCH('NFL.com Rankings'!D31,'Fantasy Pros Standard Rankings'!$B$2:$B$561,0))</f>
        <v>25</v>
      </c>
      <c r="G31">
        <f t="shared" si="0"/>
        <v>5</v>
      </c>
      <c r="H31">
        <f t="shared" si="1"/>
        <v>0.2</v>
      </c>
      <c r="I31" t="str">
        <f t="shared" si="2"/>
        <v>Pretty Undervalued</v>
      </c>
      <c r="K31">
        <f t="shared" si="3"/>
        <v>1</v>
      </c>
      <c r="L31" t="str">
        <f>IF(J31="M",COUNTIFS($J$1:J31,"M",$E$1:E31,"WR")&amp;" - "&amp;K31,"N/A")</f>
        <v>N/A</v>
      </c>
      <c r="N31">
        <v>975.5</v>
      </c>
    </row>
    <row r="32" spans="1:19" hidden="1">
      <c r="A32" s="1">
        <v>31</v>
      </c>
      <c r="B32" t="s">
        <v>593</v>
      </c>
      <c r="C32" t="s">
        <v>594</v>
      </c>
      <c r="D32" t="s">
        <v>42</v>
      </c>
      <c r="E32" t="str">
        <f>INDEX('NFL.com rankings drop'!$E$2:$E$201,MATCH('NFL.com Rankings'!D32,'NFL.com rankings drop'!$D$2:$D$201,0))</f>
        <v>WR</v>
      </c>
      <c r="F32">
        <f>INDEX('Fantasy Pros Standard Rankings'!$A$2:$A$561,MATCH('NFL.com Rankings'!D32,'Fantasy Pros Standard Rankings'!$B$2:$B$561,0))</f>
        <v>47</v>
      </c>
      <c r="G32">
        <f t="shared" si="0"/>
        <v>-16</v>
      </c>
      <c r="H32">
        <f t="shared" si="1"/>
        <v>-0.34042553191489361</v>
      </c>
      <c r="I32" t="str">
        <f t="shared" si="2"/>
        <v>Pretty Overvalued</v>
      </c>
      <c r="K32">
        <f t="shared" si="3"/>
        <v>3</v>
      </c>
      <c r="L32" t="str">
        <f>IF(J32="M",COUNTIFS($J$2:J32,"M",$E$2:E32,"RB")&amp;" - "&amp;K32,"N/A")</f>
        <v>N/A</v>
      </c>
      <c r="M32">
        <v>775.5</v>
      </c>
    </row>
    <row r="33" spans="1:14" hidden="1">
      <c r="A33" s="1">
        <v>32</v>
      </c>
      <c r="B33" t="s">
        <v>595</v>
      </c>
      <c r="C33" t="s">
        <v>596</v>
      </c>
      <c r="D33" t="s">
        <v>34</v>
      </c>
      <c r="E33" t="str">
        <f>INDEX('NFL.com rankings drop'!$E$2:$E$201,MATCH('NFL.com Rankings'!D33,'NFL.com rankings drop'!$D$2:$D$201,0))</f>
        <v>WR</v>
      </c>
      <c r="F33">
        <f>INDEX('Fantasy Pros Standard Rankings'!$A$2:$A$561,MATCH('NFL.com Rankings'!D33,'Fantasy Pros Standard Rankings'!$B$2:$B$561,0))</f>
        <v>64</v>
      </c>
      <c r="G33">
        <f t="shared" si="0"/>
        <v>-32</v>
      </c>
      <c r="H33">
        <f t="shared" si="1"/>
        <v>-0.5</v>
      </c>
      <c r="I33" t="str">
        <f t="shared" si="2"/>
        <v>Extremely Overvalued</v>
      </c>
      <c r="K33">
        <f t="shared" si="3"/>
        <v>3</v>
      </c>
      <c r="L33" t="str">
        <f>IF(J33="M",COUNTIFS($J$2:J3,"M",$E$2:E3,"TE")&amp;" - "&amp;K3,"N/A")</f>
        <v>N/A</v>
      </c>
    </row>
    <row r="34" spans="1:14" hidden="1">
      <c r="A34" s="1">
        <v>33</v>
      </c>
      <c r="B34" t="s">
        <v>597</v>
      </c>
      <c r="C34" t="s">
        <v>598</v>
      </c>
      <c r="D34" t="s">
        <v>33</v>
      </c>
      <c r="E34" t="str">
        <f>INDEX('NFL.com rankings drop'!$E$2:$E$201,MATCH('NFL.com Rankings'!D34,'NFL.com rankings drop'!$D$2:$D$201,0))</f>
        <v>RB</v>
      </c>
      <c r="F34">
        <f>INDEX('Fantasy Pros Standard Rankings'!$A$2:$A$561,MATCH('NFL.com Rankings'!D34,'Fantasy Pros Standard Rankings'!$B$2:$B$561,0))</f>
        <v>18</v>
      </c>
      <c r="G34">
        <f t="shared" si="0"/>
        <v>15</v>
      </c>
      <c r="H34">
        <f t="shared" si="1"/>
        <v>0.83333333333333337</v>
      </c>
      <c r="I34" t="str">
        <f t="shared" si="2"/>
        <v>Extremely Undervalued</v>
      </c>
      <c r="K34">
        <f t="shared" si="3"/>
        <v>2</v>
      </c>
      <c r="L34" t="str">
        <f>IF(J34="M",COUNTIFS($J$2:J4,"M",$E$2:E4,"TE")&amp;" - "&amp;K4,"N/A")</f>
        <v>N/A</v>
      </c>
    </row>
    <row r="35" spans="1:14" hidden="1">
      <c r="A35" s="1">
        <v>34</v>
      </c>
      <c r="B35" t="s">
        <v>573</v>
      </c>
      <c r="C35" t="s">
        <v>599</v>
      </c>
      <c r="D35" t="s">
        <v>37</v>
      </c>
      <c r="E35" t="str">
        <f>INDEX('NFL.com rankings drop'!$E$2:$E$201,MATCH('NFL.com Rankings'!D35,'NFL.com rankings drop'!$D$2:$D$201,0))</f>
        <v>QB</v>
      </c>
      <c r="F35">
        <f>INDEX('Fantasy Pros Standard Rankings'!$A$2:$A$561,MATCH('NFL.com Rankings'!D35,'Fantasy Pros Standard Rankings'!$B$2:$B$561,0))</f>
        <v>57</v>
      </c>
      <c r="G35">
        <f t="shared" si="0"/>
        <v>-23</v>
      </c>
      <c r="H35">
        <f t="shared" si="1"/>
        <v>-0.40350877192982454</v>
      </c>
      <c r="I35" t="str">
        <f t="shared" si="2"/>
        <v>Pretty Overvalued</v>
      </c>
      <c r="K35">
        <f t="shared" si="3"/>
        <v>1</v>
      </c>
      <c r="L35" t="str">
        <f>IF(J35="M",COUNTIFS($J$2:J5,"M",$E$2:E5,"TE")&amp;" - "&amp;K5,"N/A")</f>
        <v>N/A</v>
      </c>
    </row>
    <row r="36" spans="1:14" hidden="1">
      <c r="A36" s="1">
        <v>35</v>
      </c>
      <c r="B36" t="s">
        <v>600</v>
      </c>
      <c r="C36" t="s">
        <v>601</v>
      </c>
      <c r="D36" t="s">
        <v>76</v>
      </c>
      <c r="E36" t="str">
        <f>INDEX('NFL.com rankings drop'!$E$2:$E$201,MATCH('NFL.com Rankings'!D36,'NFL.com rankings drop'!$D$2:$D$201,0))</f>
        <v>WR</v>
      </c>
      <c r="F36">
        <f>INDEX('Fantasy Pros Standard Rankings'!$A$2:$A$561,MATCH('NFL.com Rankings'!D36,'Fantasy Pros Standard Rankings'!$B$2:$B$561,0))</f>
        <v>35</v>
      </c>
      <c r="G36">
        <f t="shared" si="0"/>
        <v>0</v>
      </c>
      <c r="H36">
        <f t="shared" si="1"/>
        <v>0</v>
      </c>
      <c r="I36" t="str">
        <f t="shared" si="2"/>
        <v>At ADP</v>
      </c>
      <c r="K36">
        <f t="shared" si="3"/>
        <v>3</v>
      </c>
      <c r="L36" t="str">
        <f>IF(J36="M",COUNTIFS($J$1:J36,"M",$E$1:E36,"WR")&amp;" - "&amp;K36,"N/A")</f>
        <v>N/A</v>
      </c>
      <c r="N36">
        <v>1000.5</v>
      </c>
    </row>
    <row r="37" spans="1:14" hidden="1">
      <c r="A37" s="1">
        <v>36</v>
      </c>
      <c r="B37" t="s">
        <v>602</v>
      </c>
      <c r="C37" t="s">
        <v>581</v>
      </c>
      <c r="D37" t="s">
        <v>38</v>
      </c>
      <c r="E37" t="str">
        <f>INDEX('NFL.com rankings drop'!$E$2:$E$201,MATCH('NFL.com Rankings'!D37,'NFL.com rankings drop'!$D$2:$D$201,0))</f>
        <v>WR</v>
      </c>
      <c r="F37">
        <f>INDEX('Fantasy Pros Standard Rankings'!$A$2:$A$561,MATCH('NFL.com Rankings'!D37,'Fantasy Pros Standard Rankings'!$B$2:$B$561,0))</f>
        <v>5</v>
      </c>
      <c r="G37">
        <f t="shared" si="0"/>
        <v>31</v>
      </c>
      <c r="H37">
        <f t="shared" si="1"/>
        <v>6.2</v>
      </c>
      <c r="I37" t="str">
        <f t="shared" si="2"/>
        <v/>
      </c>
      <c r="K37">
        <f t="shared" si="3"/>
        <v>3</v>
      </c>
      <c r="L37" t="str">
        <f>IF(J37="M",COUNTIFS($J$1:J37,"M",$E$1:E37,"WR")&amp;" - "&amp;K37,"N/A")</f>
        <v>N/A</v>
      </c>
      <c r="N37">
        <v>925.5</v>
      </c>
    </row>
    <row r="38" spans="1:14" hidden="1">
      <c r="A38" s="1">
        <v>37</v>
      </c>
      <c r="B38" t="s">
        <v>603</v>
      </c>
      <c r="C38" t="s">
        <v>604</v>
      </c>
      <c r="D38" t="s">
        <v>54</v>
      </c>
      <c r="E38" t="str">
        <f>INDEX('NFL.com rankings drop'!$E$2:$E$201,MATCH('NFL.com Rankings'!D38,'NFL.com rankings drop'!$D$2:$D$201,0))</f>
        <v>WR</v>
      </c>
      <c r="F38">
        <f>INDEX('Fantasy Pros Standard Rankings'!$A$2:$A$561,MATCH('NFL.com Rankings'!D38,'Fantasy Pros Standard Rankings'!$B$2:$B$561,0))</f>
        <v>58</v>
      </c>
      <c r="G38">
        <f t="shared" si="0"/>
        <v>-21</v>
      </c>
      <c r="H38">
        <f t="shared" si="1"/>
        <v>-0.36206896551724138</v>
      </c>
      <c r="I38" t="str">
        <f t="shared" si="2"/>
        <v>Pretty Overvalued</v>
      </c>
      <c r="K38">
        <f t="shared" si="3"/>
        <v>3</v>
      </c>
      <c r="L38" t="str">
        <f>IF(J38="M",COUNTIFS($J$1:J38,"M",$E$1:E38,"WR")&amp;" - "&amp;K38,"N/A")</f>
        <v>N/A</v>
      </c>
    </row>
    <row r="39" spans="1:14" hidden="1">
      <c r="A39" s="1">
        <v>38</v>
      </c>
      <c r="B39" t="s">
        <v>605</v>
      </c>
      <c r="C39" t="s">
        <v>606</v>
      </c>
      <c r="D39" t="s">
        <v>35</v>
      </c>
      <c r="E39" t="str">
        <f>INDEX('NFL.com rankings drop'!$E$2:$E$201,MATCH('NFL.com Rankings'!D39,'NFL.com rankings drop'!$D$2:$D$201,0))</f>
        <v>WR</v>
      </c>
      <c r="F39">
        <f>INDEX('Fantasy Pros Standard Rankings'!$A$2:$A$561,MATCH('NFL.com Rankings'!D39,'Fantasy Pros Standard Rankings'!$B$2:$B$561,0))</f>
        <v>321</v>
      </c>
      <c r="G39">
        <f t="shared" si="0"/>
        <v>-283</v>
      </c>
      <c r="H39">
        <f t="shared" si="1"/>
        <v>-0.88161993769470404</v>
      </c>
      <c r="I39" t="str">
        <f t="shared" si="2"/>
        <v>Extremely Overvalued</v>
      </c>
      <c r="K39">
        <f t="shared" si="3"/>
        <v>3</v>
      </c>
      <c r="L39" t="str">
        <f>IF(J39="M",COUNTIFS($J$2:J39,"M",$E$2:E39,"RB")&amp;" - "&amp;K39,"N/A")</f>
        <v>N/A</v>
      </c>
      <c r="M39">
        <v>900.5</v>
      </c>
    </row>
    <row r="40" spans="1:14" hidden="1">
      <c r="A40" s="1">
        <v>39</v>
      </c>
      <c r="B40" t="s">
        <v>607</v>
      </c>
      <c r="C40" t="s">
        <v>608</v>
      </c>
      <c r="D40" t="s">
        <v>45</v>
      </c>
      <c r="E40" t="str">
        <f>INDEX('NFL.com rankings drop'!$E$2:$E$201,MATCH('NFL.com Rankings'!D40,'NFL.com rankings drop'!$D$2:$D$201,0))</f>
        <v>WR</v>
      </c>
      <c r="F40">
        <f>INDEX('Fantasy Pros Standard Rankings'!$A$2:$A$561,MATCH('NFL.com Rankings'!D40,'Fantasy Pros Standard Rankings'!$B$2:$B$561,0))</f>
        <v>71</v>
      </c>
      <c r="G40">
        <f t="shared" si="0"/>
        <v>-32</v>
      </c>
      <c r="H40">
        <f t="shared" si="1"/>
        <v>-0.45070422535211269</v>
      </c>
      <c r="I40" t="str">
        <f t="shared" si="2"/>
        <v>Pretty Overvalued</v>
      </c>
      <c r="K40">
        <f t="shared" si="3"/>
        <v>3</v>
      </c>
      <c r="L40" t="str">
        <f>IF(J40="M",COUNTIFS($J$1:J40,"M",$E$1:E40,"WR")&amp;" - "&amp;K40,"N/A")</f>
        <v>N/A</v>
      </c>
      <c r="N40">
        <v>925.5</v>
      </c>
    </row>
    <row r="41" spans="1:14" hidden="1">
      <c r="A41" s="1">
        <v>40</v>
      </c>
      <c r="B41" t="s">
        <v>609</v>
      </c>
      <c r="C41" t="s">
        <v>610</v>
      </c>
      <c r="D41" t="s">
        <v>40</v>
      </c>
      <c r="E41" t="str">
        <f>INDEX('NFL.com rankings drop'!$E$2:$E$201,MATCH('NFL.com Rankings'!D41,'NFL.com rankings drop'!$D$2:$D$201,0))</f>
        <v>WR</v>
      </c>
      <c r="F41">
        <f>INDEX('Fantasy Pros Standard Rankings'!$A$2:$A$561,MATCH('NFL.com Rankings'!D41,'Fantasy Pros Standard Rankings'!$B$2:$B$561,0))</f>
        <v>48</v>
      </c>
      <c r="G41">
        <f t="shared" si="0"/>
        <v>-8</v>
      </c>
      <c r="H41">
        <f t="shared" si="1"/>
        <v>-0.16666666666666666</v>
      </c>
      <c r="I41" t="str">
        <f t="shared" si="2"/>
        <v>Pretty Overvalued</v>
      </c>
      <c r="K41">
        <f t="shared" si="3"/>
        <v>3</v>
      </c>
      <c r="L41" t="str">
        <f>IF(J41="M",COUNTIFS($J$1:J41,"M",$E$1:E41,"WR")&amp;" - "&amp;K41,"N/A")</f>
        <v>N/A</v>
      </c>
      <c r="N41">
        <v>950.5</v>
      </c>
    </row>
    <row r="42" spans="1:14" hidden="1">
      <c r="A42" s="1">
        <v>41</v>
      </c>
      <c r="B42" t="s">
        <v>611</v>
      </c>
      <c r="C42" t="s">
        <v>612</v>
      </c>
      <c r="D42" t="s">
        <v>41</v>
      </c>
      <c r="E42" t="str">
        <f>INDEX('NFL.com rankings drop'!$E$2:$E$201,MATCH('NFL.com Rankings'!D42,'NFL.com rankings drop'!$D$2:$D$201,0))</f>
        <v>QB</v>
      </c>
      <c r="F42">
        <f>INDEX('Fantasy Pros Standard Rankings'!$A$2:$A$561,MATCH('NFL.com Rankings'!D42,'Fantasy Pros Standard Rankings'!$B$2:$B$561,0))</f>
        <v>53</v>
      </c>
      <c r="G42">
        <f t="shared" si="0"/>
        <v>-12</v>
      </c>
      <c r="H42">
        <f t="shared" si="1"/>
        <v>-0.22641509433962265</v>
      </c>
      <c r="I42" t="str">
        <f t="shared" si="2"/>
        <v>Pretty Overvalued</v>
      </c>
      <c r="K42">
        <f t="shared" si="3"/>
        <v>1</v>
      </c>
      <c r="L42" t="str">
        <f>IF(J42="M",COUNTIFS($J$2:J42,"M",$E$2:E42,"RB")&amp;" - "&amp;K42,"N/A")</f>
        <v>N/A</v>
      </c>
      <c r="M42">
        <v>875.5</v>
      </c>
    </row>
    <row r="43" spans="1:14">
      <c r="A43" s="1">
        <v>42</v>
      </c>
      <c r="B43" t="s">
        <v>613</v>
      </c>
      <c r="C43" t="s">
        <v>614</v>
      </c>
      <c r="D43" t="s">
        <v>44</v>
      </c>
      <c r="E43" t="str">
        <f>INDEX('NFL.com rankings drop'!$E$2:$E$201,MATCH('NFL.com Rankings'!D43,'NFL.com rankings drop'!$D$2:$D$201,0))</f>
        <v>RB</v>
      </c>
      <c r="F43">
        <f>INDEX('Fantasy Pros Standard Rankings'!$A$2:$A$561,MATCH('NFL.com Rankings'!D43,'Fantasy Pros Standard Rankings'!$B$2:$B$561,0))</f>
        <v>20</v>
      </c>
      <c r="G43">
        <f t="shared" si="0"/>
        <v>22</v>
      </c>
      <c r="H43">
        <f t="shared" si="1"/>
        <v>1.1000000000000001</v>
      </c>
      <c r="I43" t="s">
        <v>615</v>
      </c>
      <c r="K43">
        <f t="shared" si="3"/>
        <v>2</v>
      </c>
      <c r="L43" t="str">
        <f>IF(J43="M",COUNTIFS($J$2:J3,"M",$E$2:E3,"QB")&amp;" - "&amp;K3,"N/A")</f>
        <v>N/A</v>
      </c>
    </row>
    <row r="44" spans="1:14" hidden="1">
      <c r="A44" s="1">
        <v>43</v>
      </c>
      <c r="B44" t="s">
        <v>616</v>
      </c>
      <c r="C44" t="s">
        <v>617</v>
      </c>
      <c r="D44" t="s">
        <v>50</v>
      </c>
      <c r="E44" t="str">
        <f>INDEX('NFL.com rankings drop'!$E$2:$E$201,MATCH('NFL.com Rankings'!D44,'NFL.com rankings drop'!$D$2:$D$201,0))</f>
        <v>QB</v>
      </c>
      <c r="F44">
        <f>INDEX('Fantasy Pros Standard Rankings'!$A$2:$A$561,MATCH('NFL.com Rankings'!D44,'Fantasy Pros Standard Rankings'!$B$2:$B$561,0))</f>
        <v>42</v>
      </c>
      <c r="G44">
        <f t="shared" si="0"/>
        <v>1</v>
      </c>
      <c r="H44">
        <f t="shared" si="1"/>
        <v>2.3809523809523808E-2</v>
      </c>
      <c r="I44" t="str">
        <f t="shared" si="2"/>
        <v>Slightly Undervalued</v>
      </c>
      <c r="K44">
        <f t="shared" si="3"/>
        <v>1</v>
      </c>
      <c r="L44" t="str">
        <f>IF(J44="M",COUNTIFS($J$1:J44,"M",$E$1:E44,"WR")&amp;" - "&amp;K44,"N/A")</f>
        <v>N/A</v>
      </c>
      <c r="N44">
        <v>975.5</v>
      </c>
    </row>
    <row r="45" spans="1:14" hidden="1">
      <c r="A45" s="1">
        <v>44</v>
      </c>
      <c r="B45" t="s">
        <v>618</v>
      </c>
      <c r="C45" t="s">
        <v>619</v>
      </c>
      <c r="D45" t="s">
        <v>82</v>
      </c>
      <c r="E45" t="str">
        <f>INDEX('NFL.com rankings drop'!$E$2:$E$201,MATCH('NFL.com Rankings'!D45,'NFL.com rankings drop'!$D$2:$D$201,0))</f>
        <v>RB</v>
      </c>
      <c r="F45">
        <f>INDEX('Fantasy Pros Standard Rankings'!$A$2:$A$561,MATCH('NFL.com Rankings'!D45,'Fantasy Pros Standard Rankings'!$B$2:$B$561,0))</f>
        <v>368</v>
      </c>
      <c r="G45">
        <f t="shared" si="0"/>
        <v>-324</v>
      </c>
      <c r="H45">
        <f t="shared" si="1"/>
        <v>-0.88043478260869568</v>
      </c>
      <c r="I45" t="str">
        <f t="shared" si="2"/>
        <v>Extremely Overvalued</v>
      </c>
      <c r="K45">
        <f t="shared" si="3"/>
        <v>2</v>
      </c>
      <c r="L45" t="str">
        <f>IF(J45="M",COUNTIFS($J$1:J45,"M",$E$1:E45,"WR")&amp;" - "&amp;K45,"N/A")</f>
        <v>N/A</v>
      </c>
      <c r="N45">
        <v>850.5</v>
      </c>
    </row>
    <row r="46" spans="1:14" hidden="1">
      <c r="A46" s="1">
        <v>45</v>
      </c>
      <c r="B46" t="s">
        <v>620</v>
      </c>
      <c r="C46" t="s">
        <v>621</v>
      </c>
      <c r="D46" t="s">
        <v>51</v>
      </c>
      <c r="E46" t="str">
        <f>INDEX('NFL.com rankings drop'!$E$2:$E$201,MATCH('NFL.com Rankings'!D46,'NFL.com rankings drop'!$D$2:$D$201,0))</f>
        <v>WR</v>
      </c>
      <c r="F46">
        <f>INDEX('Fantasy Pros Standard Rankings'!$A$2:$A$561,MATCH('NFL.com Rankings'!D46,'Fantasy Pros Standard Rankings'!$B$2:$B$561,0))</f>
        <v>46</v>
      </c>
      <c r="G46">
        <f t="shared" si="0"/>
        <v>-1</v>
      </c>
      <c r="H46">
        <f t="shared" si="1"/>
        <v>-2.1739130434782608E-2</v>
      </c>
      <c r="I46" t="str">
        <f t="shared" si="2"/>
        <v>Slightly Overvalued</v>
      </c>
      <c r="K46">
        <f t="shared" si="3"/>
        <v>3</v>
      </c>
      <c r="L46" t="str">
        <f>IF(J46="M",COUNTIFS($J$2:J16,"M",$E$2:E16,"TE")&amp;" - "&amp;K16,"N/A")</f>
        <v>N/A</v>
      </c>
    </row>
    <row r="47" spans="1:14" hidden="1">
      <c r="A47" s="1">
        <v>46</v>
      </c>
      <c r="B47" t="s">
        <v>622</v>
      </c>
      <c r="C47" t="s">
        <v>623</v>
      </c>
      <c r="D47" t="s">
        <v>26</v>
      </c>
      <c r="E47" t="str">
        <f>INDEX('NFL.com rankings drop'!$E$2:$E$201,MATCH('NFL.com Rankings'!D47,'NFL.com rankings drop'!$D$2:$D$201,0))</f>
        <v>TE</v>
      </c>
      <c r="F47">
        <f>INDEX('Fantasy Pros Standard Rankings'!$A$2:$A$561,MATCH('NFL.com Rankings'!D47,'Fantasy Pros Standard Rankings'!$B$2:$B$561,0))</f>
        <v>88</v>
      </c>
      <c r="G47">
        <f t="shared" si="0"/>
        <v>-42</v>
      </c>
      <c r="H47">
        <f t="shared" si="1"/>
        <v>-0.47727272727272729</v>
      </c>
      <c r="I47" t="str">
        <f t="shared" si="2"/>
        <v>Pretty Overvalued</v>
      </c>
      <c r="K47">
        <f t="shared" si="3"/>
        <v>4</v>
      </c>
      <c r="L47" t="str">
        <f>IF(J47="M",COUNTIFS($J$2:J47,"M",$E$2:E47,"RB")&amp;" - "&amp;K47,"N/A")</f>
        <v>N/A</v>
      </c>
      <c r="M47">
        <v>825.5</v>
      </c>
    </row>
    <row r="48" spans="1:14" hidden="1">
      <c r="A48" s="1">
        <v>47</v>
      </c>
      <c r="B48" t="s">
        <v>613</v>
      </c>
      <c r="C48" t="s">
        <v>624</v>
      </c>
      <c r="D48" t="s">
        <v>55</v>
      </c>
      <c r="E48" t="str">
        <f>INDEX('NFL.com rankings drop'!$E$2:$E$201,MATCH('NFL.com Rankings'!D48,'NFL.com rankings drop'!$D$2:$D$201,0))</f>
        <v>WR</v>
      </c>
      <c r="F48">
        <f>INDEX('Fantasy Pros Standard Rankings'!$A$2:$A$561,MATCH('NFL.com Rankings'!D48,'Fantasy Pros Standard Rankings'!$B$2:$B$561,0))</f>
        <v>84</v>
      </c>
      <c r="G48">
        <f t="shared" si="0"/>
        <v>-37</v>
      </c>
      <c r="H48">
        <f t="shared" si="1"/>
        <v>-0.44047619047619047</v>
      </c>
      <c r="I48" t="str">
        <f t="shared" si="2"/>
        <v>Pretty Overvalued</v>
      </c>
      <c r="K48">
        <f t="shared" si="3"/>
        <v>3</v>
      </c>
      <c r="L48" t="str">
        <f>IF(J48="M",COUNTIFS($J$2:J48,"M",$E$2:E48,"RB")&amp;" - "&amp;K48,"N/A")</f>
        <v>N/A</v>
      </c>
      <c r="M48">
        <v>950.5</v>
      </c>
    </row>
    <row r="49" spans="1:14" hidden="1">
      <c r="A49" s="1">
        <v>48</v>
      </c>
      <c r="B49" t="s">
        <v>516</v>
      </c>
      <c r="C49" t="s">
        <v>625</v>
      </c>
      <c r="D49" t="s">
        <v>60</v>
      </c>
      <c r="E49" t="str">
        <f>INDEX('NFL.com rankings drop'!$E$2:$E$201,MATCH('NFL.com Rankings'!D49,'NFL.com rankings drop'!$D$2:$D$201,0))</f>
        <v>WR</v>
      </c>
      <c r="F49">
        <f>INDEX('Fantasy Pros Standard Rankings'!$A$2:$A$561,MATCH('NFL.com Rankings'!D49,'Fantasy Pros Standard Rankings'!$B$2:$B$561,0))</f>
        <v>29</v>
      </c>
      <c r="G49">
        <f t="shared" si="0"/>
        <v>19</v>
      </c>
      <c r="H49">
        <f t="shared" si="1"/>
        <v>0.65517241379310343</v>
      </c>
      <c r="I49" t="str">
        <f t="shared" si="2"/>
        <v>Extremely Undervalued</v>
      </c>
      <c r="K49">
        <f t="shared" si="3"/>
        <v>3</v>
      </c>
      <c r="L49" t="str">
        <f>IF(J49="M",COUNTIFS($J$1:J49,"M",$E$1:E49,"WR")&amp;" - "&amp;K49,"N/A")</f>
        <v>N/A</v>
      </c>
      <c r="N49">
        <v>900.5</v>
      </c>
    </row>
    <row r="50" spans="1:14" hidden="1">
      <c r="A50" s="1">
        <v>49</v>
      </c>
      <c r="B50" t="s">
        <v>626</v>
      </c>
      <c r="C50" t="s">
        <v>627</v>
      </c>
      <c r="D50" t="s">
        <v>65</v>
      </c>
      <c r="E50" t="str">
        <f>INDEX('NFL.com rankings drop'!$E$2:$E$201,MATCH('NFL.com Rankings'!D50,'NFL.com rankings drop'!$D$2:$D$201,0))</f>
        <v>TE</v>
      </c>
      <c r="F50">
        <f>INDEX('Fantasy Pros Standard Rankings'!$A$2:$A$561,MATCH('NFL.com Rankings'!D50,'Fantasy Pros Standard Rankings'!$B$2:$B$561,0))</f>
        <v>79</v>
      </c>
      <c r="G50">
        <f t="shared" si="0"/>
        <v>-30</v>
      </c>
      <c r="H50">
        <f t="shared" si="1"/>
        <v>-0.379746835443038</v>
      </c>
      <c r="I50" t="str">
        <f t="shared" si="2"/>
        <v>Pretty Overvalued</v>
      </c>
      <c r="K50">
        <f t="shared" si="3"/>
        <v>4</v>
      </c>
      <c r="L50" t="str">
        <f>IF(J50="M",COUNTIFS($J$1:J50,"M",$E$1:E50,"WR")&amp;" - "&amp;K50,"N/A")</f>
        <v>N/A</v>
      </c>
    </row>
    <row r="51" spans="1:14" hidden="1">
      <c r="A51" s="1">
        <v>50</v>
      </c>
      <c r="B51" t="s">
        <v>628</v>
      </c>
      <c r="C51" t="s">
        <v>629</v>
      </c>
      <c r="D51" t="s">
        <v>52</v>
      </c>
      <c r="E51" t="str">
        <f>INDEX('NFL.com rankings drop'!$E$2:$E$201,MATCH('NFL.com Rankings'!D51,'NFL.com rankings drop'!$D$2:$D$201,0))</f>
        <v>RB</v>
      </c>
      <c r="F51">
        <f>INDEX('Fantasy Pros Standard Rankings'!$A$2:$A$561,MATCH('NFL.com Rankings'!D51,'Fantasy Pros Standard Rankings'!$B$2:$B$561,0))</f>
        <v>242</v>
      </c>
      <c r="G51">
        <f t="shared" si="0"/>
        <v>-192</v>
      </c>
      <c r="H51">
        <f t="shared" si="1"/>
        <v>-0.79338842975206614</v>
      </c>
      <c r="I51" t="str">
        <f t="shared" si="2"/>
        <v>Extremely Overvalued</v>
      </c>
      <c r="K51">
        <f t="shared" si="3"/>
        <v>2</v>
      </c>
      <c r="L51" t="str">
        <f>IF(J51="M",COUNTIFS($J$2:J11,"M",$E$2:E11,"QB")&amp;" - "&amp;K11,"N/A")</f>
        <v>N/A</v>
      </c>
    </row>
    <row r="52" spans="1:14" hidden="1">
      <c r="A52" s="1">
        <v>51</v>
      </c>
      <c r="B52" t="s">
        <v>605</v>
      </c>
      <c r="C52" t="s">
        <v>630</v>
      </c>
      <c r="D52" t="s">
        <v>43</v>
      </c>
      <c r="E52" t="str">
        <f>INDEX('NFL.com rankings drop'!$E$2:$E$201,MATCH('NFL.com Rankings'!D52,'NFL.com rankings drop'!$D$2:$D$201,0))</f>
        <v>RB</v>
      </c>
      <c r="F52">
        <f>INDEX('Fantasy Pros Standard Rankings'!$A$2:$A$561,MATCH('NFL.com Rankings'!D52,'Fantasy Pros Standard Rankings'!$B$2:$B$561,0))</f>
        <v>21</v>
      </c>
      <c r="G52">
        <f t="shared" si="0"/>
        <v>30</v>
      </c>
      <c r="H52">
        <f t="shared" si="1"/>
        <v>1.4285714285714286</v>
      </c>
      <c r="I52" t="str">
        <f t="shared" si="2"/>
        <v/>
      </c>
      <c r="K52">
        <f t="shared" si="3"/>
        <v>2</v>
      </c>
      <c r="L52" t="str">
        <f>IF(J52="M",COUNTIFS($J$2:J52,"M",$E$2:E52,"RB")&amp;" - "&amp;K52,"N/A")</f>
        <v>N/A</v>
      </c>
      <c r="M52">
        <v>775.5</v>
      </c>
    </row>
    <row r="53" spans="1:14" hidden="1">
      <c r="A53" s="1">
        <v>52</v>
      </c>
      <c r="B53" t="s">
        <v>631</v>
      </c>
      <c r="C53" t="s">
        <v>632</v>
      </c>
      <c r="D53" t="s">
        <v>81</v>
      </c>
      <c r="E53" t="str">
        <f>INDEX('NFL.com rankings drop'!$E$2:$E$201,MATCH('NFL.com Rankings'!D53,'NFL.com rankings drop'!$D$2:$D$201,0))</f>
        <v>TE</v>
      </c>
      <c r="F53">
        <f>INDEX('Fantasy Pros Standard Rankings'!$A$2:$A$561,MATCH('NFL.com Rankings'!D53,'Fantasy Pros Standard Rankings'!$B$2:$B$561,0))</f>
        <v>208</v>
      </c>
      <c r="G53">
        <f t="shared" si="0"/>
        <v>-156</v>
      </c>
      <c r="H53">
        <f t="shared" si="1"/>
        <v>-0.75</v>
      </c>
      <c r="I53" t="str">
        <f t="shared" si="2"/>
        <v>Extremely Overvalued</v>
      </c>
      <c r="K53">
        <f t="shared" si="3"/>
        <v>4</v>
      </c>
      <c r="L53" t="str">
        <f>IF(J53="M",COUNTIFS($J$1:J53,"M",$E$1:E53,"WR")&amp;" - "&amp;K53,"N/A")</f>
        <v>N/A</v>
      </c>
    </row>
    <row r="54" spans="1:14" hidden="1">
      <c r="A54" s="1">
        <v>53</v>
      </c>
      <c r="B54" t="s">
        <v>633</v>
      </c>
      <c r="C54" t="s">
        <v>634</v>
      </c>
      <c r="D54" t="s">
        <v>53</v>
      </c>
      <c r="E54" t="str">
        <f>INDEX('NFL.com rankings drop'!$E$2:$E$201,MATCH('NFL.com Rankings'!D54,'NFL.com rankings drop'!$D$2:$D$201,0))</f>
        <v>RB</v>
      </c>
      <c r="F54">
        <f>INDEX('Fantasy Pros Standard Rankings'!$A$2:$A$561,MATCH('NFL.com Rankings'!D54,'Fantasy Pros Standard Rankings'!$B$2:$B$561,0))</f>
        <v>166</v>
      </c>
      <c r="G54">
        <f t="shared" si="0"/>
        <v>-113</v>
      </c>
      <c r="H54">
        <f t="shared" si="1"/>
        <v>-0.68072289156626509</v>
      </c>
      <c r="I54" t="str">
        <f t="shared" si="2"/>
        <v>Extremely Overvalued</v>
      </c>
      <c r="K54">
        <f t="shared" si="3"/>
        <v>2</v>
      </c>
      <c r="L54" t="str">
        <f>IF(J54="M",COUNTIFS($J$2:J54,"M",$E$2:E54,"RB")&amp;" - "&amp;K54,"N/A")</f>
        <v>N/A</v>
      </c>
      <c r="M54">
        <v>820.5</v>
      </c>
    </row>
    <row r="55" spans="1:14" hidden="1">
      <c r="A55" s="1">
        <v>54</v>
      </c>
      <c r="B55" t="s">
        <v>635</v>
      </c>
      <c r="C55" t="s">
        <v>636</v>
      </c>
      <c r="D55" t="s">
        <v>63</v>
      </c>
      <c r="E55" t="str">
        <f>INDEX('NFL.com rankings drop'!$E$2:$E$201,MATCH('NFL.com Rankings'!D55,'NFL.com rankings drop'!$D$2:$D$201,0))</f>
        <v>RB</v>
      </c>
      <c r="F55">
        <f>INDEX('Fantasy Pros Standard Rankings'!$A$2:$A$561,MATCH('NFL.com Rankings'!D55,'Fantasy Pros Standard Rankings'!$B$2:$B$561,0))</f>
        <v>45</v>
      </c>
      <c r="G55">
        <f t="shared" si="0"/>
        <v>9</v>
      </c>
      <c r="H55">
        <f t="shared" si="1"/>
        <v>0.2</v>
      </c>
      <c r="I55" t="str">
        <f t="shared" si="2"/>
        <v>Pretty Undervalued</v>
      </c>
      <c r="K55">
        <f t="shared" si="3"/>
        <v>2</v>
      </c>
      <c r="L55" t="str">
        <f>IF(J55="M",COUNTIFS($J$2:J15,"M",$E$2:E15,"QB")&amp;" - "&amp;K15,"N/A")</f>
        <v>N/A</v>
      </c>
    </row>
    <row r="56" spans="1:14" hidden="1">
      <c r="A56" s="1">
        <v>55</v>
      </c>
      <c r="B56" t="s">
        <v>637</v>
      </c>
      <c r="C56" t="s">
        <v>638</v>
      </c>
      <c r="D56" t="s">
        <v>62</v>
      </c>
      <c r="E56" t="str">
        <f>INDEX('NFL.com rankings drop'!$E$2:$E$201,MATCH('NFL.com Rankings'!D56,'NFL.com rankings drop'!$D$2:$D$201,0))</f>
        <v>WR</v>
      </c>
      <c r="F56">
        <f>INDEX('Fantasy Pros Standard Rankings'!$A$2:$A$561,MATCH('NFL.com Rankings'!D56,'Fantasy Pros Standard Rankings'!$B$2:$B$561,0))</f>
        <v>189</v>
      </c>
      <c r="G56">
        <f t="shared" si="0"/>
        <v>-134</v>
      </c>
      <c r="H56">
        <f t="shared" si="1"/>
        <v>-0.70899470899470896</v>
      </c>
      <c r="I56" t="str">
        <f t="shared" si="2"/>
        <v>Extremely Overvalued</v>
      </c>
      <c r="K56">
        <f t="shared" si="3"/>
        <v>3</v>
      </c>
      <c r="L56" t="str">
        <f>IF(J56="M",COUNTIFS($J$2:J56,"M",$E$2:E56,"RB")&amp;" - "&amp;K56,"N/A")</f>
        <v>N/A</v>
      </c>
      <c r="M56">
        <v>650.5</v>
      </c>
    </row>
    <row r="57" spans="1:14" hidden="1">
      <c r="A57" s="1">
        <v>56</v>
      </c>
      <c r="B57" t="s">
        <v>639</v>
      </c>
      <c r="C57" t="s">
        <v>640</v>
      </c>
      <c r="D57" t="s">
        <v>49</v>
      </c>
      <c r="E57" t="str">
        <f>INDEX('NFL.com rankings drop'!$E$2:$E$201,MATCH('NFL.com Rankings'!D57,'NFL.com rankings drop'!$D$2:$D$201,0))</f>
        <v>RB</v>
      </c>
      <c r="F57">
        <f>INDEX('Fantasy Pros Standard Rankings'!$A$2:$A$561,MATCH('NFL.com Rankings'!D57,'Fantasy Pros Standard Rankings'!$B$2:$B$561,0))</f>
        <v>96</v>
      </c>
      <c r="G57">
        <f t="shared" si="0"/>
        <v>-40</v>
      </c>
      <c r="H57">
        <f t="shared" si="1"/>
        <v>-0.41666666666666669</v>
      </c>
      <c r="I57" t="str">
        <f t="shared" si="2"/>
        <v>Pretty Overvalued</v>
      </c>
      <c r="K57">
        <f t="shared" si="3"/>
        <v>2</v>
      </c>
      <c r="L57" t="str">
        <f>IF(J57="M",COUNTIFS($J$1:J57,"M",$E$1:E57,"WR")&amp;" - "&amp;K57,"N/A")</f>
        <v>N/A</v>
      </c>
    </row>
    <row r="58" spans="1:14" hidden="1">
      <c r="A58" s="1">
        <v>57</v>
      </c>
      <c r="B58" t="s">
        <v>641</v>
      </c>
      <c r="C58" t="s">
        <v>642</v>
      </c>
      <c r="D58" t="s">
        <v>79</v>
      </c>
      <c r="E58" t="str">
        <f>INDEX('NFL.com rankings drop'!$E$2:$E$201,MATCH('NFL.com Rankings'!D58,'NFL.com rankings drop'!$D$2:$D$201,0))</f>
        <v>WR</v>
      </c>
      <c r="F58">
        <f>INDEX('Fantasy Pros Standard Rankings'!$A$2:$A$561,MATCH('NFL.com Rankings'!D58,'Fantasy Pros Standard Rankings'!$B$2:$B$561,0))</f>
        <v>201</v>
      </c>
      <c r="G58">
        <f t="shared" si="0"/>
        <v>-144</v>
      </c>
      <c r="H58">
        <f t="shared" si="1"/>
        <v>-0.71641791044776115</v>
      </c>
      <c r="I58" t="str">
        <f t="shared" si="2"/>
        <v>Extremely Overvalued</v>
      </c>
      <c r="K58">
        <f t="shared" si="3"/>
        <v>3</v>
      </c>
      <c r="L58" t="str">
        <f>IF(J58="M",COUNTIFS($J$2:J18,"M",$E$2:E18,"QB")&amp;" - "&amp;K18,"N/A")</f>
        <v>N/A</v>
      </c>
    </row>
    <row r="59" spans="1:14" hidden="1">
      <c r="A59" s="1">
        <v>58</v>
      </c>
      <c r="B59" t="s">
        <v>643</v>
      </c>
      <c r="C59" t="s">
        <v>644</v>
      </c>
      <c r="D59" t="s">
        <v>57</v>
      </c>
      <c r="E59" t="str">
        <f>INDEX('NFL.com rankings drop'!$E$2:$E$201,MATCH('NFL.com Rankings'!D59,'NFL.com rankings drop'!$D$2:$D$201,0))</f>
        <v>RB</v>
      </c>
      <c r="F59">
        <f>INDEX('Fantasy Pros Standard Rankings'!$A$2:$A$561,MATCH('NFL.com Rankings'!D59,'Fantasy Pros Standard Rankings'!$B$2:$B$561,0))</f>
        <v>67</v>
      </c>
      <c r="G59">
        <f t="shared" si="0"/>
        <v>-9</v>
      </c>
      <c r="H59">
        <f t="shared" si="1"/>
        <v>-0.13432835820895522</v>
      </c>
      <c r="I59" t="str">
        <f t="shared" si="2"/>
        <v>Slightly Overvalued</v>
      </c>
      <c r="K59">
        <f t="shared" si="3"/>
        <v>2</v>
      </c>
      <c r="L59" t="str">
        <f>IF(J59="M",COUNTIFS($J$1:J59,"M",$E$1:E59,"WR")&amp;" - "&amp;K59,"N/A")</f>
        <v>N/A</v>
      </c>
      <c r="N59">
        <v>800.5</v>
      </c>
    </row>
    <row r="60" spans="1:14" hidden="1">
      <c r="A60" s="1">
        <v>59</v>
      </c>
      <c r="B60" t="s">
        <v>645</v>
      </c>
      <c r="C60" t="s">
        <v>646</v>
      </c>
      <c r="D60" t="s">
        <v>70</v>
      </c>
      <c r="E60" t="str">
        <f>INDEX('NFL.com rankings drop'!$E$2:$E$201,MATCH('NFL.com Rankings'!D60,'NFL.com rankings drop'!$D$2:$D$201,0))</f>
        <v>RB</v>
      </c>
      <c r="F60">
        <f>INDEX('Fantasy Pros Standard Rankings'!$A$2:$A$561,MATCH('NFL.com Rankings'!D60,'Fantasy Pros Standard Rankings'!$B$2:$B$561,0))</f>
        <v>182</v>
      </c>
      <c r="G60">
        <f t="shared" si="0"/>
        <v>-123</v>
      </c>
      <c r="H60">
        <f t="shared" si="1"/>
        <v>-0.67582417582417587</v>
      </c>
      <c r="I60" t="str">
        <f t="shared" si="2"/>
        <v>Extremely Overvalued</v>
      </c>
      <c r="K60">
        <f t="shared" si="3"/>
        <v>2</v>
      </c>
      <c r="L60" t="str">
        <f>IF(J60="M",COUNTIFS($J$1:J60,"M",$E$1:E60,"WR")&amp;" - "&amp;K60,"N/A")</f>
        <v>N/A</v>
      </c>
    </row>
    <row r="61" spans="1:14" hidden="1">
      <c r="A61" s="1">
        <v>60</v>
      </c>
      <c r="B61" t="s">
        <v>583</v>
      </c>
      <c r="C61" t="s">
        <v>647</v>
      </c>
      <c r="D61" t="s">
        <v>66</v>
      </c>
      <c r="E61" t="str">
        <f>INDEX('NFL.com rankings drop'!$E$2:$E$201,MATCH('NFL.com Rankings'!D61,'NFL.com rankings drop'!$D$2:$D$201,0))</f>
        <v>RB</v>
      </c>
      <c r="F61">
        <f>INDEX('Fantasy Pros Standard Rankings'!$A$2:$A$561,MATCH('NFL.com Rankings'!D61,'Fantasy Pros Standard Rankings'!$B$2:$B$561,0))</f>
        <v>108</v>
      </c>
      <c r="G61">
        <f t="shared" si="0"/>
        <v>-48</v>
      </c>
      <c r="H61">
        <f t="shared" si="1"/>
        <v>-0.44444444444444442</v>
      </c>
      <c r="I61" t="str">
        <f t="shared" si="2"/>
        <v>Pretty Overvalued</v>
      </c>
      <c r="K61">
        <f t="shared" si="3"/>
        <v>2</v>
      </c>
      <c r="L61" t="str">
        <f>IF(J61="M",COUNTIFS($J$1:J61,"M",$E$1:E61,"WR")&amp;" - "&amp;K61,"N/A")</f>
        <v>N/A</v>
      </c>
    </row>
    <row r="62" spans="1:14" hidden="1">
      <c r="A62" s="1">
        <v>61</v>
      </c>
      <c r="B62" t="s">
        <v>648</v>
      </c>
      <c r="C62" t="s">
        <v>649</v>
      </c>
      <c r="D62" t="s">
        <v>56</v>
      </c>
      <c r="E62" t="str">
        <f>INDEX('NFL.com rankings drop'!$E$2:$E$201,MATCH('NFL.com Rankings'!D62,'NFL.com rankings drop'!$D$2:$D$201,0))</f>
        <v>WR</v>
      </c>
      <c r="F62">
        <f>INDEX('Fantasy Pros Standard Rankings'!$A$2:$A$561,MATCH('NFL.com Rankings'!D62,'Fantasy Pros Standard Rankings'!$B$2:$B$561,0))</f>
        <v>122</v>
      </c>
      <c r="G62">
        <f t="shared" si="0"/>
        <v>-61</v>
      </c>
      <c r="H62">
        <f t="shared" si="1"/>
        <v>-0.5</v>
      </c>
      <c r="I62" t="str">
        <f t="shared" si="2"/>
        <v>Extremely Overvalued</v>
      </c>
      <c r="K62">
        <f t="shared" si="3"/>
        <v>3</v>
      </c>
      <c r="L62" t="str">
        <f>IF(J62="M",COUNTIFS($J$2:J22,"M",$E$2:E22,"QB")&amp;" - "&amp;K22,"N/A")</f>
        <v>N/A</v>
      </c>
    </row>
    <row r="63" spans="1:14" hidden="1">
      <c r="A63" s="1">
        <v>62</v>
      </c>
      <c r="B63" t="s">
        <v>650</v>
      </c>
      <c r="C63" t="s">
        <v>651</v>
      </c>
      <c r="D63" t="s">
        <v>72</v>
      </c>
      <c r="E63" t="str">
        <f>INDEX('NFL.com rankings drop'!$E$2:$E$201,MATCH('NFL.com Rankings'!D63,'NFL.com rankings drop'!$D$2:$D$201,0))</f>
        <v>TE</v>
      </c>
      <c r="F63">
        <f>INDEX('Fantasy Pros Standard Rankings'!$A$2:$A$561,MATCH('NFL.com Rankings'!D63,'Fantasy Pros Standard Rankings'!$B$2:$B$561,0))</f>
        <v>118</v>
      </c>
      <c r="G63">
        <f t="shared" si="0"/>
        <v>-56</v>
      </c>
      <c r="H63">
        <f t="shared" si="1"/>
        <v>-0.47457627118644069</v>
      </c>
      <c r="I63" t="str">
        <f t="shared" si="2"/>
        <v>Pretty Overvalued</v>
      </c>
      <c r="K63">
        <f t="shared" si="3"/>
        <v>4</v>
      </c>
      <c r="L63" t="str">
        <f>IF(J63="M",COUNTIFS($J$2:J63,"M",$E$2:E63,"RB")&amp;" - "&amp;K63,"N/A")</f>
        <v>N/A</v>
      </c>
      <c r="M63">
        <v>650.5</v>
      </c>
    </row>
    <row r="64" spans="1:14" hidden="1">
      <c r="A64" s="1">
        <v>63</v>
      </c>
      <c r="B64" t="s">
        <v>652</v>
      </c>
      <c r="C64" t="s">
        <v>541</v>
      </c>
      <c r="D64" t="s">
        <v>64</v>
      </c>
      <c r="E64" t="str">
        <f>INDEX('NFL.com rankings drop'!$E$2:$E$201,MATCH('NFL.com Rankings'!D64,'NFL.com rankings drop'!$D$2:$D$201,0))</f>
        <v>WR</v>
      </c>
      <c r="F64">
        <f>INDEX('Fantasy Pros Standard Rankings'!$A$2:$A$561,MATCH('NFL.com Rankings'!D64,'Fantasy Pros Standard Rankings'!$B$2:$B$561,0))</f>
        <v>37</v>
      </c>
      <c r="G64">
        <f t="shared" si="0"/>
        <v>26</v>
      </c>
      <c r="H64">
        <f t="shared" si="1"/>
        <v>0.70270270270270274</v>
      </c>
      <c r="I64" t="str">
        <f t="shared" si="2"/>
        <v>Extremely Undervalued</v>
      </c>
      <c r="K64">
        <f t="shared" si="3"/>
        <v>3</v>
      </c>
      <c r="L64" t="str">
        <f>IF(J64="M",COUNTIFS($J$1:J64,"M",$E$1:E64,"WR")&amp;" - "&amp;K64,"N/A")</f>
        <v>N/A</v>
      </c>
    </row>
    <row r="65" spans="1:14" hidden="1">
      <c r="A65" s="1">
        <v>64</v>
      </c>
      <c r="B65" t="s">
        <v>653</v>
      </c>
      <c r="C65" t="s">
        <v>654</v>
      </c>
      <c r="D65" t="s">
        <v>48</v>
      </c>
      <c r="E65" t="str">
        <f>INDEX('NFL.com rankings drop'!$E$2:$E$201,MATCH('NFL.com Rankings'!D65,'NFL.com rankings drop'!$D$2:$D$201,0))</f>
        <v>WR</v>
      </c>
      <c r="F65">
        <f>INDEX('Fantasy Pros Standard Rankings'!$A$2:$A$561,MATCH('NFL.com Rankings'!D65,'Fantasy Pros Standard Rankings'!$B$2:$B$561,0))</f>
        <v>76</v>
      </c>
      <c r="G65">
        <f t="shared" si="0"/>
        <v>-12</v>
      </c>
      <c r="H65">
        <f t="shared" si="1"/>
        <v>-0.15789473684210525</v>
      </c>
      <c r="I65" t="str">
        <f t="shared" si="2"/>
        <v>Pretty Overvalued</v>
      </c>
      <c r="K65">
        <f t="shared" si="3"/>
        <v>3</v>
      </c>
      <c r="L65" t="str">
        <f>IF(J65="M",COUNTIFS($J$1:J65,"M",$E$1:E65,"WR")&amp;" - "&amp;K65,"N/A")</f>
        <v>N/A</v>
      </c>
    </row>
    <row r="66" spans="1:14" hidden="1">
      <c r="A66" s="1">
        <v>65</v>
      </c>
      <c r="B66" t="s">
        <v>655</v>
      </c>
      <c r="C66" t="s">
        <v>614</v>
      </c>
      <c r="D66" t="s">
        <v>58</v>
      </c>
      <c r="E66" t="str">
        <f>INDEX('NFL.com rankings drop'!$E$2:$E$201,MATCH('NFL.com Rankings'!D66,'NFL.com rankings drop'!$D$2:$D$201,0))</f>
        <v>WR</v>
      </c>
      <c r="F66">
        <f>INDEX('Fantasy Pros Standard Rankings'!$A$2:$A$561,MATCH('NFL.com Rankings'!D66,'Fantasy Pros Standard Rankings'!$B$2:$B$561,0))</f>
        <v>28</v>
      </c>
      <c r="G66">
        <f t="shared" si="0"/>
        <v>37</v>
      </c>
      <c r="H66">
        <f t="shared" si="1"/>
        <v>1.3214285714285714</v>
      </c>
      <c r="I66" t="str">
        <f t="shared" si="2"/>
        <v/>
      </c>
      <c r="K66">
        <f t="shared" si="3"/>
        <v>3</v>
      </c>
      <c r="L66" t="str">
        <f>IF(J66="M",COUNTIFS($J$1:J66,"M",$E$1:E66,"WR")&amp;" - "&amp;K66,"N/A")</f>
        <v>N/A</v>
      </c>
    </row>
    <row r="67" spans="1:14" hidden="1">
      <c r="A67" s="1">
        <v>66</v>
      </c>
      <c r="B67" t="s">
        <v>656</v>
      </c>
      <c r="C67" t="s">
        <v>657</v>
      </c>
      <c r="D67" t="s">
        <v>68</v>
      </c>
      <c r="E67" t="str">
        <f>INDEX('NFL.com rankings drop'!$E$2:$E$201,MATCH('NFL.com Rankings'!D67,'NFL.com rankings drop'!$D$2:$D$201,0))</f>
        <v>QB</v>
      </c>
      <c r="F67">
        <f>INDEX('Fantasy Pros Standard Rankings'!$A$2:$A$561,MATCH('NFL.com Rankings'!D67,'Fantasy Pros Standard Rankings'!$B$2:$B$561,0))</f>
        <v>101</v>
      </c>
      <c r="G67">
        <f t="shared" ref="G67:G130" si="5">A67-F67</f>
        <v>-35</v>
      </c>
      <c r="H67">
        <f t="shared" ref="H67:H130" si="6">G67/F67</f>
        <v>-0.34653465346534651</v>
      </c>
      <c r="I67" t="str">
        <f t="shared" ref="I67:I130" si="7">IF(AND(H67 &gt; -1, H67 &lt;= -0.5), "Extremely Overvalued",
IF(AND(H67 &gt; -0.5, H67 &lt;= -0.15), "Pretty Overvalued",
IF(AND(H67 &gt; -0.15, H67 &lt; 0), "Slightly Overvalued",
IF(H67 = 0, "At ADP",
IF(AND(H67 &gt; 0, H67 &lt;= 0.15), "Slightly Undervalued",
IF(AND(H67 &gt; 0.15, H67 &lt;= 0.5), "Pretty Undervalued",
IF(AND(H67 &gt; 0.5, H67 &lt;= 1), "Extremely Undervalued", "")))))))</f>
        <v>Pretty Overvalued</v>
      </c>
      <c r="K67">
        <f t="shared" ref="K67:K130" si="8">IF(E67="QB",1,IF(E67="RB",2,IF(E67="WR",3,IF(E67="TE",4,IF(E67="K",5,"Check")))))</f>
        <v>1</v>
      </c>
      <c r="L67" t="str">
        <f>IF(J67="M",COUNTIFS($J$2:J27,"M",$E$2:E27,"QB")&amp;" - "&amp;K27,"N/A")</f>
        <v>N/A</v>
      </c>
    </row>
    <row r="68" spans="1:14" hidden="1">
      <c r="A68" s="1">
        <v>67</v>
      </c>
      <c r="B68" t="s">
        <v>658</v>
      </c>
      <c r="C68" t="s">
        <v>659</v>
      </c>
      <c r="D68" t="s">
        <v>75</v>
      </c>
      <c r="E68" t="str">
        <f>INDEX('NFL.com rankings drop'!$E$2:$E$201,MATCH('NFL.com Rankings'!D68,'NFL.com rankings drop'!$D$2:$D$201,0))</f>
        <v>RB</v>
      </c>
      <c r="F68">
        <f>INDEX('Fantasy Pros Standard Rankings'!$A$2:$A$561,MATCH('NFL.com Rankings'!D68,'Fantasy Pros Standard Rankings'!$B$2:$B$561,0))</f>
        <v>222</v>
      </c>
      <c r="G68">
        <f t="shared" si="5"/>
        <v>-155</v>
      </c>
      <c r="H68">
        <f t="shared" si="6"/>
        <v>-0.69819819819819817</v>
      </c>
      <c r="I68" t="str">
        <f t="shared" si="7"/>
        <v>Extremely Overvalued</v>
      </c>
      <c r="K68">
        <f t="shared" si="8"/>
        <v>2</v>
      </c>
      <c r="L68" t="str">
        <f>IF(J68="M",COUNTIFS($J$2:J38,"M",$E$2:E38,"TE")&amp;" - "&amp;K38,"N/A")</f>
        <v>N/A</v>
      </c>
    </row>
    <row r="69" spans="1:14" hidden="1">
      <c r="A69" s="1">
        <v>68</v>
      </c>
      <c r="B69" t="s">
        <v>660</v>
      </c>
      <c r="C69" t="s">
        <v>661</v>
      </c>
      <c r="D69" t="s">
        <v>111</v>
      </c>
      <c r="E69" t="e">
        <f>INDEX('NFL.com rankings drop'!$E$2:$E$201,MATCH('NFL.com Rankings'!D69,'NFL.com rankings drop'!$D$2:$D$201,0))</f>
        <v>#N/A</v>
      </c>
      <c r="F69" t="e">
        <f>INDEX('Fantasy Pros Standard Rankings'!$A$2:$A$561,MATCH('NFL.com Rankings'!D69,'Fantasy Pros Standard Rankings'!$B$2:$B$561,0))</f>
        <v>#N/A</v>
      </c>
      <c r="G69" t="e">
        <f t="shared" si="5"/>
        <v>#N/A</v>
      </c>
      <c r="H69" t="e">
        <f t="shared" si="6"/>
        <v>#N/A</v>
      </c>
      <c r="I69" t="e">
        <f t="shared" si="7"/>
        <v>#N/A</v>
      </c>
      <c r="K69" t="e">
        <f t="shared" si="8"/>
        <v>#N/A</v>
      </c>
      <c r="L69" t="str">
        <f>IF(J69="M",COUNTIFS($J$2:J39,"M",$E$2:E39,"TE")&amp;" - "&amp;K39,"N/A")</f>
        <v>N/A</v>
      </c>
    </row>
    <row r="70" spans="1:14" hidden="1">
      <c r="A70" s="1">
        <v>69</v>
      </c>
      <c r="B70" t="s">
        <v>662</v>
      </c>
      <c r="C70" t="s">
        <v>663</v>
      </c>
      <c r="D70" t="s">
        <v>59</v>
      </c>
      <c r="E70" t="str">
        <f>INDEX('NFL.com rankings drop'!$E$2:$E$201,MATCH('NFL.com Rankings'!D70,'NFL.com rankings drop'!$D$2:$D$201,0))</f>
        <v>RB</v>
      </c>
      <c r="F70">
        <f>INDEX('Fantasy Pros Standard Rankings'!$A$2:$A$561,MATCH('NFL.com Rankings'!D70,'Fantasy Pros Standard Rankings'!$B$2:$B$561,0))</f>
        <v>55</v>
      </c>
      <c r="G70">
        <f t="shared" si="5"/>
        <v>14</v>
      </c>
      <c r="H70">
        <f t="shared" si="6"/>
        <v>0.25454545454545452</v>
      </c>
      <c r="I70" t="str">
        <f t="shared" si="7"/>
        <v>Pretty Undervalued</v>
      </c>
      <c r="K70">
        <f t="shared" si="8"/>
        <v>2</v>
      </c>
      <c r="L70" t="str">
        <f>IF(J70="M",COUNTIFS($J$2:J30,"M",$E$2:E30,"QB")&amp;" - "&amp;K30,"N/A")</f>
        <v>N/A</v>
      </c>
    </row>
    <row r="71" spans="1:14" hidden="1">
      <c r="A71" s="1">
        <v>70</v>
      </c>
      <c r="B71" t="s">
        <v>664</v>
      </c>
      <c r="C71" t="s">
        <v>665</v>
      </c>
      <c r="D71" t="s">
        <v>86</v>
      </c>
      <c r="E71" t="str">
        <f>INDEX('NFL.com rankings drop'!$E$2:$E$201,MATCH('NFL.com Rankings'!D71,'NFL.com rankings drop'!$D$2:$D$201,0))</f>
        <v>WR</v>
      </c>
      <c r="F71">
        <f>INDEX('Fantasy Pros Standard Rankings'!$A$2:$A$561,MATCH('NFL.com Rankings'!D71,'Fantasy Pros Standard Rankings'!$B$2:$B$561,0))</f>
        <v>24</v>
      </c>
      <c r="G71">
        <f t="shared" si="5"/>
        <v>46</v>
      </c>
      <c r="H71">
        <f t="shared" si="6"/>
        <v>1.9166666666666667</v>
      </c>
      <c r="I71" t="str">
        <f t="shared" si="7"/>
        <v/>
      </c>
      <c r="K71">
        <f t="shared" si="8"/>
        <v>3</v>
      </c>
      <c r="L71" t="str">
        <f>IF(J71="M",COUNTIFS($J$2:J71,"M",$E$2:E71,"RB")&amp;" - "&amp;K71,"N/A")</f>
        <v>N/A</v>
      </c>
    </row>
    <row r="72" spans="1:14" hidden="1">
      <c r="A72" s="1">
        <v>71</v>
      </c>
      <c r="B72" t="s">
        <v>666</v>
      </c>
      <c r="C72" t="s">
        <v>667</v>
      </c>
      <c r="D72" t="s">
        <v>67</v>
      </c>
      <c r="E72" t="str">
        <f>INDEX('NFL.com rankings drop'!$E$2:$E$201,MATCH('NFL.com Rankings'!D72,'NFL.com rankings drop'!$D$2:$D$201,0))</f>
        <v>RB</v>
      </c>
      <c r="F72">
        <f>INDEX('Fantasy Pros Standard Rankings'!$A$2:$A$561,MATCH('NFL.com Rankings'!D72,'Fantasy Pros Standard Rankings'!$B$2:$B$561,0))</f>
        <v>73</v>
      </c>
      <c r="G72">
        <f t="shared" si="5"/>
        <v>-2</v>
      </c>
      <c r="H72">
        <f t="shared" si="6"/>
        <v>-2.7397260273972601E-2</v>
      </c>
      <c r="I72" t="str">
        <f t="shared" si="7"/>
        <v>Slightly Overvalued</v>
      </c>
      <c r="K72">
        <f t="shared" si="8"/>
        <v>2</v>
      </c>
      <c r="L72" t="str">
        <f>IF(J72="M",COUNTIFS($J$1:J72,"M",$E$1:E72,"WR")&amp;" - "&amp;K72,"N/A")</f>
        <v>N/A</v>
      </c>
    </row>
    <row r="73" spans="1:14" hidden="1">
      <c r="A73" s="1">
        <v>72</v>
      </c>
      <c r="B73" t="s">
        <v>668</v>
      </c>
      <c r="C73" t="s">
        <v>588</v>
      </c>
      <c r="D73" t="s">
        <v>73</v>
      </c>
      <c r="E73" t="str">
        <f>INDEX('NFL.com rankings drop'!$E$2:$E$201,MATCH('NFL.com Rankings'!D73,'NFL.com rankings drop'!$D$2:$D$201,0))</f>
        <v>RB</v>
      </c>
      <c r="F73">
        <f>INDEX('Fantasy Pros Standard Rankings'!$A$2:$A$561,MATCH('NFL.com Rankings'!D73,'Fantasy Pros Standard Rankings'!$B$2:$B$561,0))</f>
        <v>123</v>
      </c>
      <c r="G73">
        <f t="shared" si="5"/>
        <v>-51</v>
      </c>
      <c r="H73">
        <f t="shared" si="6"/>
        <v>-0.41463414634146339</v>
      </c>
      <c r="I73" t="str">
        <f t="shared" si="7"/>
        <v>Pretty Overvalued</v>
      </c>
      <c r="K73">
        <f t="shared" si="8"/>
        <v>2</v>
      </c>
      <c r="L73" t="str">
        <f>IF(J73="M",COUNTIFS($J$2:J73,"M",$E$2:E73,"RB")&amp;" - "&amp;K73,"N/A")</f>
        <v>N/A</v>
      </c>
      <c r="M73">
        <v>800.5</v>
      </c>
    </row>
    <row r="74" spans="1:14" hidden="1">
      <c r="A74" s="1">
        <v>73</v>
      </c>
      <c r="B74" t="s">
        <v>669</v>
      </c>
      <c r="C74" t="s">
        <v>670</v>
      </c>
      <c r="D74" t="s">
        <v>85</v>
      </c>
      <c r="E74" t="str">
        <f>INDEX('NFL.com rankings drop'!$E$2:$E$201,MATCH('NFL.com Rankings'!D74,'NFL.com rankings drop'!$D$2:$D$201,0))</f>
        <v>WR</v>
      </c>
      <c r="F74">
        <f>INDEX('Fantasy Pros Standard Rankings'!$A$2:$A$561,MATCH('NFL.com Rankings'!D74,'Fantasy Pros Standard Rankings'!$B$2:$B$561,0))</f>
        <v>59</v>
      </c>
      <c r="G74">
        <f t="shared" si="5"/>
        <v>14</v>
      </c>
      <c r="H74">
        <f t="shared" si="6"/>
        <v>0.23728813559322035</v>
      </c>
      <c r="I74" t="str">
        <f t="shared" si="7"/>
        <v>Pretty Undervalued</v>
      </c>
      <c r="K74">
        <f t="shared" si="8"/>
        <v>3</v>
      </c>
      <c r="L74" t="str">
        <f>IF(J74="M",COUNTIFS($J$1:J74,"M",$E$1:E74,"WR")&amp;" - "&amp;K74,"N/A")</f>
        <v>N/A</v>
      </c>
      <c r="N74">
        <v>760.5</v>
      </c>
    </row>
    <row r="75" spans="1:14" hidden="1">
      <c r="A75" s="1">
        <v>74</v>
      </c>
      <c r="B75" t="s">
        <v>671</v>
      </c>
      <c r="C75" t="s">
        <v>672</v>
      </c>
      <c r="D75" t="s">
        <v>61</v>
      </c>
      <c r="E75" t="str">
        <f>INDEX('NFL.com rankings drop'!$E$2:$E$201,MATCH('NFL.com Rankings'!D75,'NFL.com rankings drop'!$D$2:$D$201,0))</f>
        <v>WR</v>
      </c>
      <c r="F75">
        <f>INDEX('Fantasy Pros Standard Rankings'!$A$2:$A$561,MATCH('NFL.com Rankings'!D75,'Fantasy Pros Standard Rankings'!$B$2:$B$561,0))</f>
        <v>19</v>
      </c>
      <c r="G75">
        <f t="shared" si="5"/>
        <v>55</v>
      </c>
      <c r="H75">
        <f t="shared" si="6"/>
        <v>2.8947368421052633</v>
      </c>
      <c r="I75" t="str">
        <f t="shared" si="7"/>
        <v/>
      </c>
      <c r="K75">
        <f t="shared" si="8"/>
        <v>3</v>
      </c>
      <c r="L75" t="str">
        <f>IF(J75="M",COUNTIFS($J$2:J75,"M",$E$2:E75,"RB")&amp;" - "&amp;K75,"N/A")</f>
        <v>N/A</v>
      </c>
      <c r="M75">
        <v>775.5</v>
      </c>
    </row>
    <row r="76" spans="1:14" hidden="1">
      <c r="A76" s="1">
        <v>75</v>
      </c>
      <c r="B76" t="s">
        <v>673</v>
      </c>
      <c r="C76" t="s">
        <v>674</v>
      </c>
      <c r="D76" t="s">
        <v>71</v>
      </c>
      <c r="E76" t="str">
        <f>INDEX('NFL.com rankings drop'!$E$2:$E$201,MATCH('NFL.com Rankings'!D76,'NFL.com rankings drop'!$D$2:$D$201,0))</f>
        <v>WR</v>
      </c>
      <c r="F76">
        <f>INDEX('Fantasy Pros Standard Rankings'!$A$2:$A$561,MATCH('NFL.com Rankings'!D76,'Fantasy Pros Standard Rankings'!$B$2:$B$561,0))</f>
        <v>40</v>
      </c>
      <c r="G76">
        <f t="shared" si="5"/>
        <v>35</v>
      </c>
      <c r="H76">
        <f t="shared" si="6"/>
        <v>0.875</v>
      </c>
      <c r="I76" t="str">
        <f t="shared" si="7"/>
        <v>Extremely Undervalued</v>
      </c>
      <c r="K76">
        <f t="shared" si="8"/>
        <v>3</v>
      </c>
      <c r="L76" t="str">
        <f>IF(J76="M",COUNTIFS($J$2:J76,"M",$E$2:E76,"RB")&amp;" - "&amp;K76,"N/A")</f>
        <v>N/A</v>
      </c>
      <c r="M76">
        <v>675.5</v>
      </c>
    </row>
    <row r="77" spans="1:14" hidden="1">
      <c r="A77" s="1">
        <v>76</v>
      </c>
      <c r="B77" t="s">
        <v>622</v>
      </c>
      <c r="C77" t="s">
        <v>675</v>
      </c>
      <c r="D77" t="s">
        <v>126</v>
      </c>
      <c r="E77" t="str">
        <f>INDEX('NFL.com rankings drop'!$E$2:$E$201,MATCH('NFL.com Rankings'!D77,'NFL.com rankings drop'!$D$2:$D$201,0))</f>
        <v>RB</v>
      </c>
      <c r="F77">
        <f>INDEX('Fantasy Pros Standard Rankings'!$A$2:$A$561,MATCH('NFL.com Rankings'!D77,'Fantasy Pros Standard Rankings'!$B$2:$B$561,0))</f>
        <v>52</v>
      </c>
      <c r="G77">
        <f t="shared" si="5"/>
        <v>24</v>
      </c>
      <c r="H77">
        <f t="shared" si="6"/>
        <v>0.46153846153846156</v>
      </c>
      <c r="I77" t="str">
        <f t="shared" si="7"/>
        <v>Pretty Undervalued</v>
      </c>
      <c r="K77">
        <f t="shared" si="8"/>
        <v>2</v>
      </c>
      <c r="L77" t="str">
        <f>IF(J77="M",COUNTIFS($J$2:J37,"M",$E$2:E37,"QB")&amp;" - "&amp;K37,"N/A")</f>
        <v>N/A</v>
      </c>
    </row>
    <row r="78" spans="1:14" hidden="1">
      <c r="A78" s="1">
        <v>77</v>
      </c>
      <c r="B78" t="s">
        <v>676</v>
      </c>
      <c r="C78" t="s">
        <v>677</v>
      </c>
      <c r="D78" t="s">
        <v>93</v>
      </c>
      <c r="E78" t="str">
        <f>INDEX('NFL.com rankings drop'!$E$2:$E$201,MATCH('NFL.com Rankings'!D78,'NFL.com rankings drop'!$D$2:$D$201,0))</f>
        <v>QB</v>
      </c>
      <c r="F78">
        <f>INDEX('Fantasy Pros Standard Rankings'!$A$2:$A$561,MATCH('NFL.com Rankings'!D78,'Fantasy Pros Standard Rankings'!$B$2:$B$561,0))</f>
        <v>371</v>
      </c>
      <c r="G78">
        <f t="shared" si="5"/>
        <v>-294</v>
      </c>
      <c r="H78">
        <f t="shared" si="6"/>
        <v>-0.79245283018867929</v>
      </c>
      <c r="I78" t="str">
        <f t="shared" si="7"/>
        <v>Extremely Overvalued</v>
      </c>
      <c r="K78">
        <f t="shared" si="8"/>
        <v>1</v>
      </c>
      <c r="L78" t="str">
        <f>IF(J78="M",COUNTIFS($J$2:J78,"M",$E$2:E78,"RB")&amp;" - "&amp;K78,"N/A")</f>
        <v>N/A</v>
      </c>
      <c r="M78">
        <v>725.5</v>
      </c>
    </row>
    <row r="79" spans="1:14" hidden="1">
      <c r="A79" s="1">
        <v>78</v>
      </c>
      <c r="B79" t="s">
        <v>607</v>
      </c>
      <c r="C79" t="s">
        <v>678</v>
      </c>
      <c r="D79" t="s">
        <v>77</v>
      </c>
      <c r="E79" t="str">
        <f>INDEX('NFL.com rankings drop'!$E$2:$E$201,MATCH('NFL.com Rankings'!D79,'NFL.com rankings drop'!$D$2:$D$201,0))</f>
        <v>QB</v>
      </c>
      <c r="F79">
        <f>INDEX('Fantasy Pros Standard Rankings'!$A$2:$A$561,MATCH('NFL.com Rankings'!D79,'Fantasy Pros Standard Rankings'!$B$2:$B$561,0))</f>
        <v>120</v>
      </c>
      <c r="G79">
        <f t="shared" si="5"/>
        <v>-42</v>
      </c>
      <c r="H79">
        <f t="shared" si="6"/>
        <v>-0.35</v>
      </c>
      <c r="I79" t="str">
        <f t="shared" si="7"/>
        <v>Pretty Overvalued</v>
      </c>
      <c r="K79">
        <f t="shared" si="8"/>
        <v>1</v>
      </c>
      <c r="L79" t="str">
        <f>IF(J79="M",COUNTIFS($J$2:J49,"M",$E$2:E49,"TE")&amp;" - "&amp;K49,"N/A")</f>
        <v>N/A</v>
      </c>
    </row>
    <row r="80" spans="1:14" hidden="1">
      <c r="A80" s="1">
        <v>79</v>
      </c>
      <c r="B80" t="s">
        <v>600</v>
      </c>
      <c r="C80" t="s">
        <v>679</v>
      </c>
      <c r="D80" t="s">
        <v>78</v>
      </c>
      <c r="E80" t="str">
        <f>INDEX('NFL.com rankings drop'!$E$2:$E$201,MATCH('NFL.com Rankings'!D80,'NFL.com rankings drop'!$D$2:$D$201,0))</f>
        <v>RB</v>
      </c>
      <c r="F80">
        <f>INDEX('Fantasy Pros Standard Rankings'!$A$2:$A$561,MATCH('NFL.com Rankings'!D80,'Fantasy Pros Standard Rankings'!$B$2:$B$561,0))</f>
        <v>149</v>
      </c>
      <c r="G80">
        <f t="shared" si="5"/>
        <v>-70</v>
      </c>
      <c r="H80">
        <f t="shared" si="6"/>
        <v>-0.46979865771812079</v>
      </c>
      <c r="I80" t="str">
        <f t="shared" si="7"/>
        <v>Pretty Overvalued</v>
      </c>
      <c r="K80">
        <f t="shared" si="8"/>
        <v>2</v>
      </c>
      <c r="L80" t="str">
        <f>IF(J80="M",COUNTIFS($J$2:J80,"M",$E$2:E80,"RB")&amp;" - "&amp;K80,"N/A")</f>
        <v>N/A</v>
      </c>
      <c r="M80">
        <v>615.5</v>
      </c>
    </row>
    <row r="81" spans="1:14" hidden="1">
      <c r="A81" s="1">
        <v>80</v>
      </c>
      <c r="B81" t="s">
        <v>680</v>
      </c>
      <c r="C81" t="s">
        <v>681</v>
      </c>
      <c r="D81" t="s">
        <v>89</v>
      </c>
      <c r="E81" t="str">
        <f>INDEX('NFL.com rankings drop'!$E$2:$E$201,MATCH('NFL.com Rankings'!D81,'NFL.com rankings drop'!$D$2:$D$201,0))</f>
        <v>WR</v>
      </c>
      <c r="F81">
        <f>INDEX('Fantasy Pros Standard Rankings'!$A$2:$A$561,MATCH('NFL.com Rankings'!D81,'Fantasy Pros Standard Rankings'!$B$2:$B$561,0))</f>
        <v>97</v>
      </c>
      <c r="G81">
        <f t="shared" si="5"/>
        <v>-17</v>
      </c>
      <c r="H81">
        <f t="shared" si="6"/>
        <v>-0.17525773195876287</v>
      </c>
      <c r="I81" t="str">
        <f t="shared" si="7"/>
        <v>Pretty Overvalued</v>
      </c>
      <c r="K81">
        <f t="shared" si="8"/>
        <v>3</v>
      </c>
      <c r="L81" t="str">
        <f>IF(J81="M",COUNTIFS($J$2:J81,"M",$E$2:E81,"RB")&amp;" - "&amp;K81,"N/A")</f>
        <v>N/A</v>
      </c>
      <c r="M81">
        <v>800.5</v>
      </c>
    </row>
    <row r="82" spans="1:14" hidden="1">
      <c r="A82" s="1">
        <v>81</v>
      </c>
      <c r="B82" t="s">
        <v>682</v>
      </c>
      <c r="C82" t="s">
        <v>683</v>
      </c>
      <c r="D82" t="s">
        <v>117</v>
      </c>
      <c r="E82" t="str">
        <f>INDEX('NFL.com rankings drop'!$E$2:$E$201,MATCH('NFL.com Rankings'!D82,'NFL.com rankings drop'!$D$2:$D$201,0))</f>
        <v>WR</v>
      </c>
      <c r="F82">
        <f>INDEX('Fantasy Pros Standard Rankings'!$A$2:$A$561,MATCH('NFL.com Rankings'!D82,'Fantasy Pros Standard Rankings'!$B$2:$B$561,0))</f>
        <v>145</v>
      </c>
      <c r="G82">
        <f t="shared" si="5"/>
        <v>-64</v>
      </c>
      <c r="H82">
        <f t="shared" si="6"/>
        <v>-0.44137931034482758</v>
      </c>
      <c r="I82" t="str">
        <f t="shared" si="7"/>
        <v>Pretty Overvalued</v>
      </c>
      <c r="K82">
        <f t="shared" si="8"/>
        <v>3</v>
      </c>
      <c r="L82" t="str">
        <f>IF(J82="M",COUNTIFS($J$2:J82,"M",$E$2:E82,"RB")&amp;" - "&amp;K82,"N/A")</f>
        <v>N/A</v>
      </c>
    </row>
    <row r="83" spans="1:14" hidden="1">
      <c r="A83" s="1">
        <v>82</v>
      </c>
      <c r="B83" t="s">
        <v>684</v>
      </c>
      <c r="C83" t="s">
        <v>685</v>
      </c>
      <c r="D83" t="s">
        <v>157</v>
      </c>
      <c r="E83" t="str">
        <f>INDEX('NFL.com rankings drop'!$E$2:$E$201,MATCH('NFL.com Rankings'!D83,'NFL.com rankings drop'!$D$2:$D$201,0))</f>
        <v>TE</v>
      </c>
      <c r="F83">
        <f>INDEX('Fantasy Pros Standard Rankings'!$A$2:$A$561,MATCH('NFL.com Rankings'!D83,'Fantasy Pros Standard Rankings'!$B$2:$B$561,0))</f>
        <v>408</v>
      </c>
      <c r="G83">
        <f t="shared" si="5"/>
        <v>-326</v>
      </c>
      <c r="H83">
        <f t="shared" si="6"/>
        <v>-0.7990196078431373</v>
      </c>
      <c r="I83" t="str">
        <f t="shared" si="7"/>
        <v>Extremely Overvalued</v>
      </c>
      <c r="K83">
        <f t="shared" si="8"/>
        <v>4</v>
      </c>
      <c r="L83" t="str">
        <f>IF(J83="M",COUNTIFS($J$2:J83,"M",$E$2:E83,"RB")&amp;" - "&amp;K83,"N/A")</f>
        <v>N/A</v>
      </c>
      <c r="M83">
        <v>700.5</v>
      </c>
    </row>
    <row r="84" spans="1:14" hidden="1">
      <c r="A84" s="1">
        <v>83</v>
      </c>
      <c r="B84" t="s">
        <v>686</v>
      </c>
      <c r="C84" t="s">
        <v>687</v>
      </c>
      <c r="D84" t="s">
        <v>121</v>
      </c>
      <c r="E84" t="str">
        <f>INDEX('NFL.com rankings drop'!$E$2:$E$201,MATCH('NFL.com Rankings'!D84,'NFL.com rankings drop'!$D$2:$D$201,0))</f>
        <v>RB</v>
      </c>
      <c r="F84">
        <f>INDEX('Fantasy Pros Standard Rankings'!$A$2:$A$561,MATCH('NFL.com Rankings'!D84,'Fantasy Pros Standard Rankings'!$B$2:$B$561,0))</f>
        <v>56</v>
      </c>
      <c r="G84">
        <f t="shared" si="5"/>
        <v>27</v>
      </c>
      <c r="H84">
        <f t="shared" si="6"/>
        <v>0.48214285714285715</v>
      </c>
      <c r="I84" t="str">
        <f t="shared" si="7"/>
        <v>Pretty Undervalued</v>
      </c>
      <c r="K84">
        <f t="shared" si="8"/>
        <v>2</v>
      </c>
      <c r="L84" t="str">
        <f>IF(J84="M",COUNTIFS($J$2:J84,"M",$E$2:E84,"RB")&amp;" - "&amp;K84,"N/A")</f>
        <v>N/A</v>
      </c>
    </row>
    <row r="85" spans="1:14" hidden="1">
      <c r="A85" s="1">
        <v>84</v>
      </c>
      <c r="B85" t="s">
        <v>688</v>
      </c>
      <c r="C85" t="s">
        <v>689</v>
      </c>
      <c r="D85" t="s">
        <v>80</v>
      </c>
      <c r="E85" t="str">
        <f>INDEX('NFL.com rankings drop'!$E$2:$E$201,MATCH('NFL.com Rankings'!D85,'NFL.com rankings drop'!$D$2:$D$201,0))</f>
        <v>QB</v>
      </c>
      <c r="F85">
        <f>INDEX('Fantasy Pros Standard Rankings'!$A$2:$A$561,MATCH('NFL.com Rankings'!D85,'Fantasy Pros Standard Rankings'!$B$2:$B$561,0))</f>
        <v>94</v>
      </c>
      <c r="G85">
        <f t="shared" si="5"/>
        <v>-10</v>
      </c>
      <c r="H85">
        <f t="shared" si="6"/>
        <v>-0.10638297872340426</v>
      </c>
      <c r="I85" t="str">
        <f t="shared" si="7"/>
        <v>Slightly Overvalued</v>
      </c>
      <c r="K85">
        <f t="shared" si="8"/>
        <v>1</v>
      </c>
      <c r="L85" t="str">
        <f>IF(J85="M",COUNTIFS($J$1:J85,"M",$E$1:E85,"WR")&amp;" - "&amp;K85,"N/A")</f>
        <v>N/A</v>
      </c>
    </row>
    <row r="86" spans="1:14" hidden="1">
      <c r="A86" s="1">
        <v>85</v>
      </c>
      <c r="B86" t="s">
        <v>690</v>
      </c>
      <c r="C86" t="s">
        <v>691</v>
      </c>
      <c r="D86" t="s">
        <v>107</v>
      </c>
      <c r="E86" t="str">
        <f>INDEX('NFL.com rankings drop'!$E$2:$E$201,MATCH('NFL.com Rankings'!D86,'NFL.com rankings drop'!$D$2:$D$201,0))</f>
        <v>WR</v>
      </c>
      <c r="F86">
        <f>INDEX('Fantasy Pros Standard Rankings'!$A$2:$A$561,MATCH('NFL.com Rankings'!D86,'Fantasy Pros Standard Rankings'!$B$2:$B$561,0))</f>
        <v>109</v>
      </c>
      <c r="G86">
        <f t="shared" si="5"/>
        <v>-24</v>
      </c>
      <c r="H86">
        <f t="shared" si="6"/>
        <v>-0.22018348623853212</v>
      </c>
      <c r="I86" t="str">
        <f t="shared" si="7"/>
        <v>Pretty Overvalued</v>
      </c>
      <c r="K86">
        <f t="shared" si="8"/>
        <v>3</v>
      </c>
      <c r="L86" t="str">
        <f>IF(J86="M",COUNTIFS($J$1:J86,"M",$E$1:E86,"WR")&amp;" - "&amp;K86,"N/A")</f>
        <v>N/A</v>
      </c>
    </row>
    <row r="87" spans="1:14" hidden="1">
      <c r="A87" s="1">
        <v>86</v>
      </c>
      <c r="B87" t="s">
        <v>692</v>
      </c>
      <c r="C87" t="s">
        <v>568</v>
      </c>
      <c r="D87" t="s">
        <v>169</v>
      </c>
      <c r="E87" t="str">
        <f>INDEX('NFL.com rankings drop'!$E$2:$E$201,MATCH('NFL.com Rankings'!D87,'NFL.com rankings drop'!$D$2:$D$201,0))</f>
        <v>WR</v>
      </c>
      <c r="F87" t="e">
        <f>INDEX('Fantasy Pros Standard Rankings'!$A$2:$A$561,MATCH('NFL.com Rankings'!D87,'Fantasy Pros Standard Rankings'!$B$2:$B$561,0))</f>
        <v>#N/A</v>
      </c>
      <c r="G87" t="e">
        <f t="shared" si="5"/>
        <v>#N/A</v>
      </c>
      <c r="H87" t="e">
        <f t="shared" si="6"/>
        <v>#N/A</v>
      </c>
      <c r="I87" t="e">
        <f t="shared" si="7"/>
        <v>#N/A</v>
      </c>
      <c r="K87">
        <f t="shared" si="8"/>
        <v>3</v>
      </c>
      <c r="L87" t="str">
        <f>IF(J87="M",COUNTIFS($J$2:J87,"M",$E$2:E87,"RB")&amp;" - "&amp;K87,"N/A")</f>
        <v>N/A</v>
      </c>
    </row>
    <row r="88" spans="1:14" hidden="1">
      <c r="A88" s="1">
        <v>87</v>
      </c>
      <c r="B88" t="s">
        <v>693</v>
      </c>
      <c r="C88" t="s">
        <v>694</v>
      </c>
      <c r="D88" t="s">
        <v>83</v>
      </c>
      <c r="E88" t="str">
        <f>INDEX('NFL.com rankings drop'!$E$2:$E$201,MATCH('NFL.com Rankings'!D88,'NFL.com rankings drop'!$D$2:$D$201,0))</f>
        <v>RB</v>
      </c>
      <c r="F88">
        <f>INDEX('Fantasy Pros Standard Rankings'!$A$2:$A$561,MATCH('NFL.com Rankings'!D88,'Fantasy Pros Standard Rankings'!$B$2:$B$561,0))</f>
        <v>162</v>
      </c>
      <c r="G88">
        <f t="shared" si="5"/>
        <v>-75</v>
      </c>
      <c r="H88">
        <f t="shared" si="6"/>
        <v>-0.46296296296296297</v>
      </c>
      <c r="I88" t="str">
        <f t="shared" si="7"/>
        <v>Pretty Overvalued</v>
      </c>
      <c r="K88">
        <f t="shared" si="8"/>
        <v>2</v>
      </c>
      <c r="L88" t="str">
        <f>IF(J88="M",COUNTIFS($J$1:J88,"M",$E$1:E88,"WR")&amp;" - "&amp;K88,"N/A")</f>
        <v>N/A</v>
      </c>
      <c r="N88">
        <v>750.5</v>
      </c>
    </row>
    <row r="89" spans="1:14" hidden="1">
      <c r="A89" s="1">
        <v>88</v>
      </c>
      <c r="B89" t="s">
        <v>695</v>
      </c>
      <c r="C89" t="s">
        <v>696</v>
      </c>
      <c r="D89" t="s">
        <v>84</v>
      </c>
      <c r="E89" t="str">
        <f>INDEX('NFL.com rankings drop'!$E$2:$E$201,MATCH('NFL.com Rankings'!D89,'NFL.com rankings drop'!$D$2:$D$201,0))</f>
        <v>QB</v>
      </c>
      <c r="F89">
        <f>INDEX('Fantasy Pros Standard Rankings'!$A$2:$A$561,MATCH('NFL.com Rankings'!D89,'Fantasy Pros Standard Rankings'!$B$2:$B$561,0))</f>
        <v>114</v>
      </c>
      <c r="G89">
        <f t="shared" si="5"/>
        <v>-26</v>
      </c>
      <c r="H89">
        <f t="shared" si="6"/>
        <v>-0.22807017543859648</v>
      </c>
      <c r="I89" t="str">
        <f t="shared" si="7"/>
        <v>Pretty Overvalued</v>
      </c>
      <c r="K89">
        <f t="shared" si="8"/>
        <v>1</v>
      </c>
      <c r="L89" t="str">
        <f>IF(J89="M",COUNTIFS($J$1:J89,"M",$E$1:E89,"WR")&amp;" - "&amp;K89,"N/A")</f>
        <v>N/A</v>
      </c>
    </row>
    <row r="90" spans="1:14" hidden="1">
      <c r="A90" s="1">
        <v>89</v>
      </c>
      <c r="B90" t="s">
        <v>697</v>
      </c>
      <c r="C90" t="s">
        <v>698</v>
      </c>
      <c r="D90" t="s">
        <v>99</v>
      </c>
      <c r="E90" t="str">
        <f>INDEX('NFL.com rankings drop'!$E$2:$E$201,MATCH('NFL.com Rankings'!D90,'NFL.com rankings drop'!$D$2:$D$201,0))</f>
        <v>WR</v>
      </c>
      <c r="F90">
        <f>INDEX('Fantasy Pros Standard Rankings'!$A$2:$A$561,MATCH('NFL.com Rankings'!D90,'Fantasy Pros Standard Rankings'!$B$2:$B$561,0))</f>
        <v>169</v>
      </c>
      <c r="G90">
        <f t="shared" si="5"/>
        <v>-80</v>
      </c>
      <c r="H90">
        <f t="shared" si="6"/>
        <v>-0.47337278106508873</v>
      </c>
      <c r="I90" t="str">
        <f t="shared" si="7"/>
        <v>Pretty Overvalued</v>
      </c>
      <c r="K90">
        <f t="shared" si="8"/>
        <v>3</v>
      </c>
      <c r="L90" t="str">
        <f>IF(J90="M",COUNTIFS($J$1:J90,"M",$E$1:E90,"WR")&amp;" - "&amp;K90,"N/A")</f>
        <v>N/A</v>
      </c>
    </row>
    <row r="91" spans="1:14" hidden="1">
      <c r="A91" s="1">
        <v>90</v>
      </c>
      <c r="B91" t="s">
        <v>699</v>
      </c>
      <c r="C91" t="s">
        <v>700</v>
      </c>
      <c r="D91" t="s">
        <v>120</v>
      </c>
      <c r="E91" t="str">
        <f>INDEX('NFL.com rankings drop'!$E$2:$E$201,MATCH('NFL.com Rankings'!D91,'NFL.com rankings drop'!$D$2:$D$201,0))</f>
        <v>RB</v>
      </c>
      <c r="F91">
        <f>INDEX('Fantasy Pros Standard Rankings'!$A$2:$A$561,MATCH('NFL.com Rankings'!D91,'Fantasy Pros Standard Rankings'!$B$2:$B$561,0))</f>
        <v>218</v>
      </c>
      <c r="G91">
        <f t="shared" si="5"/>
        <v>-128</v>
      </c>
      <c r="H91">
        <f t="shared" si="6"/>
        <v>-0.58715596330275233</v>
      </c>
      <c r="I91" t="str">
        <f t="shared" si="7"/>
        <v>Extremely Overvalued</v>
      </c>
      <c r="K91">
        <f t="shared" si="8"/>
        <v>2</v>
      </c>
      <c r="L91" t="str">
        <f>IF(J91="M",COUNTIFS($J$2:J51,"M",$E$2:E51,"QB")&amp;" - "&amp;K51,"N/A")</f>
        <v>N/A</v>
      </c>
    </row>
    <row r="92" spans="1:14" hidden="1">
      <c r="A92" s="1">
        <v>91</v>
      </c>
      <c r="B92" t="s">
        <v>701</v>
      </c>
      <c r="C92" t="s">
        <v>702</v>
      </c>
      <c r="D92" t="s">
        <v>90</v>
      </c>
      <c r="E92" t="str">
        <f>INDEX('NFL.com rankings drop'!$E$2:$E$201,MATCH('NFL.com Rankings'!D92,'NFL.com rankings drop'!$D$2:$D$201,0))</f>
        <v>WR</v>
      </c>
      <c r="F92" t="e">
        <f>INDEX('Fantasy Pros Standard Rankings'!$A$2:$A$561,MATCH('NFL.com Rankings'!D92,'Fantasy Pros Standard Rankings'!$B$2:$B$561,0))</f>
        <v>#N/A</v>
      </c>
      <c r="G92" t="e">
        <f t="shared" si="5"/>
        <v>#N/A</v>
      </c>
      <c r="H92" t="e">
        <f t="shared" si="6"/>
        <v>#N/A</v>
      </c>
      <c r="I92" t="e">
        <f t="shared" si="7"/>
        <v>#N/A</v>
      </c>
      <c r="K92">
        <f t="shared" si="8"/>
        <v>3</v>
      </c>
      <c r="L92" t="str">
        <f>IF(J92="M",COUNTIFS($J$2:J62,"M",$E$2:E62,"TE")&amp;" - "&amp;K62,"N/A")</f>
        <v>N/A</v>
      </c>
    </row>
    <row r="93" spans="1:14" hidden="1">
      <c r="A93" s="1">
        <v>92</v>
      </c>
      <c r="B93" t="s">
        <v>703</v>
      </c>
      <c r="C93" t="s">
        <v>704</v>
      </c>
      <c r="D93" t="s">
        <v>87</v>
      </c>
      <c r="E93" t="str">
        <f>INDEX('NFL.com rankings drop'!$E$2:$E$201,MATCH('NFL.com Rankings'!D93,'NFL.com rankings drop'!$D$2:$D$201,0))</f>
        <v>WR</v>
      </c>
      <c r="F93">
        <f>INDEX('Fantasy Pros Standard Rankings'!$A$2:$A$561,MATCH('NFL.com Rankings'!D93,'Fantasy Pros Standard Rankings'!$B$2:$B$561,0))</f>
        <v>170</v>
      </c>
      <c r="G93">
        <f t="shared" si="5"/>
        <v>-78</v>
      </c>
      <c r="H93">
        <f t="shared" si="6"/>
        <v>-0.45882352941176469</v>
      </c>
      <c r="I93" t="str">
        <f t="shared" si="7"/>
        <v>Pretty Overvalued</v>
      </c>
      <c r="K93">
        <f t="shared" si="8"/>
        <v>3</v>
      </c>
      <c r="L93" t="str">
        <f>IF(J93="M",COUNTIFS($J$2:J63,"M",$E$2:E63,"TE")&amp;" - "&amp;K63,"N/A")</f>
        <v>N/A</v>
      </c>
    </row>
    <row r="94" spans="1:14" hidden="1">
      <c r="A94" s="1">
        <v>93</v>
      </c>
      <c r="B94" t="s">
        <v>705</v>
      </c>
      <c r="C94" t="s">
        <v>706</v>
      </c>
      <c r="D94" t="s">
        <v>94</v>
      </c>
      <c r="E94" t="str">
        <f>INDEX('NFL.com rankings drop'!$E$2:$E$201,MATCH('NFL.com Rankings'!D94,'NFL.com rankings drop'!$D$2:$D$201,0))</f>
        <v>WR</v>
      </c>
      <c r="F94">
        <f>INDEX('Fantasy Pros Standard Rankings'!$A$2:$A$561,MATCH('NFL.com Rankings'!D94,'Fantasy Pros Standard Rankings'!$B$2:$B$561,0))</f>
        <v>138</v>
      </c>
      <c r="G94">
        <f t="shared" si="5"/>
        <v>-45</v>
      </c>
      <c r="H94">
        <f t="shared" si="6"/>
        <v>-0.32608695652173914</v>
      </c>
      <c r="I94" t="str">
        <f t="shared" si="7"/>
        <v>Pretty Overvalued</v>
      </c>
      <c r="K94">
        <f t="shared" si="8"/>
        <v>3</v>
      </c>
      <c r="L94" t="str">
        <f>IF(J94="M",COUNTIFS($J$2:J94,"M",$E$2:E94,"RB")&amp;" - "&amp;K94,"N/A")</f>
        <v>N/A</v>
      </c>
      <c r="M94">
        <v>750.5</v>
      </c>
    </row>
    <row r="95" spans="1:14" hidden="1">
      <c r="A95" s="1">
        <v>94</v>
      </c>
      <c r="B95" t="s">
        <v>707</v>
      </c>
      <c r="C95" t="s">
        <v>708</v>
      </c>
      <c r="D95" t="s">
        <v>95</v>
      </c>
      <c r="E95" t="str">
        <f>INDEX('NFL.com rankings drop'!$E$2:$E$201,MATCH('NFL.com Rankings'!D95,'NFL.com rankings drop'!$D$2:$D$201,0))</f>
        <v>RB</v>
      </c>
      <c r="F95">
        <f>INDEX('Fantasy Pros Standard Rankings'!$A$2:$A$561,MATCH('NFL.com Rankings'!D95,'Fantasy Pros Standard Rankings'!$B$2:$B$561,0))</f>
        <v>74</v>
      </c>
      <c r="G95">
        <f t="shared" si="5"/>
        <v>20</v>
      </c>
      <c r="H95">
        <f t="shared" si="6"/>
        <v>0.27027027027027029</v>
      </c>
      <c r="I95" t="str">
        <f t="shared" si="7"/>
        <v>Pretty Undervalued</v>
      </c>
      <c r="K95">
        <f t="shared" si="8"/>
        <v>2</v>
      </c>
      <c r="L95" t="str">
        <f>IF(J95="M",COUNTIFS($J$2:J95,"M",$E$2:E95,"RB")&amp;" - "&amp;K95,"N/A")</f>
        <v>N/A</v>
      </c>
    </row>
    <row r="96" spans="1:14" hidden="1">
      <c r="A96" s="1">
        <v>95</v>
      </c>
      <c r="B96" t="s">
        <v>709</v>
      </c>
      <c r="C96" t="s">
        <v>710</v>
      </c>
      <c r="D96" t="s">
        <v>108</v>
      </c>
      <c r="E96" t="str">
        <f>INDEX('NFL.com rankings drop'!$E$2:$E$201,MATCH('NFL.com Rankings'!D96,'NFL.com rankings drop'!$D$2:$D$201,0))</f>
        <v>TE</v>
      </c>
      <c r="F96">
        <f>INDEX('Fantasy Pros Standard Rankings'!$A$2:$A$561,MATCH('NFL.com Rankings'!D96,'Fantasy Pros Standard Rankings'!$B$2:$B$561,0))</f>
        <v>259</v>
      </c>
      <c r="G96">
        <f t="shared" si="5"/>
        <v>-164</v>
      </c>
      <c r="H96">
        <f t="shared" si="6"/>
        <v>-0.63320463320463316</v>
      </c>
      <c r="I96" t="str">
        <f t="shared" si="7"/>
        <v>Extremely Overvalued</v>
      </c>
      <c r="K96">
        <f t="shared" si="8"/>
        <v>4</v>
      </c>
      <c r="L96" t="str">
        <f>IF(J96="M",COUNTIFS($J$2:J96,"M",$E$2:E96,"RB")&amp;" - "&amp;K96,"N/A")</f>
        <v>N/A</v>
      </c>
    </row>
    <row r="97" spans="1:14" hidden="1">
      <c r="A97" s="1">
        <v>96</v>
      </c>
      <c r="B97" t="s">
        <v>711</v>
      </c>
      <c r="C97" t="s">
        <v>538</v>
      </c>
      <c r="D97" t="s">
        <v>137</v>
      </c>
      <c r="E97" t="str">
        <f>INDEX('NFL.com rankings drop'!$E$2:$E$201,MATCH('NFL.com Rankings'!D97,'NFL.com rankings drop'!$D$2:$D$201,0))</f>
        <v>WR</v>
      </c>
      <c r="F97">
        <f>INDEX('Fantasy Pros Standard Rankings'!$A$2:$A$561,MATCH('NFL.com Rankings'!D97,'Fantasy Pros Standard Rankings'!$B$2:$B$561,0))</f>
        <v>309</v>
      </c>
      <c r="G97">
        <f t="shared" si="5"/>
        <v>-213</v>
      </c>
      <c r="H97">
        <f t="shared" si="6"/>
        <v>-0.68932038834951459</v>
      </c>
      <c r="I97" t="str">
        <f t="shared" si="7"/>
        <v>Extremely Overvalued</v>
      </c>
      <c r="K97">
        <f t="shared" si="8"/>
        <v>3</v>
      </c>
      <c r="L97" t="str">
        <f>IF(J97="M",COUNTIFS($J$2:J97,"M",$E$2:E97,"RB")&amp;" - "&amp;K97,"N/A")</f>
        <v>N/A</v>
      </c>
    </row>
    <row r="98" spans="1:14" hidden="1">
      <c r="A98" s="1">
        <v>97</v>
      </c>
      <c r="B98" t="s">
        <v>712</v>
      </c>
      <c r="C98" t="s">
        <v>713</v>
      </c>
      <c r="D98" t="s">
        <v>91</v>
      </c>
      <c r="E98" t="str">
        <f>INDEX('NFL.com rankings drop'!$E$2:$E$201,MATCH('NFL.com Rankings'!D98,'NFL.com rankings drop'!$D$2:$D$201,0))</f>
        <v>TE</v>
      </c>
      <c r="F98">
        <f>INDEX('Fantasy Pros Standard Rankings'!$A$2:$A$561,MATCH('NFL.com Rankings'!D98,'Fantasy Pros Standard Rankings'!$B$2:$B$561,0))</f>
        <v>106</v>
      </c>
      <c r="G98">
        <f t="shared" si="5"/>
        <v>-9</v>
      </c>
      <c r="H98">
        <f t="shared" si="6"/>
        <v>-8.4905660377358486E-2</v>
      </c>
      <c r="I98" t="str">
        <f t="shared" si="7"/>
        <v>Slightly Overvalued</v>
      </c>
      <c r="K98">
        <f t="shared" si="8"/>
        <v>4</v>
      </c>
      <c r="L98" t="str">
        <f>IF(J98="M",COUNTIFS($J$1:J98,"M",$E$1:E98,"WR")&amp;" - "&amp;K98,"N/A")</f>
        <v>N/A</v>
      </c>
    </row>
    <row r="99" spans="1:14" hidden="1">
      <c r="A99" s="1">
        <v>98</v>
      </c>
      <c r="B99" t="s">
        <v>714</v>
      </c>
      <c r="C99" t="s">
        <v>715</v>
      </c>
      <c r="D99" t="s">
        <v>98</v>
      </c>
      <c r="E99" t="str">
        <f>INDEX('NFL.com rankings drop'!$E$2:$E$201,MATCH('NFL.com Rankings'!D99,'NFL.com rankings drop'!$D$2:$D$201,0))</f>
        <v>WR</v>
      </c>
      <c r="F99">
        <f>INDEX('Fantasy Pros Standard Rankings'!$A$2:$A$561,MATCH('NFL.com Rankings'!D99,'Fantasy Pros Standard Rankings'!$B$2:$B$561,0))</f>
        <v>99</v>
      </c>
      <c r="G99">
        <f t="shared" si="5"/>
        <v>-1</v>
      </c>
      <c r="H99">
        <f t="shared" si="6"/>
        <v>-1.0101010101010102E-2</v>
      </c>
      <c r="I99" t="str">
        <f t="shared" si="7"/>
        <v>Slightly Overvalued</v>
      </c>
      <c r="K99">
        <f t="shared" si="8"/>
        <v>3</v>
      </c>
      <c r="L99" t="str">
        <f>IF(J99="M",COUNTIFS($J$1:J99,"M",$E$1:E99,"WR")&amp;" - "&amp;K99,"N/A")</f>
        <v>N/A</v>
      </c>
    </row>
    <row r="100" spans="1:14" hidden="1">
      <c r="A100" s="1">
        <v>99</v>
      </c>
      <c r="B100" t="s">
        <v>716</v>
      </c>
      <c r="C100" t="s">
        <v>568</v>
      </c>
      <c r="D100" t="s">
        <v>109</v>
      </c>
      <c r="E100" t="str">
        <f>INDEX('NFL.com rankings drop'!$E$2:$E$201,MATCH('NFL.com Rankings'!D100,'NFL.com rankings drop'!$D$2:$D$201,0))</f>
        <v>RB</v>
      </c>
      <c r="F100">
        <f>INDEX('Fantasy Pros Standard Rankings'!$A$2:$A$561,MATCH('NFL.com Rankings'!D100,'Fantasy Pros Standard Rankings'!$B$2:$B$561,0))</f>
        <v>69</v>
      </c>
      <c r="G100">
        <f t="shared" si="5"/>
        <v>30</v>
      </c>
      <c r="H100">
        <f t="shared" si="6"/>
        <v>0.43478260869565216</v>
      </c>
      <c r="I100" t="str">
        <f t="shared" si="7"/>
        <v>Pretty Undervalued</v>
      </c>
      <c r="K100">
        <f t="shared" si="8"/>
        <v>2</v>
      </c>
      <c r="L100" t="str">
        <f>IF(J100="M",COUNTIFS($J$1:J100,"M",$E$1:E100,"WR")&amp;" - "&amp;K100,"N/A")</f>
        <v>N/A</v>
      </c>
      <c r="N100">
        <v>675.5</v>
      </c>
    </row>
    <row r="101" spans="1:14" hidden="1">
      <c r="A101" s="1">
        <v>100</v>
      </c>
      <c r="B101" t="s">
        <v>633</v>
      </c>
      <c r="C101" t="s">
        <v>717</v>
      </c>
      <c r="D101" t="s">
        <v>122</v>
      </c>
      <c r="E101" t="str">
        <f>INDEX('NFL.com rankings drop'!$E$2:$E$201,MATCH('NFL.com Rankings'!D101,'NFL.com rankings drop'!$D$2:$D$201,0))</f>
        <v>WR</v>
      </c>
      <c r="F101">
        <f>INDEX('Fantasy Pros Standard Rankings'!$A$2:$A$561,MATCH('NFL.com Rankings'!D101,'Fantasy Pros Standard Rankings'!$B$2:$B$561,0))</f>
        <v>115</v>
      </c>
      <c r="G101">
        <f t="shared" si="5"/>
        <v>-15</v>
      </c>
      <c r="H101">
        <f t="shared" si="6"/>
        <v>-0.13043478260869565</v>
      </c>
      <c r="I101" t="str">
        <f t="shared" si="7"/>
        <v>Slightly Overvalued</v>
      </c>
      <c r="K101">
        <f t="shared" si="8"/>
        <v>3</v>
      </c>
      <c r="L101" t="str">
        <f>IF(J101="M",COUNTIFS($J$2:J71,"M",$E$2:E71,"TE")&amp;" - "&amp;K71,"N/A")</f>
        <v>N/A</v>
      </c>
    </row>
    <row r="102" spans="1:14" hidden="1">
      <c r="A102" s="1">
        <v>101</v>
      </c>
      <c r="B102" t="s">
        <v>714</v>
      </c>
      <c r="C102" t="s">
        <v>718</v>
      </c>
      <c r="D102" t="s">
        <v>101</v>
      </c>
      <c r="E102" t="str">
        <f>INDEX('NFL.com rankings drop'!$E$2:$E$201,MATCH('NFL.com Rankings'!D102,'NFL.com rankings drop'!$D$2:$D$201,0))</f>
        <v>TE</v>
      </c>
      <c r="F102">
        <f>INDEX('Fantasy Pros Standard Rankings'!$A$2:$A$561,MATCH('NFL.com Rankings'!D102,'Fantasy Pros Standard Rankings'!$B$2:$B$561,0))</f>
        <v>251</v>
      </c>
      <c r="G102">
        <f t="shared" si="5"/>
        <v>-150</v>
      </c>
      <c r="H102">
        <f t="shared" si="6"/>
        <v>-0.59760956175298807</v>
      </c>
      <c r="I102" t="str">
        <f t="shared" si="7"/>
        <v>Extremely Overvalued</v>
      </c>
      <c r="K102">
        <f t="shared" si="8"/>
        <v>4</v>
      </c>
      <c r="L102" t="str">
        <f>IF(J102="M",COUNTIFS($J$2:J62,"M",$E$2:E62,"QB")&amp;" - "&amp;K62,"N/A")</f>
        <v>N/A</v>
      </c>
    </row>
    <row r="103" spans="1:14" hidden="1">
      <c r="A103" s="1">
        <v>102</v>
      </c>
      <c r="B103" t="s">
        <v>669</v>
      </c>
      <c r="C103" t="s">
        <v>719</v>
      </c>
      <c r="D103" t="s">
        <v>104</v>
      </c>
      <c r="E103" t="str">
        <f>INDEX('NFL.com rankings drop'!$E$2:$E$201,MATCH('NFL.com Rankings'!D103,'NFL.com rankings drop'!$D$2:$D$201,0))</f>
        <v>QB</v>
      </c>
      <c r="F103">
        <f>INDEX('Fantasy Pros Standard Rankings'!$A$2:$A$561,MATCH('NFL.com Rankings'!D103,'Fantasy Pros Standard Rankings'!$B$2:$B$561,0))</f>
        <v>65</v>
      </c>
      <c r="G103">
        <f t="shared" si="5"/>
        <v>37</v>
      </c>
      <c r="H103">
        <f t="shared" si="6"/>
        <v>0.56923076923076921</v>
      </c>
      <c r="I103" t="str">
        <f t="shared" si="7"/>
        <v>Extremely Undervalued</v>
      </c>
      <c r="K103">
        <f t="shared" si="8"/>
        <v>1</v>
      </c>
      <c r="L103" t="str">
        <f>IF(J103="M",COUNTIFS($J$2:J63,"M",$E$2:E63,"QB")&amp;" - "&amp;K63,"N/A")</f>
        <v>N/A</v>
      </c>
    </row>
    <row r="104" spans="1:14" hidden="1">
      <c r="A104" s="1">
        <v>103</v>
      </c>
      <c r="B104" t="s">
        <v>720</v>
      </c>
      <c r="C104" t="s">
        <v>721</v>
      </c>
      <c r="D104" t="s">
        <v>139</v>
      </c>
      <c r="E104" t="str">
        <f>INDEX('NFL.com rankings drop'!$E$2:$E$201,MATCH('NFL.com Rankings'!D104,'NFL.com rankings drop'!$D$2:$D$201,0))</f>
        <v>TE</v>
      </c>
      <c r="F104">
        <f>INDEX('Fantasy Pros Standard Rankings'!$A$2:$A$561,MATCH('NFL.com Rankings'!D104,'Fantasy Pros Standard Rankings'!$B$2:$B$561,0))</f>
        <v>36</v>
      </c>
      <c r="G104">
        <f t="shared" si="5"/>
        <v>67</v>
      </c>
      <c r="H104">
        <f t="shared" si="6"/>
        <v>1.8611111111111112</v>
      </c>
      <c r="I104" t="str">
        <f t="shared" si="7"/>
        <v/>
      </c>
      <c r="K104">
        <f t="shared" si="8"/>
        <v>4</v>
      </c>
      <c r="L104" t="str">
        <f>IF(J104="M",COUNTIFS($J$2:J74,"M",$E$2:E74,"TE")&amp;" - "&amp;K74,"N/A")</f>
        <v>N/A</v>
      </c>
    </row>
    <row r="105" spans="1:14" hidden="1">
      <c r="A105" s="1">
        <v>104</v>
      </c>
      <c r="B105" t="s">
        <v>722</v>
      </c>
      <c r="C105" t="s">
        <v>723</v>
      </c>
      <c r="D105" t="s">
        <v>112</v>
      </c>
      <c r="E105" t="str">
        <f>INDEX('NFL.com rankings drop'!$E$2:$E$201,MATCH('NFL.com Rankings'!D105,'NFL.com rankings drop'!$D$2:$D$201,0))</f>
        <v>TE</v>
      </c>
      <c r="F105">
        <f>INDEX('Fantasy Pros Standard Rankings'!$A$2:$A$561,MATCH('NFL.com Rankings'!D105,'Fantasy Pros Standard Rankings'!$B$2:$B$561,0))</f>
        <v>63</v>
      </c>
      <c r="G105">
        <f t="shared" si="5"/>
        <v>41</v>
      </c>
      <c r="H105">
        <f t="shared" si="6"/>
        <v>0.65079365079365081</v>
      </c>
      <c r="I105" t="str">
        <f t="shared" si="7"/>
        <v>Extremely Undervalued</v>
      </c>
      <c r="K105">
        <f t="shared" si="8"/>
        <v>4</v>
      </c>
      <c r="L105" t="str">
        <f>IF(J105="M",COUNTIFS($J$1:J105,"M",$E$1:E105,"WR")&amp;" - "&amp;K105,"N/A")</f>
        <v>N/A</v>
      </c>
    </row>
    <row r="106" spans="1:14" hidden="1">
      <c r="A106" s="1">
        <v>105</v>
      </c>
      <c r="B106" t="s">
        <v>724</v>
      </c>
      <c r="C106" t="s">
        <v>725</v>
      </c>
      <c r="D106" t="s">
        <v>96</v>
      </c>
      <c r="E106" t="str">
        <f>INDEX('NFL.com rankings drop'!$E$2:$E$201,MATCH('NFL.com Rankings'!D106,'NFL.com rankings drop'!$D$2:$D$201,0))</f>
        <v>QB</v>
      </c>
      <c r="F106">
        <f>INDEX('Fantasy Pros Standard Rankings'!$A$2:$A$561,MATCH('NFL.com Rankings'!D106,'Fantasy Pros Standard Rankings'!$B$2:$B$561,0))</f>
        <v>92</v>
      </c>
      <c r="G106">
        <f t="shared" si="5"/>
        <v>13</v>
      </c>
      <c r="H106">
        <f t="shared" si="6"/>
        <v>0.14130434782608695</v>
      </c>
      <c r="I106" t="str">
        <f t="shared" si="7"/>
        <v>Slightly Undervalued</v>
      </c>
      <c r="K106">
        <f t="shared" si="8"/>
        <v>1</v>
      </c>
      <c r="L106" t="str">
        <f>IF(J106="M",COUNTIFS($J$2:J106,"M",$E$2:E106,"RB")&amp;" - "&amp;K106,"N/A")</f>
        <v>N/A</v>
      </c>
      <c r="M106">
        <v>775.5</v>
      </c>
    </row>
    <row r="107" spans="1:14" hidden="1">
      <c r="A107" s="1">
        <v>106</v>
      </c>
      <c r="B107" t="s">
        <v>526</v>
      </c>
      <c r="C107" t="s">
        <v>541</v>
      </c>
      <c r="D107" t="s">
        <v>127</v>
      </c>
      <c r="E107" t="str">
        <f>INDEX('NFL.com rankings drop'!$E$2:$E$201,MATCH('NFL.com Rankings'!D107,'NFL.com rankings drop'!$D$2:$D$201,0))</f>
        <v>WR</v>
      </c>
      <c r="F107">
        <f>INDEX('Fantasy Pros Standard Rankings'!$A$2:$A$561,MATCH('NFL.com Rankings'!D107,'Fantasy Pros Standard Rankings'!$B$2:$B$561,0))</f>
        <v>237</v>
      </c>
      <c r="G107">
        <f t="shared" si="5"/>
        <v>-131</v>
      </c>
      <c r="H107">
        <f t="shared" si="6"/>
        <v>-0.5527426160337553</v>
      </c>
      <c r="I107" t="str">
        <f t="shared" si="7"/>
        <v>Extremely Overvalued</v>
      </c>
      <c r="K107">
        <f t="shared" si="8"/>
        <v>3</v>
      </c>
      <c r="L107" t="str">
        <f>IF(J107="M",COUNTIFS($J$2:J107,"M",$E$2:E107,"RB")&amp;" - "&amp;K107,"N/A")</f>
        <v>N/A</v>
      </c>
    </row>
    <row r="108" spans="1:14" hidden="1">
      <c r="A108" s="1">
        <v>107</v>
      </c>
      <c r="B108" t="s">
        <v>711</v>
      </c>
      <c r="C108" t="s">
        <v>726</v>
      </c>
      <c r="D108" t="s">
        <v>119</v>
      </c>
      <c r="E108" t="str">
        <f>INDEX('NFL.com rankings drop'!$E$2:$E$201,MATCH('NFL.com Rankings'!D108,'NFL.com rankings drop'!$D$2:$D$201,0))</f>
        <v>WR</v>
      </c>
      <c r="F108">
        <f>INDEX('Fantasy Pros Standard Rankings'!$A$2:$A$561,MATCH('NFL.com Rankings'!D108,'Fantasy Pros Standard Rankings'!$B$2:$B$561,0))</f>
        <v>125</v>
      </c>
      <c r="G108">
        <f t="shared" si="5"/>
        <v>-18</v>
      </c>
      <c r="H108">
        <f t="shared" si="6"/>
        <v>-0.14399999999999999</v>
      </c>
      <c r="I108" t="str">
        <f t="shared" si="7"/>
        <v>Slightly Overvalued</v>
      </c>
      <c r="K108">
        <f t="shared" si="8"/>
        <v>3</v>
      </c>
      <c r="L108" t="str">
        <f>IF(J108="M",COUNTIFS($J$1:J108,"M",$E$1:E108,"WR")&amp;" - "&amp;K108,"N/A")</f>
        <v>N/A</v>
      </c>
      <c r="N108">
        <v>750.5</v>
      </c>
    </row>
    <row r="109" spans="1:14" hidden="1">
      <c r="A109" s="1">
        <v>108</v>
      </c>
      <c r="B109" t="s">
        <v>727</v>
      </c>
      <c r="C109" t="s">
        <v>728</v>
      </c>
      <c r="D109" t="s">
        <v>103</v>
      </c>
      <c r="E109" t="str">
        <f>INDEX('NFL.com rankings drop'!$E$2:$E$201,MATCH('NFL.com Rankings'!D109,'NFL.com rankings drop'!$D$2:$D$201,0))</f>
        <v>WR</v>
      </c>
      <c r="F109">
        <f>INDEX('Fantasy Pros Standard Rankings'!$A$2:$A$561,MATCH('NFL.com Rankings'!D109,'Fantasy Pros Standard Rankings'!$B$2:$B$561,0))</f>
        <v>121</v>
      </c>
      <c r="G109">
        <f t="shared" si="5"/>
        <v>-13</v>
      </c>
      <c r="H109">
        <f t="shared" si="6"/>
        <v>-0.10743801652892562</v>
      </c>
      <c r="I109" t="str">
        <f t="shared" si="7"/>
        <v>Slightly Overvalued</v>
      </c>
      <c r="K109">
        <f t="shared" si="8"/>
        <v>3</v>
      </c>
      <c r="L109" t="str">
        <f>IF(J109="M",COUNTIFS($J$1:J109,"M",$E$1:E109,"WR")&amp;" - "&amp;K109,"N/A")</f>
        <v>N/A</v>
      </c>
    </row>
    <row r="110" spans="1:14" hidden="1">
      <c r="A110" s="1">
        <v>109</v>
      </c>
      <c r="B110" t="s">
        <v>729</v>
      </c>
      <c r="C110" t="s">
        <v>730</v>
      </c>
      <c r="D110" t="s">
        <v>131</v>
      </c>
      <c r="E110" t="str">
        <f>INDEX('NFL.com rankings drop'!$E$2:$E$201,MATCH('NFL.com Rankings'!D110,'NFL.com rankings drop'!$D$2:$D$201,0))</f>
        <v>WR</v>
      </c>
      <c r="F110">
        <f>INDEX('Fantasy Pros Standard Rankings'!$A$2:$A$561,MATCH('NFL.com Rankings'!D110,'Fantasy Pros Standard Rankings'!$B$2:$B$561,0))</f>
        <v>249</v>
      </c>
      <c r="G110">
        <f t="shared" si="5"/>
        <v>-140</v>
      </c>
      <c r="H110">
        <f t="shared" si="6"/>
        <v>-0.56224899598393574</v>
      </c>
      <c r="I110" t="str">
        <f t="shared" si="7"/>
        <v>Extremely Overvalued</v>
      </c>
      <c r="K110">
        <f t="shared" si="8"/>
        <v>3</v>
      </c>
      <c r="L110" t="str">
        <f>IF(J110="M",COUNTIFS($J$1:J110,"M",$E$1:E110,"WR")&amp;" - "&amp;K110,"N/A")</f>
        <v>N/A</v>
      </c>
    </row>
    <row r="111" spans="1:14" hidden="1">
      <c r="A111" s="1">
        <v>110</v>
      </c>
      <c r="B111" t="s">
        <v>731</v>
      </c>
      <c r="C111" t="s">
        <v>732</v>
      </c>
      <c r="D111" t="s">
        <v>174</v>
      </c>
      <c r="E111" t="str">
        <f>INDEX('NFL.com rankings drop'!$E$2:$E$201,MATCH('NFL.com Rankings'!D111,'NFL.com rankings drop'!$D$2:$D$201,0))</f>
        <v>WR</v>
      </c>
      <c r="F111">
        <f>INDEX('Fantasy Pros Standard Rankings'!$A$2:$A$561,MATCH('NFL.com Rankings'!D111,'Fantasy Pros Standard Rankings'!$B$2:$B$561,0))</f>
        <v>176</v>
      </c>
      <c r="G111">
        <f t="shared" si="5"/>
        <v>-66</v>
      </c>
      <c r="H111">
        <f t="shared" si="6"/>
        <v>-0.375</v>
      </c>
      <c r="I111" t="str">
        <f t="shared" si="7"/>
        <v>Pretty Overvalued</v>
      </c>
      <c r="K111">
        <f t="shared" si="8"/>
        <v>3</v>
      </c>
      <c r="L111" t="str">
        <f>IF(J111="M",COUNTIFS($J$2:J71,"M",$E$2:E71,"QB")&amp;" - "&amp;K71,"N/A")</f>
        <v>N/A</v>
      </c>
    </row>
    <row r="112" spans="1:14" hidden="1">
      <c r="A112" s="1">
        <v>111</v>
      </c>
      <c r="B112" t="s">
        <v>516</v>
      </c>
      <c r="C112" t="s">
        <v>733</v>
      </c>
      <c r="D112" t="s">
        <v>97</v>
      </c>
      <c r="E112" t="str">
        <f>INDEX('NFL.com rankings drop'!$E$2:$E$201,MATCH('NFL.com Rankings'!D112,'NFL.com rankings drop'!$D$2:$D$201,0))</f>
        <v>TE</v>
      </c>
      <c r="F112">
        <f>INDEX('Fantasy Pros Standard Rankings'!$A$2:$A$561,MATCH('NFL.com Rankings'!D112,'Fantasy Pros Standard Rankings'!$B$2:$B$561,0))</f>
        <v>62</v>
      </c>
      <c r="G112">
        <f t="shared" si="5"/>
        <v>49</v>
      </c>
      <c r="H112">
        <f t="shared" si="6"/>
        <v>0.79032258064516125</v>
      </c>
      <c r="I112" t="str">
        <f t="shared" si="7"/>
        <v>Extremely Undervalued</v>
      </c>
      <c r="K112">
        <f t="shared" si="8"/>
        <v>4</v>
      </c>
      <c r="L112" t="str">
        <f>IF(J112="M",COUNTIFS($J$1:J112,"M",$E$1:E112,"WR")&amp;" - "&amp;K112,"N/A")</f>
        <v>N/A</v>
      </c>
      <c r="N112">
        <v>700.5</v>
      </c>
    </row>
    <row r="113" spans="1:12" hidden="1">
      <c r="A113" s="1">
        <v>112</v>
      </c>
      <c r="B113" t="s">
        <v>734</v>
      </c>
      <c r="C113" t="s">
        <v>735</v>
      </c>
      <c r="D113" t="s">
        <v>100</v>
      </c>
      <c r="E113" t="str">
        <f>INDEX('NFL.com rankings drop'!$E$2:$E$201,MATCH('NFL.com Rankings'!D113,'NFL.com rankings drop'!$D$2:$D$201,0))</f>
        <v>RB</v>
      </c>
      <c r="F113">
        <f>INDEX('Fantasy Pros Standard Rankings'!$A$2:$A$561,MATCH('NFL.com Rankings'!D113,'Fantasy Pros Standard Rankings'!$B$2:$B$561,0))</f>
        <v>43</v>
      </c>
      <c r="G113">
        <f t="shared" si="5"/>
        <v>69</v>
      </c>
      <c r="H113">
        <f t="shared" si="6"/>
        <v>1.6046511627906976</v>
      </c>
      <c r="I113" t="str">
        <f t="shared" si="7"/>
        <v/>
      </c>
      <c r="K113">
        <f t="shared" si="8"/>
        <v>2</v>
      </c>
      <c r="L113" t="str">
        <f>IF(J113="M",COUNTIFS($J$1:J113,"M",$E$1:E113,"WR")&amp;" - "&amp;K113,"N/A")</f>
        <v>N/A</v>
      </c>
    </row>
    <row r="114" spans="1:12" hidden="1">
      <c r="A114" s="1">
        <v>113</v>
      </c>
      <c r="B114" t="s">
        <v>736</v>
      </c>
      <c r="C114" t="s">
        <v>737</v>
      </c>
      <c r="D114" t="s">
        <v>138</v>
      </c>
      <c r="E114" t="str">
        <f>INDEX('NFL.com rankings drop'!$E$2:$E$201,MATCH('NFL.com Rankings'!D114,'NFL.com rankings drop'!$D$2:$D$201,0))</f>
        <v>RB</v>
      </c>
      <c r="F114">
        <f>INDEX('Fantasy Pros Standard Rankings'!$A$2:$A$561,MATCH('NFL.com Rankings'!D114,'Fantasy Pros Standard Rankings'!$B$2:$B$561,0))</f>
        <v>112</v>
      </c>
      <c r="G114">
        <f t="shared" si="5"/>
        <v>1</v>
      </c>
      <c r="H114">
        <f t="shared" si="6"/>
        <v>8.9285714285714281E-3</v>
      </c>
      <c r="I114" t="str">
        <f t="shared" si="7"/>
        <v>Slightly Undervalued</v>
      </c>
      <c r="K114">
        <f t="shared" si="8"/>
        <v>2</v>
      </c>
      <c r="L114" t="str">
        <f>IF(J114="M",COUNTIFS($J$2:J74,"M",$E$2:E74,"QB")&amp;" - "&amp;K74,"N/A")</f>
        <v>N/A</v>
      </c>
    </row>
    <row r="115" spans="1:12" hidden="1">
      <c r="A115" s="1">
        <v>114</v>
      </c>
      <c r="B115" t="s">
        <v>738</v>
      </c>
      <c r="C115" t="s">
        <v>739</v>
      </c>
      <c r="D115" t="s">
        <v>113</v>
      </c>
      <c r="E115" t="str">
        <f>INDEX('NFL.com rankings drop'!$E$2:$E$201,MATCH('NFL.com Rankings'!D115,'NFL.com rankings drop'!$D$2:$D$201,0))</f>
        <v>RB</v>
      </c>
      <c r="F115">
        <f>INDEX('Fantasy Pros Standard Rankings'!$A$2:$A$561,MATCH('NFL.com Rankings'!D115,'Fantasy Pros Standard Rankings'!$B$2:$B$561,0))</f>
        <v>32</v>
      </c>
      <c r="G115">
        <f t="shared" si="5"/>
        <v>82</v>
      </c>
      <c r="H115">
        <f t="shared" si="6"/>
        <v>2.5625</v>
      </c>
      <c r="I115" t="str">
        <f t="shared" si="7"/>
        <v/>
      </c>
      <c r="K115">
        <f t="shared" si="8"/>
        <v>2</v>
      </c>
      <c r="L115" t="str">
        <f>IF(J115="M",COUNTIFS($J$2:J75,"M",$E$2:E75,"QB")&amp;" - "&amp;K75,"N/A")</f>
        <v>N/A</v>
      </c>
    </row>
    <row r="116" spans="1:12" hidden="1">
      <c r="A116" s="1">
        <v>115</v>
      </c>
      <c r="B116" t="s">
        <v>531</v>
      </c>
      <c r="C116" t="s">
        <v>740</v>
      </c>
      <c r="D116" t="s">
        <v>164</v>
      </c>
      <c r="E116" t="str">
        <f>INDEX('NFL.com rankings drop'!$E$2:$E$201,MATCH('NFL.com Rankings'!D116,'NFL.com rankings drop'!$D$2:$D$201,0))</f>
        <v>RB</v>
      </c>
      <c r="F116">
        <f>INDEX('Fantasy Pros Standard Rankings'!$A$2:$A$561,MATCH('NFL.com Rankings'!D116,'Fantasy Pros Standard Rankings'!$B$2:$B$561,0))</f>
        <v>61</v>
      </c>
      <c r="G116">
        <f t="shared" si="5"/>
        <v>54</v>
      </c>
      <c r="H116">
        <f t="shared" si="6"/>
        <v>0.88524590163934425</v>
      </c>
      <c r="I116" t="str">
        <f t="shared" si="7"/>
        <v>Extremely Undervalued</v>
      </c>
      <c r="K116">
        <f t="shared" si="8"/>
        <v>2</v>
      </c>
      <c r="L116" t="str">
        <f>IF(J116="M",COUNTIFS($J$2:J76,"M",$E$2:E76,"QB")&amp;" - "&amp;K76,"N/A")</f>
        <v>N/A</v>
      </c>
    </row>
    <row r="117" spans="1:12" hidden="1">
      <c r="A117" s="1">
        <v>116</v>
      </c>
      <c r="B117" t="s">
        <v>741</v>
      </c>
      <c r="C117" t="s">
        <v>742</v>
      </c>
      <c r="D117" t="s">
        <v>148</v>
      </c>
      <c r="E117" t="str">
        <f>INDEX('NFL.com rankings drop'!$E$2:$E$201,MATCH('NFL.com Rankings'!D117,'NFL.com rankings drop'!$D$2:$D$201,0))</f>
        <v>RB</v>
      </c>
      <c r="F117">
        <f>INDEX('Fantasy Pros Standard Rankings'!$A$2:$A$561,MATCH('NFL.com Rankings'!D117,'Fantasy Pros Standard Rankings'!$B$2:$B$561,0))</f>
        <v>292</v>
      </c>
      <c r="G117">
        <f t="shared" si="5"/>
        <v>-176</v>
      </c>
      <c r="H117">
        <f t="shared" si="6"/>
        <v>-0.60273972602739723</v>
      </c>
      <c r="I117" t="str">
        <f t="shared" si="7"/>
        <v>Extremely Overvalued</v>
      </c>
      <c r="K117">
        <f t="shared" si="8"/>
        <v>2</v>
      </c>
      <c r="L117" t="str">
        <f>IF(J117="M",COUNTIFS($J$2:J87,"M",$E$2:E87,"TE")&amp;" - "&amp;K87,"N/A")</f>
        <v>N/A</v>
      </c>
    </row>
    <row r="118" spans="1:12" hidden="1">
      <c r="A118" s="1">
        <v>117</v>
      </c>
      <c r="B118" t="s">
        <v>743</v>
      </c>
      <c r="C118" t="s">
        <v>744</v>
      </c>
      <c r="D118" t="s">
        <v>151</v>
      </c>
      <c r="E118" t="str">
        <f>INDEX('NFL.com rankings drop'!$E$2:$E$201,MATCH('NFL.com Rankings'!D118,'NFL.com rankings drop'!$D$2:$D$201,0))</f>
        <v>WR</v>
      </c>
      <c r="F118">
        <f>INDEX('Fantasy Pros Standard Rankings'!$A$2:$A$561,MATCH('NFL.com Rankings'!D118,'Fantasy Pros Standard Rankings'!$B$2:$B$561,0))</f>
        <v>284</v>
      </c>
      <c r="G118">
        <f t="shared" si="5"/>
        <v>-167</v>
      </c>
      <c r="H118">
        <f t="shared" si="6"/>
        <v>-0.5880281690140845</v>
      </c>
      <c r="I118" t="str">
        <f t="shared" si="7"/>
        <v>Extremely Overvalued</v>
      </c>
      <c r="K118">
        <f t="shared" si="8"/>
        <v>3</v>
      </c>
      <c r="L118" t="str">
        <f>IF(J118="M",COUNTIFS($J$2:J118,"M",$E$2:E118,"RB")&amp;" - "&amp;K118,"N/A")</f>
        <v>N/A</v>
      </c>
    </row>
    <row r="119" spans="1:12" hidden="1">
      <c r="A119" s="1">
        <v>118</v>
      </c>
      <c r="B119" t="s">
        <v>745</v>
      </c>
      <c r="C119" t="s">
        <v>746</v>
      </c>
      <c r="D119" t="s">
        <v>269</v>
      </c>
      <c r="E119" t="str">
        <f>INDEX('NFL.com rankings drop'!$E$2:$E$201,MATCH('NFL.com Rankings'!D119,'NFL.com rankings drop'!$D$2:$D$201,0))</f>
        <v>RB</v>
      </c>
      <c r="F119">
        <f>INDEX('Fantasy Pros Standard Rankings'!$A$2:$A$561,MATCH('NFL.com Rankings'!D119,'Fantasy Pros Standard Rankings'!$B$2:$B$561,0))</f>
        <v>326</v>
      </c>
      <c r="G119">
        <f t="shared" si="5"/>
        <v>-208</v>
      </c>
      <c r="H119">
        <f t="shared" si="6"/>
        <v>-0.6380368098159509</v>
      </c>
      <c r="I119" t="str">
        <f t="shared" si="7"/>
        <v>Extremely Overvalued</v>
      </c>
      <c r="K119">
        <f t="shared" si="8"/>
        <v>2</v>
      </c>
      <c r="L119" t="str">
        <f>IF(J119="M",COUNTIFS($J$2:J89,"M",$E$2:E89,"TE")&amp;" - "&amp;K89,"N/A")</f>
        <v>N/A</v>
      </c>
    </row>
    <row r="120" spans="1:12" hidden="1">
      <c r="A120" s="1">
        <v>119</v>
      </c>
      <c r="B120" t="s">
        <v>747</v>
      </c>
      <c r="C120" t="s">
        <v>748</v>
      </c>
      <c r="D120" t="s">
        <v>142</v>
      </c>
      <c r="E120" t="str">
        <f>INDEX('NFL.com rankings drop'!$E$2:$E$201,MATCH('NFL.com Rankings'!D120,'NFL.com rankings drop'!$D$2:$D$201,0))</f>
        <v>RB</v>
      </c>
      <c r="F120">
        <f>INDEX('Fantasy Pros Standard Rankings'!$A$2:$A$561,MATCH('NFL.com Rankings'!D120,'Fantasy Pros Standard Rankings'!$B$2:$B$561,0))</f>
        <v>129</v>
      </c>
      <c r="G120">
        <f t="shared" si="5"/>
        <v>-10</v>
      </c>
      <c r="H120">
        <f t="shared" si="6"/>
        <v>-7.7519379844961239E-2</v>
      </c>
      <c r="I120" t="str">
        <f t="shared" si="7"/>
        <v>Slightly Overvalued</v>
      </c>
      <c r="K120">
        <f t="shared" si="8"/>
        <v>2</v>
      </c>
      <c r="L120" t="str">
        <f>IF(J120="M",COUNTIFS($J$1:J120,"M",$E$1:E120,"WR")&amp;" - "&amp;K120,"N/A")</f>
        <v>N/A</v>
      </c>
    </row>
    <row r="121" spans="1:12" hidden="1">
      <c r="A121" s="1">
        <v>120</v>
      </c>
      <c r="B121" t="s">
        <v>579</v>
      </c>
      <c r="C121" t="s">
        <v>568</v>
      </c>
      <c r="D121" t="s">
        <v>132</v>
      </c>
      <c r="E121" t="str">
        <f>INDEX('NFL.com rankings drop'!$E$2:$E$201,MATCH('NFL.com Rankings'!D121,'NFL.com rankings drop'!$D$2:$D$201,0))</f>
        <v>RB</v>
      </c>
      <c r="F121">
        <f>INDEX('Fantasy Pros Standard Rankings'!$A$2:$A$561,MATCH('NFL.com Rankings'!D121,'Fantasy Pros Standard Rankings'!$B$2:$B$561,0))</f>
        <v>148</v>
      </c>
      <c r="G121">
        <f t="shared" si="5"/>
        <v>-28</v>
      </c>
      <c r="H121">
        <f t="shared" si="6"/>
        <v>-0.1891891891891892</v>
      </c>
      <c r="I121" t="str">
        <f t="shared" si="7"/>
        <v>Pretty Overvalued</v>
      </c>
      <c r="K121">
        <f t="shared" si="8"/>
        <v>2</v>
      </c>
      <c r="L121" t="str">
        <f>IF(J121="M",COUNTIFS($J$1:J121,"M",$E$1:E121,"WR")&amp;" - "&amp;K121,"N/A")</f>
        <v>N/A</v>
      </c>
    </row>
    <row r="122" spans="1:12" hidden="1">
      <c r="A122" s="1">
        <v>121</v>
      </c>
      <c r="B122" t="s">
        <v>749</v>
      </c>
      <c r="C122" t="s">
        <v>750</v>
      </c>
      <c r="D122" t="s">
        <v>333</v>
      </c>
      <c r="E122" t="e">
        <f>INDEX('NFL.com rankings drop'!$E$2:$E$201,MATCH('NFL.com Rankings'!D122,'NFL.com rankings drop'!$D$2:$D$201,0))</f>
        <v>#N/A</v>
      </c>
      <c r="F122" t="e">
        <f>INDEX('Fantasy Pros Standard Rankings'!$A$2:$A$561,MATCH('NFL.com Rankings'!D122,'Fantasy Pros Standard Rankings'!$B$2:$B$561,0))</f>
        <v>#N/A</v>
      </c>
      <c r="G122" t="e">
        <f t="shared" si="5"/>
        <v>#N/A</v>
      </c>
      <c r="H122" t="e">
        <f t="shared" si="6"/>
        <v>#N/A</v>
      </c>
      <c r="I122" t="e">
        <f t="shared" si="7"/>
        <v>#N/A</v>
      </c>
      <c r="K122" t="e">
        <f t="shared" si="8"/>
        <v>#N/A</v>
      </c>
      <c r="L122" t="str">
        <f>IF(J122="M",COUNTIFS($J$1:J122,"M",$E$1:E122,"WR")&amp;" - "&amp;K122,"N/A")</f>
        <v>N/A</v>
      </c>
    </row>
    <row r="123" spans="1:12" hidden="1">
      <c r="A123" s="1">
        <v>122</v>
      </c>
      <c r="B123" t="s">
        <v>751</v>
      </c>
      <c r="C123" t="s">
        <v>752</v>
      </c>
      <c r="D123" t="s">
        <v>114</v>
      </c>
      <c r="E123" t="str">
        <f>INDEX('NFL.com rankings drop'!$E$2:$E$201,MATCH('NFL.com Rankings'!D123,'NFL.com rankings drop'!$D$2:$D$201,0))</f>
        <v>RB</v>
      </c>
      <c r="F123">
        <f>INDEX('Fantasy Pros Standard Rankings'!$A$2:$A$561,MATCH('NFL.com Rankings'!D123,'Fantasy Pros Standard Rankings'!$B$2:$B$561,0))</f>
        <v>140</v>
      </c>
      <c r="G123">
        <f t="shared" si="5"/>
        <v>-18</v>
      </c>
      <c r="H123">
        <f t="shared" si="6"/>
        <v>-0.12857142857142856</v>
      </c>
      <c r="I123" t="str">
        <f t="shared" si="7"/>
        <v>Slightly Overvalued</v>
      </c>
      <c r="K123">
        <f t="shared" si="8"/>
        <v>2</v>
      </c>
      <c r="L123" t="str">
        <f>IF(J123="M",COUNTIFS($J$1:J123,"M",$E$1:E123,"WR")&amp;" - "&amp;K123,"N/A")</f>
        <v>N/A</v>
      </c>
    </row>
    <row r="124" spans="1:12">
      <c r="A124" s="1">
        <v>123</v>
      </c>
      <c r="B124" t="s">
        <v>753</v>
      </c>
      <c r="C124" t="s">
        <v>754</v>
      </c>
      <c r="D124" t="s">
        <v>92</v>
      </c>
      <c r="E124" t="str">
        <f>INDEX('NFL.com rankings drop'!$E$2:$E$201,MATCH('NFL.com Rankings'!D124,'NFL.com rankings drop'!$D$2:$D$201,0))</f>
        <v>RB</v>
      </c>
      <c r="F124">
        <f>INDEX('Fantasy Pros Standard Rankings'!$A$2:$A$561,MATCH('NFL.com Rankings'!D124,'Fantasy Pros Standard Rankings'!$B$2:$B$561,0))</f>
        <v>91</v>
      </c>
      <c r="G124">
        <f t="shared" si="5"/>
        <v>32</v>
      </c>
      <c r="H124">
        <f t="shared" si="6"/>
        <v>0.35164835164835168</v>
      </c>
      <c r="I124" t="str">
        <f t="shared" si="7"/>
        <v>Pretty Undervalued</v>
      </c>
      <c r="K124">
        <f t="shared" si="8"/>
        <v>2</v>
      </c>
      <c r="L124" t="str">
        <f>IF(J124="M",COUNTIFS($J$1:J124,"M",$E$1:E124,"WR")&amp;" - "&amp;K124,"N/A")</f>
        <v>N/A</v>
      </c>
    </row>
    <row r="125" spans="1:12" hidden="1">
      <c r="A125" s="1">
        <v>124</v>
      </c>
      <c r="B125" t="s">
        <v>755</v>
      </c>
      <c r="C125" t="s">
        <v>568</v>
      </c>
      <c r="D125" t="s">
        <v>145</v>
      </c>
      <c r="E125" t="str">
        <f>INDEX('NFL.com rankings drop'!$E$2:$E$201,MATCH('NFL.com Rankings'!D125,'NFL.com rankings drop'!$D$2:$D$201,0))</f>
        <v>RB</v>
      </c>
      <c r="F125">
        <f>INDEX('Fantasy Pros Standard Rankings'!$A$2:$A$561,MATCH('NFL.com Rankings'!D125,'Fantasy Pros Standard Rankings'!$B$2:$B$561,0))</f>
        <v>313</v>
      </c>
      <c r="G125">
        <f t="shared" si="5"/>
        <v>-189</v>
      </c>
      <c r="H125">
        <f t="shared" si="6"/>
        <v>-0.60383386581469645</v>
      </c>
      <c r="I125" t="str">
        <f t="shared" si="7"/>
        <v>Extremely Overvalued</v>
      </c>
      <c r="K125">
        <f t="shared" si="8"/>
        <v>2</v>
      </c>
      <c r="L125" t="str">
        <f>IF(J125="M",COUNTIFS($J$2:J85,"M",$E$2:E85,"QB")&amp;" - "&amp;K85,"N/A")</f>
        <v>N/A</v>
      </c>
    </row>
    <row r="126" spans="1:12" hidden="1">
      <c r="A126" s="1">
        <v>125</v>
      </c>
      <c r="B126" t="s">
        <v>756</v>
      </c>
      <c r="C126" t="s">
        <v>757</v>
      </c>
      <c r="D126" t="s">
        <v>154</v>
      </c>
      <c r="E126" t="str">
        <f>INDEX('NFL.com rankings drop'!$E$2:$E$201,MATCH('NFL.com Rankings'!D126,'NFL.com rankings drop'!$D$2:$D$201,0))</f>
        <v>WR</v>
      </c>
      <c r="F126">
        <f>INDEX('Fantasy Pros Standard Rankings'!$A$2:$A$561,MATCH('NFL.com Rankings'!D126,'Fantasy Pros Standard Rankings'!$B$2:$B$561,0))</f>
        <v>278</v>
      </c>
      <c r="G126">
        <f t="shared" si="5"/>
        <v>-153</v>
      </c>
      <c r="H126">
        <f t="shared" si="6"/>
        <v>-0.55035971223021585</v>
      </c>
      <c r="I126" t="str">
        <f t="shared" si="7"/>
        <v>Extremely Overvalued</v>
      </c>
      <c r="K126">
        <f t="shared" si="8"/>
        <v>3</v>
      </c>
      <c r="L126" t="str">
        <f>IF(J126="M",COUNTIFS($J$2:J86,"M",$E$2:E86,"QB")&amp;" - "&amp;K86,"N/A")</f>
        <v>N/A</v>
      </c>
    </row>
    <row r="127" spans="1:12" hidden="1">
      <c r="A127" s="1">
        <v>126</v>
      </c>
      <c r="B127" t="s">
        <v>758</v>
      </c>
      <c r="C127" t="s">
        <v>759</v>
      </c>
      <c r="D127" t="s">
        <v>149</v>
      </c>
      <c r="E127" t="str">
        <f>INDEX('NFL.com rankings drop'!$E$2:$E$201,MATCH('NFL.com Rankings'!D127,'NFL.com rankings drop'!$D$2:$D$201,0))</f>
        <v>RB</v>
      </c>
      <c r="F127">
        <f>INDEX('Fantasy Pros Standard Rankings'!$A$2:$A$561,MATCH('NFL.com Rankings'!D127,'Fantasy Pros Standard Rankings'!$B$2:$B$561,0))</f>
        <v>415</v>
      </c>
      <c r="G127">
        <f t="shared" si="5"/>
        <v>-289</v>
      </c>
      <c r="H127">
        <f t="shared" si="6"/>
        <v>-0.69638554216867465</v>
      </c>
      <c r="I127" t="str">
        <f t="shared" si="7"/>
        <v>Extremely Overvalued</v>
      </c>
      <c r="K127">
        <f t="shared" si="8"/>
        <v>2</v>
      </c>
      <c r="L127" t="str">
        <f>IF(J127="M",COUNTIFS($J$2:J127,"M",$E$2:E127,"RB")&amp;" - "&amp;K127,"N/A")</f>
        <v>N/A</v>
      </c>
    </row>
    <row r="128" spans="1:12" hidden="1">
      <c r="A128" s="1">
        <v>127</v>
      </c>
      <c r="B128" t="s">
        <v>731</v>
      </c>
      <c r="C128" t="s">
        <v>760</v>
      </c>
      <c r="D128" t="s">
        <v>129</v>
      </c>
      <c r="E128" t="str">
        <f>INDEX('NFL.com rankings drop'!$E$2:$E$201,MATCH('NFL.com Rankings'!D128,'NFL.com rankings drop'!$D$2:$D$201,0))</f>
        <v>WR</v>
      </c>
      <c r="F128">
        <f>INDEX('Fantasy Pros Standard Rankings'!$A$2:$A$561,MATCH('NFL.com Rankings'!D128,'Fantasy Pros Standard Rankings'!$B$2:$B$561,0))</f>
        <v>225</v>
      </c>
      <c r="G128">
        <f t="shared" si="5"/>
        <v>-98</v>
      </c>
      <c r="H128">
        <f t="shared" si="6"/>
        <v>-0.43555555555555553</v>
      </c>
      <c r="I128" t="str">
        <f t="shared" si="7"/>
        <v>Pretty Overvalued</v>
      </c>
      <c r="K128">
        <f t="shared" si="8"/>
        <v>3</v>
      </c>
      <c r="L128" t="str">
        <f>IF(J128="M",COUNTIFS($J$2:J98,"M",$E$2:E98,"TE")&amp;" - "&amp;K98,"N/A")</f>
        <v>N/A</v>
      </c>
    </row>
    <row r="129" spans="1:12" hidden="1">
      <c r="A129" s="1">
        <v>128</v>
      </c>
      <c r="B129" t="s">
        <v>761</v>
      </c>
      <c r="C129" t="s">
        <v>762</v>
      </c>
      <c r="D129" t="s">
        <v>130</v>
      </c>
      <c r="E129" t="str">
        <f>INDEX('NFL.com rankings drop'!$E$2:$E$201,MATCH('NFL.com Rankings'!D129,'NFL.com rankings drop'!$D$2:$D$201,0))</f>
        <v>WR</v>
      </c>
      <c r="F129">
        <f>INDEX('Fantasy Pros Standard Rankings'!$A$2:$A$561,MATCH('NFL.com Rankings'!D129,'Fantasy Pros Standard Rankings'!$B$2:$B$561,0))</f>
        <v>105</v>
      </c>
      <c r="G129">
        <f t="shared" si="5"/>
        <v>23</v>
      </c>
      <c r="H129">
        <f t="shared" si="6"/>
        <v>0.21904761904761905</v>
      </c>
      <c r="I129" t="str">
        <f t="shared" si="7"/>
        <v>Pretty Undervalued</v>
      </c>
      <c r="K129">
        <f t="shared" si="8"/>
        <v>3</v>
      </c>
      <c r="L129" t="str">
        <f>IF(J129="M",COUNTIFS($J$2:J129,"M",$E$2:E129,"RB")&amp;" - "&amp;K129,"N/A")</f>
        <v>N/A</v>
      </c>
    </row>
    <row r="130" spans="1:12" hidden="1">
      <c r="A130" s="1">
        <v>129</v>
      </c>
      <c r="B130" t="s">
        <v>763</v>
      </c>
      <c r="C130" t="s">
        <v>764</v>
      </c>
      <c r="D130" t="s">
        <v>105</v>
      </c>
      <c r="E130" t="str">
        <f>INDEX('NFL.com rankings drop'!$E$2:$E$201,MATCH('NFL.com Rankings'!D130,'NFL.com rankings drop'!$D$2:$D$201,0))</f>
        <v>QB</v>
      </c>
      <c r="F130">
        <f>INDEX('Fantasy Pros Standard Rankings'!$A$2:$A$561,MATCH('NFL.com Rankings'!D130,'Fantasy Pros Standard Rankings'!$B$2:$B$561,0))</f>
        <v>102</v>
      </c>
      <c r="G130">
        <f t="shared" si="5"/>
        <v>27</v>
      </c>
      <c r="H130">
        <f t="shared" si="6"/>
        <v>0.26470588235294118</v>
      </c>
      <c r="I130" t="str">
        <f t="shared" si="7"/>
        <v>Pretty Undervalued</v>
      </c>
      <c r="K130">
        <f t="shared" si="8"/>
        <v>1</v>
      </c>
      <c r="L130" t="str">
        <f>IF(J130="M",COUNTIFS($J$1:J130,"M",$E$1:E130,"WR")&amp;" - "&amp;K130,"N/A")</f>
        <v>N/A</v>
      </c>
    </row>
    <row r="131" spans="1:12">
      <c r="A131" s="1">
        <v>130</v>
      </c>
      <c r="B131" t="s">
        <v>765</v>
      </c>
      <c r="C131" t="s">
        <v>766</v>
      </c>
      <c r="D131" t="s">
        <v>88</v>
      </c>
      <c r="E131" t="str">
        <f>INDEX('NFL.com rankings drop'!$E$2:$E$201,MATCH('NFL.com Rankings'!D131,'NFL.com rankings drop'!$D$2:$D$201,0))</f>
        <v>QB</v>
      </c>
      <c r="F131">
        <f>INDEX('Fantasy Pros Standard Rankings'!$A$2:$A$561,MATCH('NFL.com Rankings'!D131,'Fantasy Pros Standard Rankings'!$B$2:$B$561,0))</f>
        <v>72</v>
      </c>
      <c r="G131">
        <f t="shared" ref="G131:G192" si="9">A131-F131</f>
        <v>58</v>
      </c>
      <c r="H131">
        <f t="shared" ref="H131:H192" si="10">G131/F131</f>
        <v>0.80555555555555558</v>
      </c>
      <c r="I131" t="str">
        <f t="shared" ref="I131:I192" si="11">IF(AND(H131 &gt; -1, H131 &lt;= -0.5), "Extremely Overvalued",
IF(AND(H131 &gt; -0.5, H131 &lt;= -0.15), "Pretty Overvalued",
IF(AND(H131 &gt; -0.15, H131 &lt; 0), "Slightly Overvalued",
IF(H131 = 0, "At ADP",
IF(AND(H131 &gt; 0, H131 &lt;= 0.15), "Slightly Undervalued",
IF(AND(H131 &gt; 0.15, H131 &lt;= 0.5), "Pretty Undervalued",
IF(AND(H131 &gt; 0.5, H131 &lt;= 1), "Extremely Undervalued", "")))))))</f>
        <v>Extremely Undervalued</v>
      </c>
      <c r="K131">
        <f t="shared" ref="K131:K192" si="12">IF(E131="QB",1,IF(E131="RB",2,IF(E131="WR",3,IF(E131="TE",4,IF(E131="K",5,"Check")))))</f>
        <v>1</v>
      </c>
      <c r="L131" t="str">
        <f>IF(J131="M",COUNTIFS($J$1:J131,"M",$E$1:E131,"WR")&amp;" - "&amp;K131,"N/A")</f>
        <v>N/A</v>
      </c>
    </row>
    <row r="132" spans="1:12" hidden="1">
      <c r="A132" s="1">
        <v>131</v>
      </c>
      <c r="B132" t="s">
        <v>767</v>
      </c>
      <c r="C132" t="s">
        <v>768</v>
      </c>
      <c r="D132" t="s">
        <v>156</v>
      </c>
      <c r="E132" t="str">
        <f>INDEX('NFL.com rankings drop'!$E$2:$E$201,MATCH('NFL.com Rankings'!D132,'NFL.com rankings drop'!$D$2:$D$201,0))</f>
        <v>WR</v>
      </c>
      <c r="F132">
        <f>INDEX('Fantasy Pros Standard Rankings'!$A$2:$A$561,MATCH('NFL.com Rankings'!D132,'Fantasy Pros Standard Rankings'!$B$2:$B$561,0))</f>
        <v>54</v>
      </c>
      <c r="G132">
        <f t="shared" si="9"/>
        <v>77</v>
      </c>
      <c r="H132">
        <f t="shared" si="10"/>
        <v>1.4259259259259258</v>
      </c>
      <c r="I132" t="str">
        <f t="shared" si="11"/>
        <v/>
      </c>
      <c r="K132">
        <f t="shared" si="12"/>
        <v>3</v>
      </c>
      <c r="L132" t="str">
        <f>IF(J132="M",COUNTIFS($J$1:J132,"M",$E$1:E132,"WR")&amp;" - "&amp;K132,"N/A")</f>
        <v>N/A</v>
      </c>
    </row>
    <row r="133" spans="1:12" hidden="1">
      <c r="A133" s="1">
        <v>132</v>
      </c>
      <c r="B133" t="s">
        <v>769</v>
      </c>
      <c r="C133" t="s">
        <v>770</v>
      </c>
      <c r="D133" t="s">
        <v>102</v>
      </c>
      <c r="E133" t="str">
        <f>INDEX('NFL.com rankings drop'!$E$2:$E$201,MATCH('NFL.com Rankings'!D133,'NFL.com rankings drop'!$D$2:$D$201,0))</f>
        <v>QB</v>
      </c>
      <c r="F133">
        <f>INDEX('Fantasy Pros Standard Rankings'!$A$2:$A$561,MATCH('NFL.com Rankings'!D133,'Fantasy Pros Standard Rankings'!$B$2:$B$561,0))</f>
        <v>68</v>
      </c>
      <c r="G133">
        <f t="shared" si="9"/>
        <v>64</v>
      </c>
      <c r="H133">
        <f t="shared" si="10"/>
        <v>0.94117647058823528</v>
      </c>
      <c r="I133" t="str">
        <f t="shared" si="11"/>
        <v>Extremely Undervalued</v>
      </c>
      <c r="K133">
        <f t="shared" si="12"/>
        <v>1</v>
      </c>
      <c r="L133" t="str">
        <f>IF(J133="M",COUNTIFS($J$1:J133,"M",$E$1:E133,"WR")&amp;" - "&amp;K133,"N/A")</f>
        <v>N/A</v>
      </c>
    </row>
    <row r="134" spans="1:12" hidden="1">
      <c r="A134" s="1">
        <v>133</v>
      </c>
      <c r="B134" t="s">
        <v>771</v>
      </c>
      <c r="C134" t="s">
        <v>772</v>
      </c>
      <c r="D134" t="s">
        <v>125</v>
      </c>
      <c r="E134" t="str">
        <f>INDEX('NFL.com rankings drop'!$E$2:$E$201,MATCH('NFL.com Rankings'!D134,'NFL.com rankings drop'!$D$2:$D$201,0))</f>
        <v>TE</v>
      </c>
      <c r="F134">
        <f>INDEX('Fantasy Pros Standard Rankings'!$A$2:$A$561,MATCH('NFL.com Rankings'!D134,'Fantasy Pros Standard Rankings'!$B$2:$B$561,0))</f>
        <v>100</v>
      </c>
      <c r="G134">
        <f t="shared" si="9"/>
        <v>33</v>
      </c>
      <c r="H134">
        <f t="shared" si="10"/>
        <v>0.33</v>
      </c>
      <c r="I134" t="str">
        <f t="shared" si="11"/>
        <v>Pretty Undervalued</v>
      </c>
      <c r="K134">
        <f t="shared" si="12"/>
        <v>4</v>
      </c>
      <c r="L134" t="str">
        <f>IF(J134="M",COUNTIFS($J$2:J134,"M",$E$2:E134,"RB")&amp;" - "&amp;K134,"N/A")</f>
        <v>N/A</v>
      </c>
    </row>
    <row r="135" spans="1:12">
      <c r="A135" s="1">
        <v>134</v>
      </c>
      <c r="B135" t="s">
        <v>658</v>
      </c>
      <c r="C135" t="s">
        <v>773</v>
      </c>
      <c r="D135" t="s">
        <v>116</v>
      </c>
      <c r="E135" t="str">
        <f>INDEX('NFL.com rankings drop'!$E$2:$E$201,MATCH('NFL.com Rankings'!D135,'NFL.com rankings drop'!$D$2:$D$201,0))</f>
        <v>WR</v>
      </c>
      <c r="F135">
        <f>INDEX('Fantasy Pros Standard Rankings'!$A$2:$A$561,MATCH('NFL.com Rankings'!D135,'Fantasy Pros Standard Rankings'!$B$2:$B$561,0))</f>
        <v>38</v>
      </c>
      <c r="G135">
        <f t="shared" si="9"/>
        <v>96</v>
      </c>
      <c r="H135">
        <f t="shared" si="10"/>
        <v>2.5263157894736841</v>
      </c>
      <c r="I135" t="str">
        <f t="shared" si="11"/>
        <v/>
      </c>
      <c r="K135">
        <f t="shared" si="12"/>
        <v>3</v>
      </c>
      <c r="L135" t="str">
        <f>IF(J135="M",COUNTIFS($J$2:J105,"M",$E$2:E105,"TE")&amp;" - "&amp;K105,"N/A")</f>
        <v>N/A</v>
      </c>
    </row>
    <row r="136" spans="1:12" hidden="1">
      <c r="A136" s="1">
        <v>135</v>
      </c>
      <c r="B136" t="s">
        <v>774</v>
      </c>
      <c r="C136" t="s">
        <v>775</v>
      </c>
      <c r="D136" t="s">
        <v>177</v>
      </c>
      <c r="E136" t="str">
        <f>INDEX('NFL.com rankings drop'!$E$2:$E$201,MATCH('NFL.com Rankings'!D136,'NFL.com rankings drop'!$D$2:$D$201,0))</f>
        <v>WR</v>
      </c>
      <c r="F136">
        <f>INDEX('Fantasy Pros Standard Rankings'!$A$2:$A$561,MATCH('NFL.com Rankings'!D136,'Fantasy Pros Standard Rankings'!$B$2:$B$561,0))</f>
        <v>282</v>
      </c>
      <c r="G136">
        <f t="shared" si="9"/>
        <v>-147</v>
      </c>
      <c r="H136">
        <f t="shared" si="10"/>
        <v>-0.52127659574468088</v>
      </c>
      <c r="I136" t="str">
        <f t="shared" si="11"/>
        <v>Extremely Overvalued</v>
      </c>
      <c r="K136">
        <f t="shared" si="12"/>
        <v>3</v>
      </c>
      <c r="L136" t="str">
        <f>IF(J136="M",COUNTIFS($J$1:J136,"M",$E$1:E136,"WR")&amp;" - "&amp;K136,"N/A")</f>
        <v>N/A</v>
      </c>
    </row>
    <row r="137" spans="1:12" hidden="1">
      <c r="A137" s="1">
        <v>136</v>
      </c>
      <c r="B137" t="s">
        <v>776</v>
      </c>
      <c r="C137" t="s">
        <v>777</v>
      </c>
      <c r="D137" t="s">
        <v>178</v>
      </c>
      <c r="E137" t="str">
        <f>INDEX('NFL.com rankings drop'!$E$2:$E$201,MATCH('NFL.com Rankings'!D137,'NFL.com rankings drop'!$D$2:$D$201,0))</f>
        <v>WR</v>
      </c>
      <c r="F137">
        <f>INDEX('Fantasy Pros Standard Rankings'!$A$2:$A$561,MATCH('NFL.com Rankings'!D137,'Fantasy Pros Standard Rankings'!$B$2:$B$561,0))</f>
        <v>164</v>
      </c>
      <c r="G137">
        <f t="shared" si="9"/>
        <v>-28</v>
      </c>
      <c r="H137">
        <f t="shared" si="10"/>
        <v>-0.17073170731707318</v>
      </c>
      <c r="I137" t="str">
        <f t="shared" si="11"/>
        <v>Pretty Overvalued</v>
      </c>
      <c r="K137">
        <f t="shared" si="12"/>
        <v>3</v>
      </c>
      <c r="L137" t="str">
        <f>IF(J137="M",COUNTIFS($J$1:J137,"M",$E$1:E137,"WR")&amp;" - "&amp;K137,"N/A")</f>
        <v>N/A</v>
      </c>
    </row>
    <row r="138" spans="1:12" hidden="1">
      <c r="A138" s="1">
        <v>137</v>
      </c>
      <c r="B138" t="s">
        <v>778</v>
      </c>
      <c r="C138" t="s">
        <v>779</v>
      </c>
      <c r="D138" t="s">
        <v>134</v>
      </c>
      <c r="E138" t="str">
        <f>INDEX('NFL.com rankings drop'!$E$2:$E$201,MATCH('NFL.com Rankings'!D138,'NFL.com rankings drop'!$D$2:$D$201,0))</f>
        <v>RB</v>
      </c>
      <c r="F138">
        <f>INDEX('Fantasy Pros Standard Rankings'!$A$2:$A$561,MATCH('NFL.com Rankings'!D138,'Fantasy Pros Standard Rankings'!$B$2:$B$561,0))</f>
        <v>175</v>
      </c>
      <c r="G138">
        <f t="shared" si="9"/>
        <v>-38</v>
      </c>
      <c r="H138">
        <f t="shared" si="10"/>
        <v>-0.21714285714285714</v>
      </c>
      <c r="I138" t="str">
        <f t="shared" si="11"/>
        <v>Pretty Overvalued</v>
      </c>
      <c r="K138">
        <f t="shared" si="12"/>
        <v>2</v>
      </c>
      <c r="L138" t="str">
        <f>IF(J138="M",COUNTIFS($J$2:J98,"M",$E$2:E98,"QB")&amp;" - "&amp;K98,"N/A")</f>
        <v>N/A</v>
      </c>
    </row>
    <row r="139" spans="1:12" hidden="1">
      <c r="A139" s="1">
        <v>138</v>
      </c>
      <c r="B139" t="s">
        <v>780</v>
      </c>
      <c r="C139" t="s">
        <v>733</v>
      </c>
      <c r="D139" t="s">
        <v>173</v>
      </c>
      <c r="E139" t="str">
        <f>INDEX('NFL.com rankings drop'!$E$2:$E$201,MATCH('NFL.com Rankings'!D139,'NFL.com rankings drop'!$D$2:$D$201,0))</f>
        <v>RB</v>
      </c>
      <c r="F139">
        <f>INDEX('Fantasy Pros Standard Rankings'!$A$2:$A$561,MATCH('NFL.com Rankings'!D139,'Fantasy Pros Standard Rankings'!$B$2:$B$561,0))</f>
        <v>370</v>
      </c>
      <c r="G139">
        <f t="shared" si="9"/>
        <v>-232</v>
      </c>
      <c r="H139">
        <f t="shared" si="10"/>
        <v>-0.62702702702702706</v>
      </c>
      <c r="I139" t="str">
        <f t="shared" si="11"/>
        <v>Extremely Overvalued</v>
      </c>
      <c r="K139">
        <f t="shared" si="12"/>
        <v>2</v>
      </c>
      <c r="L139" t="str">
        <f>IF(J139="M",COUNTIFS($J$2:J99,"M",$E$2:E99,"QB")&amp;" - "&amp;K99,"N/A")</f>
        <v>N/A</v>
      </c>
    </row>
    <row r="140" spans="1:12" hidden="1">
      <c r="A140" s="1">
        <v>139</v>
      </c>
      <c r="B140" t="s">
        <v>676</v>
      </c>
      <c r="C140" t="s">
        <v>781</v>
      </c>
      <c r="D140" t="s">
        <v>141</v>
      </c>
      <c r="E140" t="str">
        <f>INDEX('NFL.com rankings drop'!$E$2:$E$201,MATCH('NFL.com Rankings'!D140,'NFL.com rankings drop'!$D$2:$D$201,0))</f>
        <v>RB</v>
      </c>
      <c r="F140">
        <f>INDEX('Fantasy Pros Standard Rankings'!$A$2:$A$561,MATCH('NFL.com Rankings'!D140,'Fantasy Pros Standard Rankings'!$B$2:$B$561,0))</f>
        <v>312</v>
      </c>
      <c r="G140">
        <f t="shared" si="9"/>
        <v>-173</v>
      </c>
      <c r="H140">
        <f t="shared" si="10"/>
        <v>-0.55448717948717952</v>
      </c>
      <c r="I140" t="str">
        <f t="shared" si="11"/>
        <v>Extremely Overvalued</v>
      </c>
      <c r="K140">
        <f t="shared" si="12"/>
        <v>2</v>
      </c>
      <c r="L140" t="str">
        <f>IF(J140="M",COUNTIFS($J$2:J100,"M",$E$2:E100,"QB")&amp;" - "&amp;K100,"N/A")</f>
        <v>N/A</v>
      </c>
    </row>
    <row r="141" spans="1:12" hidden="1">
      <c r="A141" s="1">
        <v>140</v>
      </c>
      <c r="B141" t="s">
        <v>585</v>
      </c>
      <c r="C141" t="s">
        <v>547</v>
      </c>
      <c r="D141" t="s">
        <v>147</v>
      </c>
      <c r="E141" t="str">
        <f>INDEX('NFL.com rankings drop'!$E$2:$E$201,MATCH('NFL.com Rankings'!D141,'NFL.com rankings drop'!$D$2:$D$201,0))</f>
        <v>RB</v>
      </c>
      <c r="F141">
        <f>INDEX('Fantasy Pros Standard Rankings'!$A$2:$A$561,MATCH('NFL.com Rankings'!D141,'Fantasy Pros Standard Rankings'!$B$2:$B$561,0))</f>
        <v>152</v>
      </c>
      <c r="G141">
        <f t="shared" si="9"/>
        <v>-12</v>
      </c>
      <c r="H141">
        <f t="shared" si="10"/>
        <v>-7.8947368421052627E-2</v>
      </c>
      <c r="I141" t="str">
        <f t="shared" si="11"/>
        <v>Slightly Overvalued</v>
      </c>
      <c r="K141">
        <f t="shared" si="12"/>
        <v>2</v>
      </c>
      <c r="L141" t="str">
        <f>IF(J141="M",COUNTIFS($J$1:J141,"M",$E$1:E141,"WR")&amp;" - "&amp;K141,"N/A")</f>
        <v>N/A</v>
      </c>
    </row>
    <row r="142" spans="1:12" hidden="1">
      <c r="A142" s="1">
        <v>141</v>
      </c>
      <c r="B142" t="s">
        <v>782</v>
      </c>
      <c r="C142" t="s">
        <v>783</v>
      </c>
      <c r="D142" t="s">
        <v>184</v>
      </c>
      <c r="E142" t="str">
        <f>INDEX('NFL.com rankings drop'!$E$2:$E$201,MATCH('NFL.com Rankings'!D142,'NFL.com rankings drop'!$D$2:$D$201,0))</f>
        <v>WR</v>
      </c>
      <c r="F142">
        <f>INDEX('Fantasy Pros Standard Rankings'!$A$2:$A$561,MATCH('NFL.com Rankings'!D142,'Fantasy Pros Standard Rankings'!$B$2:$B$561,0))</f>
        <v>348</v>
      </c>
      <c r="G142">
        <f t="shared" si="9"/>
        <v>-207</v>
      </c>
      <c r="H142">
        <f t="shared" si="10"/>
        <v>-0.59482758620689657</v>
      </c>
      <c r="I142" t="str">
        <f t="shared" si="11"/>
        <v>Extremely Overvalued</v>
      </c>
      <c r="K142">
        <f t="shared" si="12"/>
        <v>3</v>
      </c>
      <c r="L142" t="str">
        <f>IF(J142="M",COUNTIFS($J$1:J142,"M",$E$1:E142,"WR")&amp;" - "&amp;K142,"N/A")</f>
        <v>N/A</v>
      </c>
    </row>
    <row r="143" spans="1:12" hidden="1">
      <c r="A143" s="1">
        <v>142</v>
      </c>
      <c r="B143" t="s">
        <v>558</v>
      </c>
      <c r="C143" t="s">
        <v>784</v>
      </c>
      <c r="D143" t="s">
        <v>259</v>
      </c>
      <c r="E143" t="str">
        <f>INDEX('NFL.com rankings drop'!$E$2:$E$201,MATCH('NFL.com Rankings'!D143,'NFL.com rankings drop'!$D$2:$D$201,0))</f>
        <v>WR</v>
      </c>
      <c r="F143" t="e">
        <f>INDEX('Fantasy Pros Standard Rankings'!$A$2:$A$561,MATCH('NFL.com Rankings'!D143,'Fantasy Pros Standard Rankings'!$B$2:$B$561,0))</f>
        <v>#N/A</v>
      </c>
      <c r="G143" t="e">
        <f t="shared" si="9"/>
        <v>#N/A</v>
      </c>
      <c r="H143" t="e">
        <f t="shared" si="10"/>
        <v>#N/A</v>
      </c>
      <c r="I143" t="e">
        <f t="shared" si="11"/>
        <v>#N/A</v>
      </c>
      <c r="K143">
        <f t="shared" si="12"/>
        <v>3</v>
      </c>
      <c r="L143" t="str">
        <f>IF(J143="M",COUNTIFS($J$1:J143,"M",$E$1:E143,"WR")&amp;" - "&amp;K143,"N/A")</f>
        <v>N/A</v>
      </c>
    </row>
    <row r="144" spans="1:12" hidden="1">
      <c r="A144" s="1">
        <v>143</v>
      </c>
      <c r="B144" t="s">
        <v>785</v>
      </c>
      <c r="C144" t="s">
        <v>786</v>
      </c>
      <c r="D144" t="s">
        <v>118</v>
      </c>
      <c r="E144" t="str">
        <f>INDEX('NFL.com rankings drop'!$E$2:$E$201,MATCH('NFL.com Rankings'!D144,'NFL.com rankings drop'!$D$2:$D$201,0))</f>
        <v>QB</v>
      </c>
      <c r="F144">
        <f>INDEX('Fantasy Pros Standard Rankings'!$A$2:$A$561,MATCH('NFL.com Rankings'!D144,'Fantasy Pros Standard Rankings'!$B$2:$B$561,0))</f>
        <v>119</v>
      </c>
      <c r="G144">
        <f t="shared" si="9"/>
        <v>24</v>
      </c>
      <c r="H144">
        <f t="shared" si="10"/>
        <v>0.20168067226890757</v>
      </c>
      <c r="I144" t="str">
        <f t="shared" si="11"/>
        <v>Pretty Undervalued</v>
      </c>
      <c r="K144">
        <f t="shared" si="12"/>
        <v>1</v>
      </c>
      <c r="L144" t="str">
        <f>IF(J144="M",COUNTIFS($J$2:J104,"M",$E$2:E104,"QB")&amp;" - "&amp;K104,"N/A")</f>
        <v>N/A</v>
      </c>
    </row>
    <row r="145" spans="1:12" hidden="1">
      <c r="A145" s="1">
        <v>144</v>
      </c>
      <c r="B145" t="s">
        <v>787</v>
      </c>
      <c r="C145" t="s">
        <v>788</v>
      </c>
      <c r="D145" t="s">
        <v>110</v>
      </c>
      <c r="E145" t="str">
        <f>INDEX('NFL.com rankings drop'!$E$2:$E$201,MATCH('NFL.com Rankings'!D145,'NFL.com rankings drop'!$D$2:$D$201,0))</f>
        <v>QB</v>
      </c>
      <c r="F145">
        <f>INDEX('Fantasy Pros Standard Rankings'!$A$2:$A$561,MATCH('NFL.com Rankings'!D145,'Fantasy Pros Standard Rankings'!$B$2:$B$561,0))</f>
        <v>34</v>
      </c>
      <c r="G145">
        <f t="shared" si="9"/>
        <v>110</v>
      </c>
      <c r="H145">
        <f t="shared" si="10"/>
        <v>3.2352941176470589</v>
      </c>
      <c r="I145" t="str">
        <f t="shared" si="11"/>
        <v/>
      </c>
      <c r="K145">
        <f t="shared" si="12"/>
        <v>1</v>
      </c>
      <c r="L145" t="str">
        <f>IF(J145="M",COUNTIFS($J$2:J115,"M",$E$2:E115,"TE")&amp;" - "&amp;K115,"N/A")</f>
        <v>N/A</v>
      </c>
    </row>
    <row r="146" spans="1:12" hidden="1">
      <c r="A146" s="1">
        <v>145</v>
      </c>
      <c r="B146" t="s">
        <v>789</v>
      </c>
      <c r="C146" t="s">
        <v>790</v>
      </c>
      <c r="D146" t="s">
        <v>162</v>
      </c>
      <c r="E146" t="str">
        <f>INDEX('NFL.com rankings drop'!$E$2:$E$201,MATCH('NFL.com Rankings'!D146,'NFL.com rankings drop'!$D$2:$D$201,0))</f>
        <v>QB</v>
      </c>
      <c r="F146">
        <f>INDEX('Fantasy Pros Standard Rankings'!$A$2:$A$561,MATCH('NFL.com Rankings'!D146,'Fantasy Pros Standard Rankings'!$B$2:$B$561,0))</f>
        <v>103</v>
      </c>
      <c r="G146">
        <f t="shared" si="9"/>
        <v>42</v>
      </c>
      <c r="H146">
        <f t="shared" si="10"/>
        <v>0.40776699029126212</v>
      </c>
      <c r="I146" t="str">
        <f t="shared" si="11"/>
        <v>Pretty Undervalued</v>
      </c>
      <c r="K146">
        <f t="shared" si="12"/>
        <v>1</v>
      </c>
      <c r="L146" t="str">
        <f>IF(J146="M",COUNTIFS($J$1:J146,"M",$E$1:E146,"WR")&amp;" - "&amp;K146,"N/A")</f>
        <v>N/A</v>
      </c>
    </row>
    <row r="147" spans="1:12" hidden="1">
      <c r="A147" s="1">
        <v>146</v>
      </c>
      <c r="B147" t="s">
        <v>625</v>
      </c>
      <c r="C147" t="s">
        <v>791</v>
      </c>
      <c r="D147" t="s">
        <v>160</v>
      </c>
      <c r="E147" t="str">
        <f>INDEX('NFL.com rankings drop'!$E$2:$E$201,MATCH('NFL.com Rankings'!D147,'NFL.com rankings drop'!$D$2:$D$201,0))</f>
        <v>RB</v>
      </c>
      <c r="F147">
        <f>INDEX('Fantasy Pros Standard Rankings'!$A$2:$A$561,MATCH('NFL.com Rankings'!D147,'Fantasy Pros Standard Rankings'!$B$2:$B$561,0))</f>
        <v>217</v>
      </c>
      <c r="G147">
        <f t="shared" si="9"/>
        <v>-71</v>
      </c>
      <c r="H147">
        <f t="shared" si="10"/>
        <v>-0.32718894009216593</v>
      </c>
      <c r="I147" t="str">
        <f t="shared" si="11"/>
        <v>Pretty Overvalued</v>
      </c>
      <c r="K147">
        <f t="shared" si="12"/>
        <v>2</v>
      </c>
      <c r="L147" t="str">
        <f>IF(J147="M",COUNTIFS($J$2:J107,"M",$E$2:E107,"QB")&amp;" - "&amp;K107,"N/A")</f>
        <v>N/A</v>
      </c>
    </row>
    <row r="148" spans="1:12" hidden="1">
      <c r="A148" s="1">
        <v>147</v>
      </c>
      <c r="B148" t="s">
        <v>613</v>
      </c>
      <c r="C148" t="s">
        <v>792</v>
      </c>
      <c r="D148" t="s">
        <v>124</v>
      </c>
      <c r="E148" t="str">
        <f>INDEX('NFL.com rankings drop'!$E$2:$E$201,MATCH('NFL.com Rankings'!D148,'NFL.com rankings drop'!$D$2:$D$201,0))</f>
        <v>QB</v>
      </c>
      <c r="F148">
        <f>INDEX('Fantasy Pros Standard Rankings'!$A$2:$A$561,MATCH('NFL.com Rankings'!D148,'Fantasy Pros Standard Rankings'!$B$2:$B$561,0))</f>
        <v>146</v>
      </c>
      <c r="G148">
        <f t="shared" si="9"/>
        <v>1</v>
      </c>
      <c r="H148">
        <f t="shared" si="10"/>
        <v>6.8493150684931503E-3</v>
      </c>
      <c r="I148" t="str">
        <f t="shared" si="11"/>
        <v>Slightly Undervalued</v>
      </c>
      <c r="K148">
        <f t="shared" si="12"/>
        <v>1</v>
      </c>
      <c r="L148" t="str">
        <f>IF(J148="M",COUNTIFS($J$1:J148,"M",$E$1:E148,"WR")&amp;" - "&amp;K148,"N/A")</f>
        <v>N/A</v>
      </c>
    </row>
    <row r="149" spans="1:12" hidden="1">
      <c r="A149" s="1">
        <v>148</v>
      </c>
      <c r="B149" t="s">
        <v>793</v>
      </c>
      <c r="C149" t="s">
        <v>547</v>
      </c>
      <c r="D149" t="s">
        <v>190</v>
      </c>
      <c r="E149" t="str">
        <f>INDEX('NFL.com rankings drop'!$E$2:$E$201,MATCH('NFL.com Rankings'!D149,'NFL.com rankings drop'!$D$2:$D$201,0))</f>
        <v>WR</v>
      </c>
      <c r="F149">
        <f>INDEX('Fantasy Pros Standard Rankings'!$A$2:$A$561,MATCH('NFL.com Rankings'!D149,'Fantasy Pros Standard Rankings'!$B$2:$B$561,0))</f>
        <v>277</v>
      </c>
      <c r="G149">
        <f t="shared" si="9"/>
        <v>-129</v>
      </c>
      <c r="H149">
        <f t="shared" si="10"/>
        <v>-0.46570397111913359</v>
      </c>
      <c r="I149" t="str">
        <f t="shared" si="11"/>
        <v>Pretty Overvalued</v>
      </c>
      <c r="K149">
        <f t="shared" si="12"/>
        <v>3</v>
      </c>
      <c r="L149" t="str">
        <f>IF(J149="M",COUNTIFS($J$2:J109,"M",$E$2:E109,"QB")&amp;" - "&amp;K109,"N/A")</f>
        <v>N/A</v>
      </c>
    </row>
    <row r="150" spans="1:12" hidden="1">
      <c r="A150" s="1">
        <v>149</v>
      </c>
      <c r="B150" t="s">
        <v>794</v>
      </c>
      <c r="C150" t="s">
        <v>795</v>
      </c>
      <c r="D150" t="s">
        <v>135</v>
      </c>
      <c r="E150" t="str">
        <f>INDEX('NFL.com rankings drop'!$E$2:$E$201,MATCH('NFL.com Rankings'!D150,'NFL.com rankings drop'!$D$2:$D$201,0))</f>
        <v>TE</v>
      </c>
      <c r="F150">
        <f>INDEX('Fantasy Pros Standard Rankings'!$A$2:$A$561,MATCH('NFL.com Rankings'!D150,'Fantasy Pros Standard Rankings'!$B$2:$B$561,0))</f>
        <v>86</v>
      </c>
      <c r="G150">
        <f t="shared" si="9"/>
        <v>63</v>
      </c>
      <c r="H150">
        <f t="shared" si="10"/>
        <v>0.73255813953488369</v>
      </c>
      <c r="I150" t="str">
        <f t="shared" si="11"/>
        <v>Extremely Undervalued</v>
      </c>
      <c r="K150">
        <f t="shared" si="12"/>
        <v>4</v>
      </c>
      <c r="L150" t="str">
        <f>IF(J150="M",COUNTIFS($J$1:J150,"M",$E$1:E150,"WR")&amp;" - "&amp;K150,"N/A")</f>
        <v>N/A</v>
      </c>
    </row>
    <row r="151" spans="1:12" hidden="1">
      <c r="A151" s="1">
        <v>150</v>
      </c>
      <c r="B151" t="s">
        <v>796</v>
      </c>
      <c r="C151" t="s">
        <v>592</v>
      </c>
      <c r="D151" t="s">
        <v>305</v>
      </c>
      <c r="E151" t="str">
        <f>INDEX('NFL.com rankings drop'!$E$2:$E$201,MATCH('NFL.com Rankings'!D151,'NFL.com rankings drop'!$D$2:$D$201,0))</f>
        <v>TE</v>
      </c>
      <c r="F151">
        <f>INDEX('Fantasy Pros Standard Rankings'!$A$2:$A$561,MATCH('NFL.com Rankings'!D151,'Fantasy Pros Standard Rankings'!$B$2:$B$561,0))</f>
        <v>306</v>
      </c>
      <c r="G151">
        <f t="shared" si="9"/>
        <v>-156</v>
      </c>
      <c r="H151">
        <f t="shared" si="10"/>
        <v>-0.50980392156862742</v>
      </c>
      <c r="I151" t="str">
        <f t="shared" si="11"/>
        <v>Extremely Overvalued</v>
      </c>
      <c r="K151">
        <f t="shared" si="12"/>
        <v>4</v>
      </c>
      <c r="L151" t="str">
        <f>IF(J151="M",COUNTIFS($J$2:J111,"M",$E$2:E111,"QB")&amp;" - "&amp;K111,"N/A")</f>
        <v>N/A</v>
      </c>
    </row>
    <row r="152" spans="1:12" hidden="1">
      <c r="A152" s="1">
        <v>151</v>
      </c>
      <c r="B152" t="s">
        <v>797</v>
      </c>
      <c r="C152" t="s">
        <v>798</v>
      </c>
      <c r="D152" t="s">
        <v>146</v>
      </c>
      <c r="E152" t="str">
        <f>INDEX('NFL.com rankings drop'!$E$2:$E$201,MATCH('NFL.com Rankings'!D152,'NFL.com rankings drop'!$D$2:$D$201,0))</f>
        <v>WR</v>
      </c>
      <c r="F152">
        <f>INDEX('Fantasy Pros Standard Rankings'!$A$2:$A$561,MATCH('NFL.com Rankings'!D152,'Fantasy Pros Standard Rankings'!$B$2:$B$561,0))</f>
        <v>209</v>
      </c>
      <c r="G152">
        <f t="shared" si="9"/>
        <v>-58</v>
      </c>
      <c r="H152">
        <f t="shared" si="10"/>
        <v>-0.27751196172248804</v>
      </c>
      <c r="I152" t="str">
        <f t="shared" si="11"/>
        <v>Pretty Overvalued</v>
      </c>
      <c r="K152">
        <f t="shared" si="12"/>
        <v>3</v>
      </c>
      <c r="L152" t="str">
        <f>IF(J152="M",COUNTIFS($J$2:J112,"M",$E$2:E112,"QB")&amp;" - "&amp;K112,"N/A")</f>
        <v>N/A</v>
      </c>
    </row>
    <row r="153" spans="1:12" hidden="1">
      <c r="A153" s="1">
        <v>152</v>
      </c>
      <c r="B153" t="s">
        <v>799</v>
      </c>
      <c r="C153" t="s">
        <v>800</v>
      </c>
      <c r="D153" t="s">
        <v>123</v>
      </c>
      <c r="E153" t="str">
        <f>INDEX('NFL.com rankings drop'!$E$2:$E$201,MATCH('NFL.com Rankings'!D153,'NFL.com rankings drop'!$D$2:$D$201,0))</f>
        <v>QB</v>
      </c>
      <c r="F153">
        <f>IFERROR(INDEX('Fantasy Pros Standard Rankings'!$A$2:$A$561,MATCH('NFL.com Rankings'!D153,'Fantasy Pros Standard Rankings'!$B$2:$B$561,0)),"N/A")</f>
        <v>70</v>
      </c>
      <c r="G153">
        <f t="shared" si="9"/>
        <v>82</v>
      </c>
      <c r="H153">
        <f t="shared" si="10"/>
        <v>1.1714285714285715</v>
      </c>
      <c r="I153" t="str">
        <f t="shared" si="11"/>
        <v/>
      </c>
      <c r="K153">
        <f t="shared" si="12"/>
        <v>1</v>
      </c>
      <c r="L153" t="str">
        <f>IF(J153="M",COUNTIFS($J$2:J113,"M",$E$2:E113,"QB")&amp;" - "&amp;K113,"N/A")</f>
        <v>N/A</v>
      </c>
    </row>
    <row r="154" spans="1:12" hidden="1">
      <c r="A154" s="1">
        <v>153</v>
      </c>
      <c r="B154" t="s">
        <v>801</v>
      </c>
      <c r="C154" t="s">
        <v>547</v>
      </c>
      <c r="D154" t="s">
        <v>140</v>
      </c>
      <c r="E154" t="str">
        <f>INDEX('NFL.com rankings drop'!$E$2:$E$201,MATCH('NFL.com Rankings'!D154,'NFL.com rankings drop'!$D$2:$D$201,0))</f>
        <v>WR</v>
      </c>
      <c r="F154">
        <f>INDEX('Fantasy Pros Standard Rankings'!$A$2:$A$561,MATCH('NFL.com Rankings'!D154,'Fantasy Pros Standard Rankings'!$B$2:$B$561,0))</f>
        <v>133</v>
      </c>
      <c r="G154">
        <f t="shared" si="9"/>
        <v>20</v>
      </c>
      <c r="H154">
        <f t="shared" si="10"/>
        <v>0.15037593984962405</v>
      </c>
      <c r="I154" t="str">
        <f t="shared" si="11"/>
        <v>Pretty Undervalued</v>
      </c>
      <c r="K154">
        <f t="shared" si="12"/>
        <v>3</v>
      </c>
      <c r="L154" t="str">
        <f>IF(J154="M",COUNTIFS($J$1:J154,"M",$E$1:E154,"WR")&amp;" - "&amp;K154,"N/A")</f>
        <v>N/A</v>
      </c>
    </row>
    <row r="155" spans="1:12" hidden="1">
      <c r="A155" s="1">
        <v>154</v>
      </c>
      <c r="B155" t="s">
        <v>697</v>
      </c>
      <c r="C155" t="s">
        <v>802</v>
      </c>
      <c r="D155" t="s">
        <v>231</v>
      </c>
      <c r="E155" t="str">
        <f>INDEX('NFL.com rankings drop'!$E$2:$E$201,MATCH('NFL.com Rankings'!D155,'NFL.com rankings drop'!$D$2:$D$201,0))</f>
        <v>WR</v>
      </c>
      <c r="F155">
        <f>INDEX('Fantasy Pros Standard Rankings'!$A$2:$A$561,MATCH('NFL.com Rankings'!D155,'Fantasy Pros Standard Rankings'!$B$2:$B$561,0))</f>
        <v>268</v>
      </c>
      <c r="G155">
        <f t="shared" si="9"/>
        <v>-114</v>
      </c>
      <c r="H155">
        <f t="shared" si="10"/>
        <v>-0.42537313432835822</v>
      </c>
      <c r="I155" t="str">
        <f t="shared" si="11"/>
        <v>Pretty Overvalued</v>
      </c>
      <c r="K155">
        <f t="shared" si="12"/>
        <v>3</v>
      </c>
      <c r="L155" t="str">
        <f>IF(J155="M",COUNTIFS($J$1:J155,"M",$E$1:E155,"WR")&amp;" - "&amp;K155,"N/A")</f>
        <v>N/A</v>
      </c>
    </row>
    <row r="156" spans="1:12" hidden="1">
      <c r="A156" s="1">
        <v>155</v>
      </c>
      <c r="B156" t="s">
        <v>613</v>
      </c>
      <c r="C156" t="s">
        <v>803</v>
      </c>
      <c r="D156" t="s">
        <v>155</v>
      </c>
      <c r="E156" t="str">
        <f>INDEX('NFL.com rankings drop'!$E$2:$E$201,MATCH('NFL.com Rankings'!D156,'NFL.com rankings drop'!$D$2:$D$201,0))</f>
        <v>TE</v>
      </c>
      <c r="F156">
        <f>INDEX('Fantasy Pros Standard Rankings'!$A$2:$A$561,MATCH('NFL.com Rankings'!D156,'Fantasy Pros Standard Rankings'!$B$2:$B$561,0))</f>
        <v>150</v>
      </c>
      <c r="G156">
        <f t="shared" si="9"/>
        <v>5</v>
      </c>
      <c r="H156">
        <f t="shared" si="10"/>
        <v>3.3333333333333333E-2</v>
      </c>
      <c r="I156" t="str">
        <f t="shared" si="11"/>
        <v>Slightly Undervalued</v>
      </c>
      <c r="K156">
        <f t="shared" si="12"/>
        <v>4</v>
      </c>
      <c r="L156" t="str">
        <f>IF(J156="M",COUNTIFS($J$1:J156,"M",$E$1:E156,"WR")&amp;" - "&amp;K156,"N/A")</f>
        <v>N/A</v>
      </c>
    </row>
    <row r="157" spans="1:12" hidden="1">
      <c r="A157" s="1">
        <v>156</v>
      </c>
      <c r="B157" t="s">
        <v>561</v>
      </c>
      <c r="C157" t="s">
        <v>804</v>
      </c>
      <c r="D157" t="s">
        <v>128</v>
      </c>
      <c r="E157" t="str">
        <f>INDEX('NFL.com rankings drop'!$E$2:$E$201,MATCH('NFL.com Rankings'!D157,'NFL.com rankings drop'!$D$2:$D$201,0))</f>
        <v>TE</v>
      </c>
      <c r="F157">
        <f>INDEX('Fantasy Pros Standard Rankings'!$A$2:$A$561,MATCH('NFL.com Rankings'!D157,'Fantasy Pros Standard Rankings'!$B$2:$B$561,0))</f>
        <v>111</v>
      </c>
      <c r="G157">
        <f t="shared" si="9"/>
        <v>45</v>
      </c>
      <c r="H157">
        <f t="shared" si="10"/>
        <v>0.40540540540540543</v>
      </c>
      <c r="I157" t="str">
        <f t="shared" si="11"/>
        <v>Pretty Undervalued</v>
      </c>
      <c r="K157">
        <f t="shared" si="12"/>
        <v>4</v>
      </c>
      <c r="L157" t="str">
        <f>IF(J157="M",COUNTIFS($J$2:J117,"M",$E$2:E117,"QB")&amp;" - "&amp;K117,"N/A")</f>
        <v>N/A</v>
      </c>
    </row>
    <row r="158" spans="1:12" hidden="1">
      <c r="A158" s="1">
        <v>157</v>
      </c>
      <c r="B158" t="s">
        <v>805</v>
      </c>
      <c r="C158" t="s">
        <v>806</v>
      </c>
      <c r="D158" t="s">
        <v>163</v>
      </c>
      <c r="E158" t="str">
        <f>INDEX('NFL.com rankings drop'!$E$2:$E$201,MATCH('NFL.com Rankings'!D158,'NFL.com rankings drop'!$D$2:$D$201,0))</f>
        <v>TE</v>
      </c>
      <c r="F158">
        <f>INDEX('Fantasy Pros Standard Rankings'!$A$2:$A$561,MATCH('NFL.com Rankings'!D158,'Fantasy Pros Standard Rankings'!$B$2:$B$561,0))</f>
        <v>110</v>
      </c>
      <c r="G158">
        <f t="shared" si="9"/>
        <v>47</v>
      </c>
      <c r="H158">
        <f t="shared" si="10"/>
        <v>0.42727272727272725</v>
      </c>
      <c r="I158" t="str">
        <f t="shared" si="11"/>
        <v>Pretty Undervalued</v>
      </c>
      <c r="K158">
        <f t="shared" si="12"/>
        <v>4</v>
      </c>
      <c r="L158" t="str">
        <f>IF(J158="M",COUNTIFS($J$2:J118,"M",$E$2:E118,"QB")&amp;" - "&amp;K118,"N/A")</f>
        <v>N/A</v>
      </c>
    </row>
    <row r="159" spans="1:12" hidden="1">
      <c r="A159" s="1">
        <v>158</v>
      </c>
      <c r="B159" t="s">
        <v>807</v>
      </c>
      <c r="C159" t="s">
        <v>808</v>
      </c>
      <c r="D159" t="s">
        <v>144</v>
      </c>
      <c r="E159" t="str">
        <f>INDEX('NFL.com rankings drop'!$E$2:$E$201,MATCH('NFL.com Rankings'!D159,'NFL.com rankings drop'!$D$2:$D$201,0))</f>
        <v>TE</v>
      </c>
      <c r="F159">
        <f>INDEX('Fantasy Pros Standard Rankings'!$A$2:$A$561,MATCH('NFL.com Rankings'!D159,'Fantasy Pros Standard Rankings'!$B$2:$B$561,0))</f>
        <v>135</v>
      </c>
      <c r="G159">
        <f t="shared" si="9"/>
        <v>23</v>
      </c>
      <c r="H159">
        <f t="shared" si="10"/>
        <v>0.17037037037037037</v>
      </c>
      <c r="I159" t="str">
        <f t="shared" si="11"/>
        <v>Pretty Undervalued</v>
      </c>
      <c r="K159">
        <f t="shared" si="12"/>
        <v>4</v>
      </c>
      <c r="L159" t="str">
        <f>IF(J159="M",COUNTIFS($J$1:J159,"M",$E$1:E159,"WR")&amp;" - "&amp;K159,"N/A")</f>
        <v>N/A</v>
      </c>
    </row>
    <row r="160" spans="1:12" hidden="1">
      <c r="A160" s="1">
        <v>159</v>
      </c>
      <c r="B160" t="s">
        <v>809</v>
      </c>
      <c r="C160" t="s">
        <v>810</v>
      </c>
      <c r="D160" t="s">
        <v>165</v>
      </c>
      <c r="E160" t="str">
        <f>INDEX('NFL.com rankings drop'!$E$2:$E$201,MATCH('NFL.com Rankings'!D160,'NFL.com rankings drop'!$D$2:$D$201,0))</f>
        <v>WR</v>
      </c>
      <c r="F160">
        <f>INDEX('Fantasy Pros Standard Rankings'!$A$2:$A$561,MATCH('NFL.com Rankings'!D160,'Fantasy Pros Standard Rankings'!$B$2:$B$561,0))</f>
        <v>128</v>
      </c>
      <c r="G160">
        <f t="shared" si="9"/>
        <v>31</v>
      </c>
      <c r="H160">
        <f t="shared" si="10"/>
        <v>0.2421875</v>
      </c>
      <c r="I160" t="str">
        <f t="shared" si="11"/>
        <v>Pretty Undervalued</v>
      </c>
      <c r="K160">
        <f t="shared" si="12"/>
        <v>3</v>
      </c>
      <c r="L160" t="str">
        <f>IF(J160="M",COUNTIFS($J$1:J160,"M",$E$1:E160,"WR")&amp;" - "&amp;K160,"N/A")</f>
        <v>N/A</v>
      </c>
    </row>
    <row r="161" spans="1:12" hidden="1">
      <c r="A161" s="1">
        <v>160</v>
      </c>
      <c r="B161" t="s">
        <v>811</v>
      </c>
      <c r="C161" t="s">
        <v>677</v>
      </c>
      <c r="D161" t="s">
        <v>168</v>
      </c>
      <c r="E161" t="str">
        <f>INDEX('NFL.com rankings drop'!$E$2:$E$201,MATCH('NFL.com Rankings'!D161,'NFL.com rankings drop'!$D$2:$D$201,0))</f>
        <v>WR</v>
      </c>
      <c r="F161" t="e">
        <f>INDEX('Fantasy Pros Standard Rankings'!$A$2:$A$561,MATCH('NFL.com Rankings'!D161,'Fantasy Pros Standard Rankings'!$B$2:$B$561,0))</f>
        <v>#N/A</v>
      </c>
      <c r="G161" t="e">
        <f t="shared" si="9"/>
        <v>#N/A</v>
      </c>
      <c r="H161" t="e">
        <f t="shared" si="10"/>
        <v>#N/A</v>
      </c>
      <c r="I161" t="e">
        <f t="shared" si="11"/>
        <v>#N/A</v>
      </c>
      <c r="K161">
        <f t="shared" si="12"/>
        <v>3</v>
      </c>
      <c r="L161" t="str">
        <f>IF(J161="M",COUNTIFS($J$2:J121,"M",$E$2:E121,"QB")&amp;" - "&amp;K121,"N/A")</f>
        <v>N/A</v>
      </c>
    </row>
    <row r="162" spans="1:12" hidden="1">
      <c r="A162" s="1">
        <v>161</v>
      </c>
      <c r="B162" t="s">
        <v>812</v>
      </c>
      <c r="C162" t="s">
        <v>723</v>
      </c>
      <c r="D162" t="s">
        <v>233</v>
      </c>
      <c r="E162" t="str">
        <f>INDEX('NFL.com rankings drop'!$E$2:$E$201,MATCH('NFL.com Rankings'!D162,'NFL.com rankings drop'!$D$2:$D$201,0))</f>
        <v>QB</v>
      </c>
      <c r="F162">
        <f>INDEX('Fantasy Pros Standard Rankings'!$A$2:$A$561,MATCH('NFL.com Rankings'!D162,'Fantasy Pros Standard Rankings'!$B$2:$B$561,0))</f>
        <v>380</v>
      </c>
      <c r="G162">
        <f t="shared" si="9"/>
        <v>-219</v>
      </c>
      <c r="H162">
        <f t="shared" si="10"/>
        <v>-0.57631578947368423</v>
      </c>
      <c r="I162" t="str">
        <f t="shared" si="11"/>
        <v>Extremely Overvalued</v>
      </c>
      <c r="K162">
        <f t="shared" si="12"/>
        <v>1</v>
      </c>
      <c r="L162" t="str">
        <f>COUNTIF($J$2:J162,"M")&amp;" - "&amp;K162</f>
        <v>0 - 1</v>
      </c>
    </row>
    <row r="163" spans="1:12" hidden="1">
      <c r="A163" s="1">
        <v>162</v>
      </c>
      <c r="B163" t="s">
        <v>813</v>
      </c>
      <c r="C163" t="s">
        <v>814</v>
      </c>
      <c r="D163" t="s">
        <v>133</v>
      </c>
      <c r="E163" t="str">
        <f>INDEX('NFL.com rankings drop'!$E$2:$E$201,MATCH('NFL.com Rankings'!D163,'NFL.com rankings drop'!$D$2:$D$201,0))</f>
        <v>QB</v>
      </c>
      <c r="F163">
        <f>INDEX('Fantasy Pros Standard Rankings'!$A$2:$A$561,MATCH('NFL.com Rankings'!D163,'Fantasy Pros Standard Rankings'!$B$2:$B$561,0))</f>
        <v>351</v>
      </c>
      <c r="G163">
        <f t="shared" si="9"/>
        <v>-189</v>
      </c>
      <c r="H163">
        <f t="shared" si="10"/>
        <v>-0.53846153846153844</v>
      </c>
      <c r="I163" t="str">
        <f t="shared" si="11"/>
        <v>Extremely Overvalued</v>
      </c>
      <c r="K163">
        <f t="shared" si="12"/>
        <v>1</v>
      </c>
      <c r="L163" t="str">
        <f>IF(J163="M",COUNTIFS($J$2:J123,"M",$E$2:E123,"QB")&amp;" - "&amp;K123,"N/A")</f>
        <v>N/A</v>
      </c>
    </row>
    <row r="164" spans="1:12" hidden="1">
      <c r="A164" s="1">
        <v>163</v>
      </c>
      <c r="B164" t="s">
        <v>815</v>
      </c>
      <c r="C164" t="s">
        <v>816</v>
      </c>
      <c r="D164" t="s">
        <v>183</v>
      </c>
      <c r="E164" t="str">
        <f>INDEX('NFL.com rankings drop'!$E$2:$E$201,MATCH('NFL.com Rankings'!D164,'NFL.com rankings drop'!$D$2:$D$201,0))</f>
        <v>RB</v>
      </c>
      <c r="F164">
        <f>INDEX('Fantasy Pros Standard Rankings'!$A$2:$A$561,MATCH('NFL.com Rankings'!D164,'Fantasy Pros Standard Rankings'!$B$2:$B$561,0))</f>
        <v>82</v>
      </c>
      <c r="G164">
        <f t="shared" si="9"/>
        <v>81</v>
      </c>
      <c r="H164">
        <f t="shared" si="10"/>
        <v>0.98780487804878048</v>
      </c>
      <c r="I164" t="str">
        <f t="shared" si="11"/>
        <v>Extremely Undervalued</v>
      </c>
      <c r="K164">
        <f t="shared" si="12"/>
        <v>2</v>
      </c>
      <c r="L164" t="str">
        <f>IF(J164="M",COUNTIFS($J$2:J124,"M",$E$2:E124,"QB")&amp;" - "&amp;K124,"N/A")</f>
        <v>N/A</v>
      </c>
    </row>
    <row r="165" spans="1:12" hidden="1">
      <c r="A165" s="1">
        <v>164</v>
      </c>
      <c r="B165" t="s">
        <v>531</v>
      </c>
      <c r="C165" t="s">
        <v>817</v>
      </c>
      <c r="D165" t="s">
        <v>159</v>
      </c>
      <c r="E165" t="str">
        <f>INDEX('NFL.com rankings drop'!$E$2:$E$201,MATCH('NFL.com Rankings'!D165,'NFL.com rankings drop'!$D$2:$D$201,0))</f>
        <v>RB</v>
      </c>
      <c r="F165">
        <f>INDEX('Fantasy Pros Standard Rankings'!$A$2:$A$561,MATCH('NFL.com Rankings'!D165,'Fantasy Pros Standard Rankings'!$B$2:$B$561,0))</f>
        <v>78</v>
      </c>
      <c r="G165">
        <f t="shared" si="9"/>
        <v>86</v>
      </c>
      <c r="H165">
        <f t="shared" si="10"/>
        <v>1.1025641025641026</v>
      </c>
      <c r="I165" t="str">
        <f t="shared" si="11"/>
        <v/>
      </c>
      <c r="K165">
        <f t="shared" si="12"/>
        <v>2</v>
      </c>
      <c r="L165" t="str">
        <f>COUNTIF($J$2:J165,"M")&amp;" - "&amp;K165</f>
        <v>0 - 2</v>
      </c>
    </row>
    <row r="166" spans="1:12">
      <c r="A166" s="1">
        <v>165</v>
      </c>
      <c r="B166" t="s">
        <v>818</v>
      </c>
      <c r="C166" t="s">
        <v>819</v>
      </c>
      <c r="D166" t="s">
        <v>106</v>
      </c>
      <c r="E166" t="str">
        <f>INDEX('NFL.com rankings drop'!$E$2:$E$201,MATCH('NFL.com Rankings'!D166,'NFL.com rankings drop'!$D$2:$D$201,0))</f>
        <v>RB</v>
      </c>
      <c r="F166">
        <f>INDEX('Fantasy Pros Standard Rankings'!$A$2:$A$561,MATCH('NFL.com Rankings'!D166,'Fantasy Pros Standard Rankings'!$B$2:$B$561,0))</f>
        <v>141</v>
      </c>
      <c r="G166">
        <f t="shared" si="9"/>
        <v>24</v>
      </c>
      <c r="H166">
        <f t="shared" si="10"/>
        <v>0.1702127659574468</v>
      </c>
      <c r="I166" t="str">
        <f t="shared" si="11"/>
        <v>Pretty Undervalued</v>
      </c>
      <c r="K166">
        <f t="shared" si="12"/>
        <v>2</v>
      </c>
      <c r="L166" t="str">
        <f>IF(J166="M",COUNTIFS($J$1:J166,"M",$E$1:E166,"WR")&amp;" - "&amp;K166,"N/A")</f>
        <v>N/A</v>
      </c>
    </row>
    <row r="167" spans="1:12" hidden="1">
      <c r="A167" s="1">
        <v>166</v>
      </c>
      <c r="B167" t="s">
        <v>820</v>
      </c>
      <c r="C167" t="s">
        <v>821</v>
      </c>
      <c r="D167" t="s">
        <v>232</v>
      </c>
      <c r="E167" t="str">
        <f>INDEX('NFL.com rankings drop'!$E$2:$E$201,MATCH('NFL.com Rankings'!D167,'NFL.com rankings drop'!$D$2:$D$201,0))</f>
        <v>RB</v>
      </c>
      <c r="F167">
        <f>INDEX('Fantasy Pros Standard Rankings'!$A$2:$A$561,MATCH('NFL.com Rankings'!D167,'Fantasy Pros Standard Rankings'!$B$2:$B$561,0))</f>
        <v>280</v>
      </c>
      <c r="G167">
        <f t="shared" si="9"/>
        <v>-114</v>
      </c>
      <c r="H167">
        <f t="shared" si="10"/>
        <v>-0.40714285714285714</v>
      </c>
      <c r="I167" t="str">
        <f t="shared" si="11"/>
        <v>Pretty Overvalued</v>
      </c>
      <c r="K167">
        <f t="shared" si="12"/>
        <v>2</v>
      </c>
      <c r="L167" t="str">
        <f>COUNTIF($J$2:J167,"M")&amp;" - "&amp;K167</f>
        <v>0 - 2</v>
      </c>
    </row>
    <row r="168" spans="1:12" hidden="1">
      <c r="A168" s="1">
        <v>167</v>
      </c>
      <c r="B168" t="s">
        <v>822</v>
      </c>
      <c r="C168" t="s">
        <v>823</v>
      </c>
      <c r="D168" t="s">
        <v>150</v>
      </c>
      <c r="E168" t="str">
        <f>INDEX('NFL.com rankings drop'!$E$2:$E$201,MATCH('NFL.com Rankings'!D168,'NFL.com rankings drop'!$D$2:$D$201,0))</f>
        <v>QB</v>
      </c>
      <c r="F168">
        <f>INDEX('Fantasy Pros Standard Rankings'!$A$2:$A$561,MATCH('NFL.com Rankings'!D168,'Fantasy Pros Standard Rankings'!$B$2:$B$561,0))</f>
        <v>172</v>
      </c>
      <c r="G168">
        <f t="shared" si="9"/>
        <v>-5</v>
      </c>
      <c r="H168">
        <f t="shared" si="10"/>
        <v>-2.9069767441860465E-2</v>
      </c>
      <c r="I168" t="str">
        <f t="shared" si="11"/>
        <v>Slightly Overvalued</v>
      </c>
      <c r="K168">
        <f t="shared" si="12"/>
        <v>1</v>
      </c>
      <c r="L168" t="str">
        <f>IF(J168="M",COUNTIFS($J$2:J128,"M",$E$2:E128,"QB")&amp;" - "&amp;K128,"N/A")</f>
        <v>N/A</v>
      </c>
    </row>
    <row r="169" spans="1:12" hidden="1">
      <c r="A169" s="1">
        <v>168</v>
      </c>
      <c r="B169" t="s">
        <v>577</v>
      </c>
      <c r="C169" t="s">
        <v>824</v>
      </c>
      <c r="D169" t="s">
        <v>143</v>
      </c>
      <c r="E169" t="str">
        <f>INDEX('NFL.com rankings drop'!$E$2:$E$201,MATCH('NFL.com Rankings'!D169,'NFL.com rankings drop'!$D$2:$D$201,0))</f>
        <v>QB</v>
      </c>
      <c r="F169">
        <f>INDEX('Fantasy Pros Standard Rankings'!$A$2:$A$561,MATCH('NFL.com Rankings'!D169,'Fantasy Pros Standard Rankings'!$B$2:$B$561,0))</f>
        <v>283</v>
      </c>
      <c r="G169">
        <f t="shared" si="9"/>
        <v>-115</v>
      </c>
      <c r="H169">
        <f t="shared" si="10"/>
        <v>-0.40636042402826855</v>
      </c>
      <c r="I169" t="str">
        <f t="shared" si="11"/>
        <v>Pretty Overvalued</v>
      </c>
      <c r="K169">
        <f t="shared" si="12"/>
        <v>1</v>
      </c>
      <c r="L169" t="str">
        <f>COUNTIF($J$2:J169,"M")&amp;" - "&amp;K169</f>
        <v>0 - 1</v>
      </c>
    </row>
    <row r="170" spans="1:12" hidden="1">
      <c r="A170" s="1">
        <v>169</v>
      </c>
      <c r="B170" t="s">
        <v>703</v>
      </c>
      <c r="C170" t="s">
        <v>825</v>
      </c>
      <c r="D170" t="s">
        <v>192</v>
      </c>
      <c r="E170" t="e">
        <f>INDEX('NFL.com rankings drop'!$E$2:$E$201,MATCH('NFL.com Rankings'!D170,'NFL.com rankings drop'!$D$2:$D$201,0))</f>
        <v>#N/A</v>
      </c>
      <c r="F170" t="e">
        <f>INDEX('Fantasy Pros Standard Rankings'!$A$2:$A$561,MATCH('NFL.com Rankings'!D170,'Fantasy Pros Standard Rankings'!$B$2:$B$561,0))</f>
        <v>#N/A</v>
      </c>
      <c r="G170" t="e">
        <f t="shared" si="9"/>
        <v>#N/A</v>
      </c>
      <c r="H170" t="e">
        <f t="shared" si="10"/>
        <v>#N/A</v>
      </c>
      <c r="I170" t="e">
        <f t="shared" si="11"/>
        <v>#N/A</v>
      </c>
      <c r="K170" t="e">
        <f t="shared" si="12"/>
        <v>#N/A</v>
      </c>
      <c r="L170" t="e">
        <f>COUNTIF($J$2:J170,"M")&amp;" - "&amp;K170</f>
        <v>#N/A</v>
      </c>
    </row>
    <row r="171" spans="1:12" hidden="1">
      <c r="A171" s="1">
        <v>170</v>
      </c>
      <c r="B171" t="s">
        <v>826</v>
      </c>
      <c r="C171" t="s">
        <v>538</v>
      </c>
      <c r="D171" t="s">
        <v>220</v>
      </c>
      <c r="E171" t="str">
        <f>INDEX('NFL.com rankings drop'!$E$2:$E$201,MATCH('NFL.com Rankings'!D171,'NFL.com rankings drop'!$D$2:$D$201,0))</f>
        <v>TE</v>
      </c>
      <c r="F171">
        <f>INDEX('Fantasy Pros Standard Rankings'!$A$2:$A$561,MATCH('NFL.com Rankings'!D171,'Fantasy Pros Standard Rankings'!$B$2:$B$561,0))</f>
        <v>160</v>
      </c>
      <c r="G171">
        <f t="shared" si="9"/>
        <v>10</v>
      </c>
      <c r="H171">
        <f t="shared" si="10"/>
        <v>6.25E-2</v>
      </c>
      <c r="I171" t="str">
        <f t="shared" si="11"/>
        <v>Slightly Undervalued</v>
      </c>
      <c r="K171">
        <f t="shared" si="12"/>
        <v>4</v>
      </c>
      <c r="L171" t="str">
        <f>IF(J171="M",COUNTIFS($J$1:J171,"M",$E$1:E171,"WR")&amp;" - "&amp;K171,"N/A")</f>
        <v>N/A</v>
      </c>
    </row>
    <row r="172" spans="1:12" hidden="1">
      <c r="A172" s="1">
        <v>171</v>
      </c>
      <c r="B172" t="s">
        <v>827</v>
      </c>
      <c r="C172" t="s">
        <v>828</v>
      </c>
      <c r="D172" t="s">
        <v>180</v>
      </c>
      <c r="E172" t="str">
        <f>INDEX('NFL.com rankings drop'!$E$2:$E$201,MATCH('NFL.com Rankings'!D172,'NFL.com rankings drop'!$D$2:$D$201,0))</f>
        <v>WR</v>
      </c>
      <c r="F172" t="e">
        <f>INDEX('Fantasy Pros Standard Rankings'!$A$2:$A$561,MATCH('NFL.com Rankings'!D172,'Fantasy Pros Standard Rankings'!$B$2:$B$561,0))</f>
        <v>#N/A</v>
      </c>
      <c r="G172" t="e">
        <f t="shared" si="9"/>
        <v>#N/A</v>
      </c>
      <c r="H172" t="e">
        <f t="shared" si="10"/>
        <v>#N/A</v>
      </c>
      <c r="I172" t="e">
        <f t="shared" si="11"/>
        <v>#N/A</v>
      </c>
      <c r="K172">
        <f t="shared" si="12"/>
        <v>3</v>
      </c>
      <c r="L172" t="str">
        <f>COUNTIF($J$2:J172,"M")&amp;" - "&amp;K172</f>
        <v>0 - 3</v>
      </c>
    </row>
    <row r="173" spans="1:12" hidden="1">
      <c r="A173" s="1">
        <v>172</v>
      </c>
      <c r="B173" t="s">
        <v>829</v>
      </c>
      <c r="C173" t="s">
        <v>830</v>
      </c>
      <c r="D173" t="s">
        <v>195</v>
      </c>
      <c r="E173" t="str">
        <f>INDEX('NFL.com rankings drop'!$E$2:$E$201,MATCH('NFL.com Rankings'!D173,'NFL.com rankings drop'!$D$2:$D$201,0))</f>
        <v>WR</v>
      </c>
      <c r="F173">
        <f>INDEX('Fantasy Pros Standard Rankings'!$A$2:$A$561,MATCH('NFL.com Rankings'!D173,'Fantasy Pros Standard Rankings'!$B$2:$B$561,0))</f>
        <v>85</v>
      </c>
      <c r="G173">
        <f t="shared" si="9"/>
        <v>87</v>
      </c>
      <c r="H173">
        <f t="shared" si="10"/>
        <v>1.0235294117647058</v>
      </c>
      <c r="I173" t="str">
        <f t="shared" si="11"/>
        <v/>
      </c>
      <c r="K173">
        <f t="shared" si="12"/>
        <v>3</v>
      </c>
      <c r="L173" t="str">
        <f>IF(J173="M",COUNTIFS($J$1:J173,"M",$E$1:E173,"WR")&amp;" - "&amp;K173,"N/A")</f>
        <v>N/A</v>
      </c>
    </row>
    <row r="174" spans="1:12" hidden="1">
      <c r="A174" s="1">
        <v>173</v>
      </c>
      <c r="B174" t="s">
        <v>831</v>
      </c>
      <c r="C174" t="s">
        <v>832</v>
      </c>
      <c r="D174" t="s">
        <v>200</v>
      </c>
      <c r="E174" t="str">
        <f>INDEX('NFL.com rankings drop'!$E$2:$E$201,MATCH('NFL.com Rankings'!D174,'NFL.com rankings drop'!$D$2:$D$201,0))</f>
        <v>WR</v>
      </c>
      <c r="F174">
        <f>INDEX('Fantasy Pros Standard Rankings'!$A$2:$A$561,MATCH('NFL.com Rankings'!D174,'Fantasy Pros Standard Rankings'!$B$2:$B$561,0))</f>
        <v>126</v>
      </c>
      <c r="G174">
        <f t="shared" si="9"/>
        <v>47</v>
      </c>
      <c r="H174">
        <f t="shared" si="10"/>
        <v>0.37301587301587302</v>
      </c>
      <c r="I174" t="str">
        <f t="shared" si="11"/>
        <v>Pretty Undervalued</v>
      </c>
      <c r="K174">
        <f t="shared" si="12"/>
        <v>3</v>
      </c>
      <c r="L174" t="str">
        <f>COUNTIF($J$2:J174,"M")&amp;" - "&amp;K174</f>
        <v>0 - 3</v>
      </c>
    </row>
    <row r="175" spans="1:12" hidden="1">
      <c r="A175" s="1">
        <v>174</v>
      </c>
      <c r="B175" t="s">
        <v>701</v>
      </c>
      <c r="C175" t="s">
        <v>833</v>
      </c>
      <c r="D175" t="s">
        <v>255</v>
      </c>
      <c r="E175" t="str">
        <f>INDEX('NFL.com rankings drop'!$E$2:$E$201,MATCH('NFL.com Rankings'!D175,'NFL.com rankings drop'!$D$2:$D$201,0))</f>
        <v>WR</v>
      </c>
      <c r="F175">
        <f>INDEX('Fantasy Pros Standard Rankings'!$A$2:$A$561,MATCH('NFL.com Rankings'!D175,'Fantasy Pros Standard Rankings'!$B$2:$B$561,0))</f>
        <v>260</v>
      </c>
      <c r="G175">
        <f t="shared" si="9"/>
        <v>-86</v>
      </c>
      <c r="H175">
        <f t="shared" si="10"/>
        <v>-0.33076923076923076</v>
      </c>
      <c r="I175" t="str">
        <f t="shared" si="11"/>
        <v>Pretty Overvalued</v>
      </c>
      <c r="K175">
        <f t="shared" si="12"/>
        <v>3</v>
      </c>
      <c r="L175" t="str">
        <f>COUNTIF($J$2:J175,"M")&amp;" - "&amp;K175</f>
        <v>0 - 3</v>
      </c>
    </row>
    <row r="176" spans="1:12" hidden="1">
      <c r="A176" s="1">
        <v>175</v>
      </c>
      <c r="B176" t="s">
        <v>782</v>
      </c>
      <c r="C176" t="s">
        <v>834</v>
      </c>
      <c r="D176" t="s">
        <v>300</v>
      </c>
      <c r="E176" t="str">
        <f>INDEX('NFL.com rankings drop'!$E$2:$E$201,MATCH('NFL.com Rankings'!D176,'NFL.com rankings drop'!$D$2:$D$201,0))</f>
        <v>WR</v>
      </c>
      <c r="F176">
        <f>INDEX('Fantasy Pros Standard Rankings'!$A$2:$A$561,MATCH('NFL.com Rankings'!D176,'Fantasy Pros Standard Rankings'!$B$2:$B$561,0))</f>
        <v>213</v>
      </c>
      <c r="G176">
        <f t="shared" si="9"/>
        <v>-38</v>
      </c>
      <c r="H176">
        <f t="shared" si="10"/>
        <v>-0.17840375586854459</v>
      </c>
      <c r="I176" t="str">
        <f t="shared" si="11"/>
        <v>Pretty Overvalued</v>
      </c>
      <c r="K176">
        <f t="shared" si="12"/>
        <v>3</v>
      </c>
      <c r="L176" t="str">
        <f>COUNTIF($J$2:J176,"M")&amp;" - "&amp;K176</f>
        <v>0 - 3</v>
      </c>
    </row>
    <row r="177" spans="1:14" hidden="1">
      <c r="A177" s="1">
        <v>176</v>
      </c>
      <c r="B177" t="s">
        <v>835</v>
      </c>
      <c r="C177" t="s">
        <v>836</v>
      </c>
      <c r="D177" t="s">
        <v>264</v>
      </c>
      <c r="E177" t="str">
        <f>INDEX('NFL.com rankings drop'!$E$2:$E$201,MATCH('NFL.com Rankings'!D177,'NFL.com rankings drop'!$D$2:$D$201,0))</f>
        <v>RB</v>
      </c>
      <c r="F177" t="e">
        <f>INDEX('Fantasy Pros Standard Rankings'!$A$2:$A$561,MATCH('NFL.com Rankings'!D177,'Fantasy Pros Standard Rankings'!$B$2:$B$561,0))</f>
        <v>#N/A</v>
      </c>
      <c r="G177" t="e">
        <f t="shared" si="9"/>
        <v>#N/A</v>
      </c>
      <c r="H177" t="e">
        <f t="shared" si="10"/>
        <v>#N/A</v>
      </c>
      <c r="I177" t="e">
        <f t="shared" si="11"/>
        <v>#N/A</v>
      </c>
      <c r="K177">
        <f t="shared" si="12"/>
        <v>2</v>
      </c>
      <c r="L177" t="str">
        <f>COUNTIF($J$2:J177,"M")&amp;" - "&amp;K177</f>
        <v>0 - 2</v>
      </c>
    </row>
    <row r="178" spans="1:14" hidden="1">
      <c r="A178" s="1">
        <v>177</v>
      </c>
      <c r="B178" t="s">
        <v>837</v>
      </c>
      <c r="C178" t="s">
        <v>838</v>
      </c>
      <c r="D178" t="s">
        <v>186</v>
      </c>
      <c r="E178" t="str">
        <f>INDEX('NFL.com rankings drop'!$E$2:$E$201,MATCH('NFL.com Rankings'!D178,'NFL.com rankings drop'!$D$2:$D$201,0))</f>
        <v>RB</v>
      </c>
      <c r="F178">
        <f>INDEX('Fantasy Pros Standard Rankings'!$A$2:$A$561,MATCH('NFL.com Rankings'!D178,'Fantasy Pros Standard Rankings'!$B$2:$B$561,0))</f>
        <v>93</v>
      </c>
      <c r="G178">
        <f t="shared" si="9"/>
        <v>84</v>
      </c>
      <c r="H178">
        <f t="shared" si="10"/>
        <v>0.90322580645161288</v>
      </c>
      <c r="I178" t="str">
        <f t="shared" si="11"/>
        <v>Extremely Undervalued</v>
      </c>
      <c r="K178">
        <f t="shared" si="12"/>
        <v>2</v>
      </c>
      <c r="L178" t="str">
        <f>IF(J178="M",COUNTIFS($J$1:J178,"M",$E$1:E178,"WR")&amp;" - "&amp;K178,"N/A")</f>
        <v>N/A</v>
      </c>
      <c r="N178">
        <v>575.5</v>
      </c>
    </row>
    <row r="179" spans="1:14" hidden="1">
      <c r="A179" s="1">
        <v>178</v>
      </c>
      <c r="B179" t="s">
        <v>839</v>
      </c>
      <c r="C179" t="s">
        <v>840</v>
      </c>
      <c r="D179" t="s">
        <v>209</v>
      </c>
      <c r="E179" t="str">
        <f>INDEX('NFL.com rankings drop'!$E$2:$E$201,MATCH('NFL.com Rankings'!D179,'NFL.com rankings drop'!$D$2:$D$201,0))</f>
        <v>TE</v>
      </c>
      <c r="F179">
        <f>INDEX('Fantasy Pros Standard Rankings'!$A$2:$A$561,MATCH('NFL.com Rankings'!D179,'Fantasy Pros Standard Rankings'!$B$2:$B$561,0))</f>
        <v>216</v>
      </c>
      <c r="G179">
        <f t="shared" si="9"/>
        <v>-38</v>
      </c>
      <c r="H179">
        <f t="shared" si="10"/>
        <v>-0.17592592592592593</v>
      </c>
      <c r="I179" t="str">
        <f t="shared" si="11"/>
        <v>Pretty Overvalued</v>
      </c>
      <c r="K179">
        <f t="shared" si="12"/>
        <v>4</v>
      </c>
      <c r="L179" t="str">
        <f>IF(J179="M",COUNTIFS($J$1:J179,"M",$E$1:E179,"WR")&amp;" - "&amp;K179,"N/A")</f>
        <v>N/A</v>
      </c>
    </row>
    <row r="180" spans="1:14" hidden="1">
      <c r="A180" s="1">
        <v>179</v>
      </c>
      <c r="B180" t="s">
        <v>729</v>
      </c>
      <c r="C180" t="s">
        <v>841</v>
      </c>
      <c r="D180" t="s">
        <v>188</v>
      </c>
      <c r="E180" t="str">
        <f>INDEX('NFL.com rankings drop'!$E$2:$E$201,MATCH('NFL.com Rankings'!D180,'NFL.com rankings drop'!$D$2:$D$201,0))</f>
        <v>WR</v>
      </c>
      <c r="F180">
        <f>INDEX('Fantasy Pros Standard Rankings'!$A$2:$A$561,MATCH('NFL.com Rankings'!D180,'Fantasy Pros Standard Rankings'!$B$2:$B$561,0))</f>
        <v>500</v>
      </c>
      <c r="G180">
        <f t="shared" si="9"/>
        <v>-321</v>
      </c>
      <c r="H180">
        <f t="shared" si="10"/>
        <v>-0.64200000000000002</v>
      </c>
      <c r="I180" t="str">
        <f t="shared" si="11"/>
        <v>Extremely Overvalued</v>
      </c>
      <c r="K180">
        <f t="shared" si="12"/>
        <v>3</v>
      </c>
      <c r="L180" t="str">
        <f>COUNTIF($J$2:J180,"M")&amp;" - "&amp;K180</f>
        <v>0 - 3</v>
      </c>
    </row>
    <row r="181" spans="1:14" hidden="1">
      <c r="A181" s="1">
        <v>180</v>
      </c>
      <c r="B181" t="s">
        <v>811</v>
      </c>
      <c r="C181" t="s">
        <v>842</v>
      </c>
      <c r="D181" t="s">
        <v>244</v>
      </c>
      <c r="E181" t="str">
        <f>INDEX('NFL.com rankings drop'!$E$2:$E$201,MATCH('NFL.com Rankings'!D181,'NFL.com rankings drop'!$D$2:$D$201,0))</f>
        <v>WR</v>
      </c>
      <c r="F181">
        <f>INDEX('Fantasy Pros Standard Rankings'!$A$2:$A$561,MATCH('NFL.com Rankings'!D181,'Fantasy Pros Standard Rankings'!$B$2:$B$561,0))</f>
        <v>210</v>
      </c>
      <c r="G181">
        <f t="shared" si="9"/>
        <v>-30</v>
      </c>
      <c r="H181">
        <f t="shared" si="10"/>
        <v>-0.14285714285714285</v>
      </c>
      <c r="I181" t="str">
        <f t="shared" si="11"/>
        <v>Slightly Overvalued</v>
      </c>
      <c r="K181">
        <f t="shared" si="12"/>
        <v>3</v>
      </c>
      <c r="L181" t="str">
        <f>COUNTIF($J$2:J181,"M")&amp;" - "&amp;K181</f>
        <v>0 - 3</v>
      </c>
    </row>
    <row r="182" spans="1:14" hidden="1">
      <c r="A182" s="1">
        <v>181</v>
      </c>
      <c r="B182" t="s">
        <v>743</v>
      </c>
      <c r="C182" t="s">
        <v>843</v>
      </c>
      <c r="D182" t="s">
        <v>176</v>
      </c>
      <c r="E182" t="str">
        <f>INDEX('NFL.com rankings drop'!$E$2:$E$201,MATCH('NFL.com Rankings'!D182,'NFL.com rankings drop'!$D$2:$D$201,0))</f>
        <v>WR</v>
      </c>
      <c r="F182">
        <f>INDEX('Fantasy Pros Standard Rankings'!$A$2:$A$561,MATCH('NFL.com Rankings'!D182,'Fantasy Pros Standard Rankings'!$B$2:$B$561,0))</f>
        <v>83</v>
      </c>
      <c r="G182">
        <f t="shared" si="9"/>
        <v>98</v>
      </c>
      <c r="H182">
        <f t="shared" si="10"/>
        <v>1.1807228915662651</v>
      </c>
      <c r="I182" t="str">
        <f t="shared" si="11"/>
        <v/>
      </c>
      <c r="K182">
        <f t="shared" si="12"/>
        <v>3</v>
      </c>
      <c r="L182" t="str">
        <f>COUNTIF($J$2:J182,"M")&amp;" - "&amp;K182</f>
        <v>0 - 3</v>
      </c>
    </row>
    <row r="183" spans="1:14" hidden="1">
      <c r="A183" s="1">
        <v>182</v>
      </c>
      <c r="B183" t="s">
        <v>844</v>
      </c>
      <c r="C183" t="s">
        <v>845</v>
      </c>
      <c r="D183" t="s">
        <v>172</v>
      </c>
      <c r="E183" t="str">
        <f>INDEX('NFL.com rankings drop'!$E$2:$E$201,MATCH('NFL.com Rankings'!D183,'NFL.com rankings drop'!$D$2:$D$201,0))</f>
        <v>QB</v>
      </c>
      <c r="F183">
        <f>INDEX('Fantasy Pros Standard Rankings'!$A$2:$A$561,MATCH('NFL.com Rankings'!D183,'Fantasy Pros Standard Rankings'!$B$2:$B$561,0))</f>
        <v>235</v>
      </c>
      <c r="G183">
        <f t="shared" si="9"/>
        <v>-53</v>
      </c>
      <c r="H183">
        <f t="shared" si="10"/>
        <v>-0.22553191489361701</v>
      </c>
      <c r="I183" t="str">
        <f t="shared" si="11"/>
        <v>Pretty Overvalued</v>
      </c>
      <c r="K183">
        <f t="shared" si="12"/>
        <v>1</v>
      </c>
      <c r="L183" t="str">
        <f>COUNTIF($J$2:J183,"M")&amp;" - "&amp;K183</f>
        <v>0 - 1</v>
      </c>
    </row>
    <row r="184" spans="1:14" hidden="1">
      <c r="A184" s="1">
        <v>183</v>
      </c>
      <c r="B184" t="s">
        <v>844</v>
      </c>
      <c r="C184" t="s">
        <v>846</v>
      </c>
      <c r="D184" t="s">
        <v>193</v>
      </c>
      <c r="E184" t="str">
        <f>INDEX('NFL.com rankings drop'!$E$2:$E$201,MATCH('NFL.com Rankings'!D184,'NFL.com rankings drop'!$D$2:$D$201,0))</f>
        <v>QB</v>
      </c>
      <c r="F184">
        <f>INDEX('Fantasy Pros Standard Rankings'!$A$2:$A$561,MATCH('NFL.com Rankings'!D184,'Fantasy Pros Standard Rankings'!$B$2:$B$561,0))</f>
        <v>137</v>
      </c>
      <c r="G184">
        <f t="shared" si="9"/>
        <v>46</v>
      </c>
      <c r="H184">
        <f t="shared" si="10"/>
        <v>0.33576642335766421</v>
      </c>
      <c r="I184" t="str">
        <f t="shared" si="11"/>
        <v>Pretty Undervalued</v>
      </c>
      <c r="K184">
        <f t="shared" si="12"/>
        <v>1</v>
      </c>
      <c r="L184" t="str">
        <f>COUNTIF($J$2:J184,"M")&amp;" - "&amp;K184</f>
        <v>0 - 1</v>
      </c>
    </row>
    <row r="185" spans="1:14" hidden="1">
      <c r="A185" s="1">
        <v>184</v>
      </c>
      <c r="B185" t="s">
        <v>701</v>
      </c>
      <c r="C185" t="s">
        <v>710</v>
      </c>
      <c r="D185" t="s">
        <v>223</v>
      </c>
      <c r="E185" t="str">
        <f>INDEX('NFL.com rankings drop'!$E$2:$E$201,MATCH('NFL.com Rankings'!D185,'NFL.com rankings drop'!$D$2:$D$201,0))</f>
        <v>QB</v>
      </c>
      <c r="F185">
        <f>INDEX('Fantasy Pros Standard Rankings'!$A$2:$A$561,MATCH('NFL.com Rankings'!D185,'Fantasy Pros Standard Rankings'!$B$2:$B$561,0))</f>
        <v>223</v>
      </c>
      <c r="G185">
        <f t="shared" si="9"/>
        <v>-39</v>
      </c>
      <c r="H185">
        <f t="shared" si="10"/>
        <v>-0.17488789237668162</v>
      </c>
      <c r="I185" t="str">
        <f t="shared" si="11"/>
        <v>Pretty Overvalued</v>
      </c>
      <c r="K185">
        <f t="shared" si="12"/>
        <v>1</v>
      </c>
      <c r="L185" t="str">
        <f>COUNTIF($J$2:J185,"M")&amp;" - "&amp;K185</f>
        <v>0 - 1</v>
      </c>
    </row>
    <row r="186" spans="1:14" hidden="1">
      <c r="A186" s="1">
        <v>185</v>
      </c>
      <c r="B186" t="s">
        <v>579</v>
      </c>
      <c r="C186" t="s">
        <v>847</v>
      </c>
      <c r="D186" t="s">
        <v>238</v>
      </c>
      <c r="E186" t="str">
        <f>INDEX('NFL.com rankings drop'!$E$2:$E$201,MATCH('NFL.com Rankings'!D186,'NFL.com rankings drop'!$D$2:$D$201,0))</f>
        <v>WR</v>
      </c>
      <c r="F186" t="s">
        <v>1205</v>
      </c>
      <c r="G186" t="e">
        <f t="shared" si="9"/>
        <v>#VALUE!</v>
      </c>
      <c r="H186" t="e">
        <f t="shared" si="10"/>
        <v>#VALUE!</v>
      </c>
      <c r="I186" t="e">
        <f t="shared" si="11"/>
        <v>#VALUE!</v>
      </c>
      <c r="K186">
        <f t="shared" si="12"/>
        <v>3</v>
      </c>
      <c r="L186" t="str">
        <f>COUNTIF($J$2:J186,"M")&amp;" - "&amp;K186</f>
        <v>0 - 3</v>
      </c>
    </row>
    <row r="187" spans="1:14" hidden="1">
      <c r="A187" s="1">
        <v>186</v>
      </c>
      <c r="B187" t="s">
        <v>583</v>
      </c>
      <c r="C187" t="s">
        <v>848</v>
      </c>
      <c r="D187" t="s">
        <v>247</v>
      </c>
      <c r="E187" t="str">
        <f>INDEX('NFL.com rankings drop'!$E$2:$E$201,MATCH('NFL.com Rankings'!D187,'NFL.com rankings drop'!$D$2:$D$201,0))</f>
        <v>RB</v>
      </c>
      <c r="F187">
        <f>INDEX('Fantasy Pros Standard Rankings'!$A$2:$A$561,MATCH('NFL.com Rankings'!D187,'Fantasy Pros Standard Rankings'!$B$2:$B$561,0))</f>
        <v>130</v>
      </c>
      <c r="G187">
        <f t="shared" si="9"/>
        <v>56</v>
      </c>
      <c r="H187">
        <f t="shared" si="10"/>
        <v>0.43076923076923079</v>
      </c>
      <c r="I187" t="str">
        <f t="shared" si="11"/>
        <v>Pretty Undervalued</v>
      </c>
      <c r="K187">
        <f t="shared" si="12"/>
        <v>2</v>
      </c>
      <c r="L187" t="str">
        <f>COUNTIF($J$2:J187,"M")&amp;" - "&amp;K187</f>
        <v>0 - 2</v>
      </c>
    </row>
    <row r="188" spans="1:14" hidden="1">
      <c r="A188" s="1">
        <v>187</v>
      </c>
      <c r="B188" t="s">
        <v>849</v>
      </c>
      <c r="C188" t="s">
        <v>850</v>
      </c>
      <c r="D188" t="s">
        <v>287</v>
      </c>
      <c r="E188" t="str">
        <f>INDEX('NFL.com rankings drop'!$E$2:$E$201,MATCH('NFL.com Rankings'!D188,'NFL.com rankings drop'!$D$2:$D$201,0))</f>
        <v>RB</v>
      </c>
      <c r="F188">
        <f>INDEX('Fantasy Pros Standard Rankings'!$A$2:$A$561,MATCH('NFL.com Rankings'!D188,'Fantasy Pros Standard Rankings'!$B$2:$B$561,0))</f>
        <v>264</v>
      </c>
      <c r="G188">
        <f t="shared" si="9"/>
        <v>-77</v>
      </c>
      <c r="H188">
        <f t="shared" si="10"/>
        <v>-0.29166666666666669</v>
      </c>
      <c r="I188" t="str">
        <f t="shared" si="11"/>
        <v>Pretty Overvalued</v>
      </c>
      <c r="K188">
        <f t="shared" si="12"/>
        <v>2</v>
      </c>
      <c r="L188" t="str">
        <f>COUNTIF($J$2:J188,"M")&amp;" - "&amp;K188</f>
        <v>0 - 2</v>
      </c>
    </row>
    <row r="189" spans="1:14" hidden="1">
      <c r="A189" s="1">
        <v>188</v>
      </c>
      <c r="B189" t="s">
        <v>526</v>
      </c>
      <c r="C189" t="s">
        <v>851</v>
      </c>
      <c r="D189" t="s">
        <v>217</v>
      </c>
      <c r="E189" t="str">
        <f>INDEX('NFL.com rankings drop'!$E$2:$E$201,MATCH('NFL.com Rankings'!D189,'NFL.com rankings drop'!$D$2:$D$201,0))</f>
        <v>RB</v>
      </c>
      <c r="F189">
        <f>INDEX('Fantasy Pros Standard Rankings'!$A$2:$A$561,MATCH('NFL.com Rankings'!D189,'Fantasy Pros Standard Rankings'!$B$2:$B$561,0))</f>
        <v>104</v>
      </c>
      <c r="G189">
        <f t="shared" si="9"/>
        <v>84</v>
      </c>
      <c r="H189">
        <f t="shared" si="10"/>
        <v>0.80769230769230771</v>
      </c>
      <c r="I189" t="str">
        <f t="shared" si="11"/>
        <v>Extremely Undervalued</v>
      </c>
      <c r="K189">
        <f t="shared" si="12"/>
        <v>2</v>
      </c>
      <c r="L189" t="str">
        <f>COUNTIF($J$2:J189,"M")&amp;" - "&amp;K189</f>
        <v>0 - 2</v>
      </c>
    </row>
    <row r="190" spans="1:14" hidden="1">
      <c r="A190" s="1">
        <v>189</v>
      </c>
      <c r="B190" t="s">
        <v>849</v>
      </c>
      <c r="C190" t="s">
        <v>852</v>
      </c>
      <c r="D190" t="s">
        <v>283</v>
      </c>
      <c r="E190" t="str">
        <f>INDEX('NFL.com rankings drop'!$E$2:$E$201,MATCH('NFL.com Rankings'!D190,'NFL.com rankings drop'!$D$2:$D$201,0))</f>
        <v>WR</v>
      </c>
      <c r="F190">
        <f>INDEX('Fantasy Pros Standard Rankings'!$A$2:$A$561,MATCH('NFL.com Rankings'!D190,'Fantasy Pros Standard Rankings'!$B$2:$B$561,0))</f>
        <v>457</v>
      </c>
      <c r="G190">
        <f t="shared" si="9"/>
        <v>-268</v>
      </c>
      <c r="H190">
        <f t="shared" si="10"/>
        <v>-0.58643326039387311</v>
      </c>
      <c r="I190" t="str">
        <f t="shared" si="11"/>
        <v>Extremely Overvalued</v>
      </c>
      <c r="K190">
        <f t="shared" si="12"/>
        <v>3</v>
      </c>
      <c r="L190" t="str">
        <f>COUNTIF($J$2:J190,"M")&amp;" - "&amp;K190</f>
        <v>0 - 3</v>
      </c>
    </row>
    <row r="191" spans="1:14" hidden="1">
      <c r="A191" s="1">
        <v>190</v>
      </c>
      <c r="B191" t="s">
        <v>577</v>
      </c>
      <c r="C191" t="s">
        <v>853</v>
      </c>
      <c r="D191" t="s">
        <v>211</v>
      </c>
      <c r="E191" t="str">
        <f>INDEX('NFL.com rankings drop'!$E$2:$E$201,MATCH('NFL.com Rankings'!D191,'NFL.com rankings drop'!$D$2:$D$201,0))</f>
        <v>K</v>
      </c>
      <c r="F191">
        <f>INDEX('Fantasy Pros Standard Rankings'!$A$2:$A$561,MATCH('NFL.com Rankings'!D191,'Fantasy Pros Standard Rankings'!$B$2:$B$561,0))</f>
        <v>257</v>
      </c>
      <c r="G191">
        <f t="shared" si="9"/>
        <v>-67</v>
      </c>
      <c r="H191">
        <f t="shared" si="10"/>
        <v>-0.26070038910505838</v>
      </c>
      <c r="I191" t="str">
        <f t="shared" si="11"/>
        <v>Pretty Overvalued</v>
      </c>
      <c r="K191">
        <f t="shared" si="12"/>
        <v>5</v>
      </c>
      <c r="L191" t="str">
        <f>COUNTIF($J$2:J191,"M")&amp;" - "&amp;K191</f>
        <v>0 - 5</v>
      </c>
    </row>
    <row r="192" spans="1:14" hidden="1">
      <c r="A192" s="1">
        <v>191</v>
      </c>
      <c r="B192" t="s">
        <v>758</v>
      </c>
      <c r="C192" t="s">
        <v>854</v>
      </c>
      <c r="D192" t="s">
        <v>307</v>
      </c>
      <c r="E192" t="str">
        <f>INDEX('NFL.com rankings drop'!$E$2:$E$201,MATCH('NFL.com Rankings'!D192,'NFL.com rankings drop'!$D$2:$D$201,0))</f>
        <v>RB</v>
      </c>
      <c r="F192">
        <f>INDEX('Fantasy Pros Standard Rankings'!$A$2:$A$561,MATCH('NFL.com Rankings'!D192,'Fantasy Pros Standard Rankings'!$B$2:$B$561,0))</f>
        <v>435</v>
      </c>
      <c r="G192">
        <f t="shared" si="9"/>
        <v>-244</v>
      </c>
      <c r="H192">
        <f t="shared" si="10"/>
        <v>-0.56091954022988511</v>
      </c>
      <c r="I192" t="str">
        <f t="shared" si="11"/>
        <v>Extremely Overvalued</v>
      </c>
      <c r="K192">
        <f t="shared" si="12"/>
        <v>2</v>
      </c>
      <c r="L192" t="str">
        <f>COUNTIF($J$2:J192,"M")&amp;" - "&amp;K192</f>
        <v>0 - 2</v>
      </c>
    </row>
    <row r="193" spans="1:12" hidden="1">
      <c r="A193" s="1">
        <v>192</v>
      </c>
      <c r="B193" t="s">
        <v>855</v>
      </c>
      <c r="C193" t="s">
        <v>856</v>
      </c>
      <c r="D193" t="s">
        <v>189</v>
      </c>
      <c r="E193" t="str">
        <f>INDEX('NFL.com rankings drop'!$E$2:$E$201,MATCH('NFL.com Rankings'!D193,'NFL.com rankings drop'!$D$2:$D$201,0))</f>
        <v>WR</v>
      </c>
      <c r="F193">
        <f>INDEX('Fantasy Pros Standard Rankings'!$A$2:$A$561,MATCH('NFL.com Rankings'!D193,'Fantasy Pros Standard Rankings'!$B$2:$B$561,0))</f>
        <v>307</v>
      </c>
      <c r="G193">
        <f t="shared" ref="G193:G201" si="13">A193-F193</f>
        <v>-115</v>
      </c>
      <c r="H193">
        <f t="shared" ref="H193:H201" si="14">G193/F193</f>
        <v>-0.3745928338762215</v>
      </c>
      <c r="I193" t="str">
        <f t="shared" ref="I193:I201" si="15">IF(AND(H193 &gt; -1, H193 &lt;= -0.5), "Extremely Overvalued",
IF(AND(H193 &gt; -0.5, H193 &lt;= -0.15), "Pretty Overvalued",
IF(AND(H193 &gt; -0.15, H193 &lt; 0), "Slightly Overvalued",
IF(H193 = 0, "At ADP",
IF(AND(H193 &gt; 0, H193 &lt;= 0.15), "Slightly Undervalued",
IF(AND(H193 &gt; 0.15, H193 &lt;= 0.5), "Pretty Undervalued",
IF(AND(H193 &gt; 0.5, H193 &lt;= 1), "Extremely Undervalued", "")))))))</f>
        <v>Pretty Overvalued</v>
      </c>
      <c r="K193">
        <f t="shared" ref="K193:K201" si="16">IF(E193="QB",1,IF(E193="RB",2,IF(E193="WR",3,IF(E193="TE",4,IF(E193="K",5,"Check")))))</f>
        <v>3</v>
      </c>
      <c r="L193" t="str">
        <f>COUNTIF($J$2:J193,"M")&amp;" - "&amp;K193</f>
        <v>0 - 3</v>
      </c>
    </row>
    <row r="194" spans="1:12" hidden="1">
      <c r="A194" s="1">
        <v>193</v>
      </c>
      <c r="B194" t="s">
        <v>857</v>
      </c>
      <c r="C194" t="s">
        <v>858</v>
      </c>
      <c r="D194" t="s">
        <v>166</v>
      </c>
      <c r="E194" t="str">
        <f>INDEX('NFL.com rankings drop'!$E$2:$E$201,MATCH('NFL.com Rankings'!D194,'NFL.com rankings drop'!$D$2:$D$201,0))</f>
        <v>RB</v>
      </c>
      <c r="F194">
        <f>INDEX('Fantasy Pros Standard Rankings'!$A$2:$A$561,MATCH('NFL.com Rankings'!D194,'Fantasy Pros Standard Rankings'!$B$2:$B$561,0))</f>
        <v>157</v>
      </c>
      <c r="G194">
        <f t="shared" si="13"/>
        <v>36</v>
      </c>
      <c r="H194">
        <f t="shared" si="14"/>
        <v>0.22929936305732485</v>
      </c>
      <c r="I194" t="str">
        <f t="shared" si="15"/>
        <v>Pretty Undervalued</v>
      </c>
      <c r="K194">
        <f t="shared" si="16"/>
        <v>2</v>
      </c>
      <c r="L194" t="str">
        <f>COUNTIF($J$2:J194,"M")&amp;" - "&amp;K194</f>
        <v>0 - 2</v>
      </c>
    </row>
    <row r="195" spans="1:12" hidden="1">
      <c r="A195" s="1">
        <v>194</v>
      </c>
      <c r="B195" t="s">
        <v>859</v>
      </c>
      <c r="C195" t="s">
        <v>860</v>
      </c>
      <c r="D195" t="s">
        <v>276</v>
      </c>
      <c r="E195" t="str">
        <f>INDEX('NFL.com rankings drop'!$E$2:$E$201,MATCH('NFL.com Rankings'!D195,'NFL.com rankings drop'!$D$2:$D$201,0))</f>
        <v>RB</v>
      </c>
      <c r="F195">
        <f>INDEX('Fantasy Pros Standard Rankings'!$A$2:$A$561,MATCH('NFL.com Rankings'!D195,'Fantasy Pros Standard Rankings'!$B$2:$B$561,0))</f>
        <v>316</v>
      </c>
      <c r="G195">
        <f t="shared" si="13"/>
        <v>-122</v>
      </c>
      <c r="H195">
        <f t="shared" si="14"/>
        <v>-0.38607594936708861</v>
      </c>
      <c r="I195" t="str">
        <f t="shared" si="15"/>
        <v>Pretty Overvalued</v>
      </c>
      <c r="K195">
        <f t="shared" si="16"/>
        <v>2</v>
      </c>
      <c r="L195" t="str">
        <f>COUNTIF($J$2:J195,"M")&amp;" - "&amp;K195</f>
        <v>0 - 2</v>
      </c>
    </row>
    <row r="196" spans="1:12" hidden="1">
      <c r="A196" s="1">
        <v>195</v>
      </c>
      <c r="B196" t="s">
        <v>861</v>
      </c>
      <c r="C196" t="s">
        <v>842</v>
      </c>
      <c r="D196" t="s">
        <v>158</v>
      </c>
      <c r="E196" t="str">
        <f>INDEX('NFL.com rankings drop'!$E$2:$E$201,MATCH('NFL.com Rankings'!D196,'NFL.com rankings drop'!$D$2:$D$201,0))</f>
        <v>QB</v>
      </c>
      <c r="F196">
        <f>INDEX('Fantasy Pros Standard Rankings'!$A$2:$A$561,MATCH('NFL.com Rankings'!D196,'Fantasy Pros Standard Rankings'!$B$2:$B$561,0))</f>
        <v>285</v>
      </c>
      <c r="G196">
        <f t="shared" si="13"/>
        <v>-90</v>
      </c>
      <c r="H196">
        <f t="shared" si="14"/>
        <v>-0.31578947368421051</v>
      </c>
      <c r="I196" t="str">
        <f t="shared" si="15"/>
        <v>Pretty Overvalued</v>
      </c>
      <c r="K196">
        <f t="shared" si="16"/>
        <v>1</v>
      </c>
      <c r="L196" t="str">
        <f>COUNTIF($J$2:J196,"M")&amp;" - "&amp;K196</f>
        <v>0 - 1</v>
      </c>
    </row>
    <row r="197" spans="1:12" hidden="1">
      <c r="A197" s="1">
        <v>196</v>
      </c>
      <c r="D197" t="s">
        <v>161</v>
      </c>
      <c r="E197" t="str">
        <f>INDEX('NFL.com rankings drop'!$E$2:$E$201,MATCH('NFL.com Rankings'!D197,'NFL.com rankings drop'!$D$2:$D$201,0))</f>
        <v>WR</v>
      </c>
      <c r="F197">
        <f>INDEX('Fantasy Pros Standard Rankings'!$A$2:$A$561,MATCH('NFL.com Rankings'!D197,'Fantasy Pros Standard Rankings'!$B$2:$B$561,0))</f>
        <v>360</v>
      </c>
      <c r="G197">
        <f t="shared" si="13"/>
        <v>-164</v>
      </c>
      <c r="H197">
        <f t="shared" si="14"/>
        <v>-0.45555555555555555</v>
      </c>
      <c r="I197" t="str">
        <f t="shared" si="15"/>
        <v>Pretty Overvalued</v>
      </c>
      <c r="K197">
        <f t="shared" si="16"/>
        <v>3</v>
      </c>
    </row>
    <row r="198" spans="1:12" hidden="1">
      <c r="A198" s="1">
        <v>197</v>
      </c>
      <c r="D198" t="s">
        <v>256</v>
      </c>
      <c r="E198" t="str">
        <f>INDEX('NFL.com rankings drop'!$E$2:$E$201,MATCH('NFL.com Rankings'!D198,'NFL.com rankings drop'!$D$2:$D$201,0))</f>
        <v>RB</v>
      </c>
      <c r="F198">
        <f>INDEX('Fantasy Pros Standard Rankings'!$A$2:$A$561,MATCH('NFL.com Rankings'!D198,'Fantasy Pros Standard Rankings'!$B$2:$B$561,0))</f>
        <v>252</v>
      </c>
      <c r="G198">
        <f t="shared" si="13"/>
        <v>-55</v>
      </c>
      <c r="H198">
        <f t="shared" si="14"/>
        <v>-0.21825396825396826</v>
      </c>
      <c r="I198" t="str">
        <f t="shared" si="15"/>
        <v>Pretty Overvalued</v>
      </c>
      <c r="K198">
        <f t="shared" si="16"/>
        <v>2</v>
      </c>
    </row>
    <row r="199" spans="1:12" hidden="1">
      <c r="A199" s="1">
        <v>198</v>
      </c>
      <c r="D199" t="s">
        <v>262</v>
      </c>
      <c r="E199" t="str">
        <f>INDEX('NFL.com rankings drop'!$E$2:$E$201,MATCH('NFL.com Rankings'!D199,'NFL.com rankings drop'!$D$2:$D$201,0))</f>
        <v>QB</v>
      </c>
      <c r="F199" t="e">
        <f>INDEX('Fantasy Pros Standard Rankings'!$A$2:$A$561,MATCH('NFL.com Rankings'!D199,'Fantasy Pros Standard Rankings'!$B$2:$B$561,0))</f>
        <v>#N/A</v>
      </c>
      <c r="G199" t="e">
        <f t="shared" si="13"/>
        <v>#N/A</v>
      </c>
      <c r="H199" t="e">
        <f t="shared" si="14"/>
        <v>#N/A</v>
      </c>
      <c r="I199" t="e">
        <f t="shared" si="15"/>
        <v>#N/A</v>
      </c>
      <c r="K199">
        <f t="shared" si="16"/>
        <v>1</v>
      </c>
    </row>
    <row r="200" spans="1:12" hidden="1">
      <c r="A200" s="1">
        <v>199</v>
      </c>
      <c r="D200" t="s">
        <v>239</v>
      </c>
      <c r="E200" t="str">
        <f>INDEX('NFL.com rankings drop'!$E$2:$E$201,MATCH('NFL.com Rankings'!D200,'NFL.com rankings drop'!$D$2:$D$201,0))</f>
        <v>RB</v>
      </c>
      <c r="F200">
        <f>INDEX('Fantasy Pros Standard Rankings'!$A$2:$A$561,MATCH('NFL.com Rankings'!D200,'Fantasy Pros Standard Rankings'!$B$2:$B$561,0))</f>
        <v>248</v>
      </c>
      <c r="G200">
        <f t="shared" si="13"/>
        <v>-49</v>
      </c>
      <c r="H200">
        <f t="shared" si="14"/>
        <v>-0.19758064516129031</v>
      </c>
      <c r="I200" t="str">
        <f t="shared" si="15"/>
        <v>Pretty Overvalued</v>
      </c>
      <c r="K200">
        <f t="shared" si="16"/>
        <v>2</v>
      </c>
    </row>
    <row r="201" spans="1:12" hidden="1">
      <c r="A201" s="1">
        <v>200</v>
      </c>
      <c r="D201" t="s">
        <v>270</v>
      </c>
      <c r="E201" t="e">
        <f>INDEX('NFL.com rankings drop'!$E$2:$E$201,MATCH('NFL.com Rankings'!D201,'NFL.com rankings drop'!$D$2:$D$201,0))</f>
        <v>#N/A</v>
      </c>
      <c r="F201">
        <f>INDEX('Fantasy Pros Standard Rankings'!$A$2:$A$561,MATCH('NFL.com Rankings'!D201,'Fantasy Pros Standard Rankings'!$B$2:$B$561,0))</f>
        <v>205</v>
      </c>
      <c r="G201">
        <f t="shared" si="13"/>
        <v>-5</v>
      </c>
      <c r="H201">
        <f t="shared" si="14"/>
        <v>-2.4390243902439025E-2</v>
      </c>
      <c r="I201" t="str">
        <f t="shared" si="15"/>
        <v>Slightly Overvalued</v>
      </c>
      <c r="K201" t="e">
        <f t="shared" si="16"/>
        <v>#N/A</v>
      </c>
    </row>
  </sheetData>
  <conditionalFormatting sqref="A3:D196 E3:I201 A197:A201 A2:J2 J3:J24">
    <cfRule type="expression" dxfId="5" priority="5">
      <formula>$J2="M"</formula>
    </cfRule>
  </conditionalFormatting>
  <conditionalFormatting sqref="A3:D196 F3:F201 A197:A201">
    <cfRule type="expression" dxfId="4" priority="3">
      <formula>$J3="Y"</formula>
    </cfRule>
  </conditionalFormatting>
  <conditionalFormatting sqref="A2:J2 J3:J24 E3:E201 G3:I201">
    <cfRule type="expression" dxfId="3" priority="7">
      <formula>$J2="Y"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workbookViewId="0"/>
  </sheetViews>
  <sheetFormatPr defaultRowHeight="14.5"/>
  <sheetData>
    <row r="1" spans="1:3">
      <c r="A1" t="s">
        <v>502</v>
      </c>
      <c r="B1" t="s">
        <v>503</v>
      </c>
      <c r="C1" t="s">
        <v>506</v>
      </c>
    </row>
    <row r="2" spans="1:3">
      <c r="A2">
        <v>1</v>
      </c>
      <c r="B2" t="s">
        <v>4</v>
      </c>
      <c r="C2" t="s">
        <v>865</v>
      </c>
    </row>
    <row r="3" spans="1:3">
      <c r="A3">
        <v>3</v>
      </c>
      <c r="B3" t="s">
        <v>6</v>
      </c>
      <c r="C3" t="s">
        <v>867</v>
      </c>
    </row>
    <row r="4" spans="1:3">
      <c r="A4">
        <v>7</v>
      </c>
      <c r="B4" t="s">
        <v>10</v>
      </c>
      <c r="C4" t="s">
        <v>865</v>
      </c>
    </row>
    <row r="5" spans="1:3">
      <c r="A5">
        <v>5</v>
      </c>
      <c r="B5" t="s">
        <v>9</v>
      </c>
      <c r="C5" t="s">
        <v>865</v>
      </c>
    </row>
    <row r="6" spans="1:3">
      <c r="A6">
        <v>4</v>
      </c>
      <c r="B6" t="s">
        <v>11</v>
      </c>
      <c r="C6" t="s">
        <v>867</v>
      </c>
    </row>
    <row r="7" spans="1:3">
      <c r="A7">
        <v>2</v>
      </c>
      <c r="B7" t="s">
        <v>7</v>
      </c>
      <c r="C7" t="s">
        <v>867</v>
      </c>
    </row>
    <row r="8" spans="1:3">
      <c r="A8">
        <v>10</v>
      </c>
      <c r="B8" t="s">
        <v>15</v>
      </c>
      <c r="C8" t="s">
        <v>865</v>
      </c>
    </row>
    <row r="9" spans="1:3">
      <c r="A9">
        <v>9</v>
      </c>
      <c r="B9" t="s">
        <v>14</v>
      </c>
      <c r="C9" t="s">
        <v>865</v>
      </c>
    </row>
    <row r="10" spans="1:3">
      <c r="A10">
        <v>6</v>
      </c>
      <c r="B10" t="s">
        <v>17</v>
      </c>
      <c r="C10" t="s">
        <v>865</v>
      </c>
    </row>
    <row r="11" spans="1:3">
      <c r="A11">
        <v>15</v>
      </c>
      <c r="B11" t="s">
        <v>16</v>
      </c>
      <c r="C11" t="s">
        <v>865</v>
      </c>
    </row>
    <row r="12" spans="1:3">
      <c r="A12">
        <v>13</v>
      </c>
      <c r="B12" t="s">
        <v>23</v>
      </c>
      <c r="C12" t="s">
        <v>867</v>
      </c>
    </row>
    <row r="13" spans="1:3">
      <c r="A13">
        <v>8</v>
      </c>
      <c r="B13" t="s">
        <v>12</v>
      </c>
      <c r="C13" t="s">
        <v>867</v>
      </c>
    </row>
    <row r="14" spans="1:3">
      <c r="A14">
        <v>19</v>
      </c>
      <c r="B14" t="s">
        <v>20</v>
      </c>
      <c r="C14" t="s">
        <v>865</v>
      </c>
    </row>
    <row r="15" spans="1:3">
      <c r="A15">
        <v>12</v>
      </c>
      <c r="B15" t="s">
        <v>19</v>
      </c>
      <c r="C15" t="s">
        <v>867</v>
      </c>
    </row>
    <row r="16" spans="1:3">
      <c r="A16">
        <v>14</v>
      </c>
      <c r="B16" t="s">
        <v>13</v>
      </c>
      <c r="C16" t="s">
        <v>865</v>
      </c>
    </row>
    <row r="17" spans="1:3">
      <c r="A17">
        <v>11</v>
      </c>
      <c r="B17" t="s">
        <v>18</v>
      </c>
      <c r="C17" t="s">
        <v>867</v>
      </c>
    </row>
    <row r="18" spans="1:3">
      <c r="A18">
        <v>27</v>
      </c>
      <c r="B18" t="s">
        <v>33</v>
      </c>
      <c r="C18" t="s">
        <v>867</v>
      </c>
    </row>
    <row r="19" spans="1:3">
      <c r="A19">
        <v>17</v>
      </c>
      <c r="B19" t="s">
        <v>22</v>
      </c>
      <c r="C19" t="s">
        <v>865</v>
      </c>
    </row>
    <row r="20" spans="1:3">
      <c r="A20">
        <v>18</v>
      </c>
      <c r="B20" t="s">
        <v>25</v>
      </c>
      <c r="C20" t="s">
        <v>890</v>
      </c>
    </row>
    <row r="21" spans="1:3">
      <c r="A21">
        <v>24</v>
      </c>
      <c r="B21" t="s">
        <v>27</v>
      </c>
      <c r="C21" t="s">
        <v>865</v>
      </c>
    </row>
    <row r="22" spans="1:3">
      <c r="A22">
        <v>22</v>
      </c>
      <c r="B22" t="s">
        <v>28</v>
      </c>
      <c r="C22" t="s">
        <v>867</v>
      </c>
    </row>
    <row r="23" spans="1:3">
      <c r="A23">
        <v>23</v>
      </c>
      <c r="B23" t="s">
        <v>21</v>
      </c>
      <c r="C23" t="s">
        <v>867</v>
      </c>
    </row>
    <row r="24" spans="1:3">
      <c r="A24">
        <v>25</v>
      </c>
      <c r="B24" t="s">
        <v>29</v>
      </c>
      <c r="C24" t="s">
        <v>867</v>
      </c>
    </row>
    <row r="25" spans="1:3">
      <c r="A25">
        <v>16</v>
      </c>
      <c r="B25" t="s">
        <v>24</v>
      </c>
      <c r="C25" t="s">
        <v>867</v>
      </c>
    </row>
    <row r="26" spans="1:3">
      <c r="A26">
        <v>42</v>
      </c>
      <c r="B26" t="s">
        <v>47</v>
      </c>
      <c r="C26" t="s">
        <v>865</v>
      </c>
    </row>
    <row r="27" spans="1:3">
      <c r="A27">
        <v>28</v>
      </c>
      <c r="B27" t="s">
        <v>36</v>
      </c>
      <c r="C27" t="s">
        <v>890</v>
      </c>
    </row>
    <row r="28" spans="1:3">
      <c r="A28">
        <v>34</v>
      </c>
      <c r="B28" t="s">
        <v>46</v>
      </c>
      <c r="C28" t="s">
        <v>867</v>
      </c>
    </row>
    <row r="29" spans="1:3">
      <c r="A29">
        <v>31</v>
      </c>
      <c r="B29" t="s">
        <v>39</v>
      </c>
      <c r="C29" t="s">
        <v>867</v>
      </c>
    </row>
    <row r="30" spans="1:3">
      <c r="A30">
        <v>40</v>
      </c>
      <c r="B30" t="s">
        <v>34</v>
      </c>
      <c r="C30" t="s">
        <v>865</v>
      </c>
    </row>
    <row r="31" spans="1:3">
      <c r="A31">
        <v>30</v>
      </c>
      <c r="B31" t="s">
        <v>32</v>
      </c>
      <c r="C31" t="s">
        <v>865</v>
      </c>
    </row>
    <row r="32" spans="1:3">
      <c r="A32">
        <v>20</v>
      </c>
      <c r="B32" t="s">
        <v>31</v>
      </c>
      <c r="C32" t="s">
        <v>900</v>
      </c>
    </row>
    <row r="33" spans="1:3">
      <c r="A33">
        <v>21</v>
      </c>
      <c r="B33" t="s">
        <v>30</v>
      </c>
      <c r="C33" t="s">
        <v>900</v>
      </c>
    </row>
    <row r="34" spans="1:3">
      <c r="A34">
        <v>35</v>
      </c>
      <c r="B34" t="s">
        <v>42</v>
      </c>
      <c r="C34" t="s">
        <v>865</v>
      </c>
    </row>
    <row r="35" spans="1:3">
      <c r="A35">
        <v>32</v>
      </c>
      <c r="B35" t="s">
        <v>37</v>
      </c>
      <c r="C35" t="s">
        <v>900</v>
      </c>
    </row>
    <row r="36" spans="1:3">
      <c r="A36">
        <v>29</v>
      </c>
      <c r="B36" t="s">
        <v>38</v>
      </c>
      <c r="C36" t="s">
        <v>865</v>
      </c>
    </row>
    <row r="37" spans="1:3">
      <c r="A37">
        <v>50</v>
      </c>
      <c r="B37" t="s">
        <v>54</v>
      </c>
      <c r="C37" t="s">
        <v>865</v>
      </c>
    </row>
    <row r="38" spans="1:3">
      <c r="A38">
        <v>26</v>
      </c>
      <c r="B38" t="s">
        <v>35</v>
      </c>
      <c r="C38" t="s">
        <v>865</v>
      </c>
    </row>
    <row r="39" spans="1:3">
      <c r="A39">
        <v>38</v>
      </c>
      <c r="B39" t="s">
        <v>45</v>
      </c>
      <c r="C39" t="s">
        <v>865</v>
      </c>
    </row>
    <row r="40" spans="1:3">
      <c r="A40">
        <v>33</v>
      </c>
      <c r="B40" t="s">
        <v>41</v>
      </c>
      <c r="C40" t="s">
        <v>900</v>
      </c>
    </row>
    <row r="41" spans="1:3">
      <c r="A41">
        <v>55</v>
      </c>
      <c r="B41" t="s">
        <v>57</v>
      </c>
      <c r="C41" t="s">
        <v>867</v>
      </c>
    </row>
    <row r="42" spans="1:3">
      <c r="A42">
        <v>44</v>
      </c>
      <c r="B42" t="s">
        <v>44</v>
      </c>
      <c r="C42" t="s">
        <v>867</v>
      </c>
    </row>
    <row r="43" spans="1:3">
      <c r="A43">
        <v>49</v>
      </c>
      <c r="B43" t="s">
        <v>76</v>
      </c>
      <c r="C43" t="s">
        <v>865</v>
      </c>
    </row>
    <row r="44" spans="1:3">
      <c r="A44">
        <v>36</v>
      </c>
      <c r="B44" t="s">
        <v>50</v>
      </c>
      <c r="C44" t="s">
        <v>900</v>
      </c>
    </row>
    <row r="45" spans="1:3">
      <c r="A45">
        <v>63</v>
      </c>
      <c r="B45" t="s">
        <v>51</v>
      </c>
      <c r="C45" t="s">
        <v>865</v>
      </c>
    </row>
    <row r="46" spans="1:3">
      <c r="A46">
        <v>37</v>
      </c>
      <c r="B46" t="s">
        <v>26</v>
      </c>
      <c r="C46" t="s">
        <v>890</v>
      </c>
    </row>
    <row r="47" spans="1:3">
      <c r="A47">
        <v>41</v>
      </c>
      <c r="B47" t="s">
        <v>43</v>
      </c>
      <c r="C47" t="s">
        <v>867</v>
      </c>
    </row>
    <row r="48" spans="1:3">
      <c r="A48">
        <v>48</v>
      </c>
      <c r="B48" t="s">
        <v>52</v>
      </c>
      <c r="C48" t="s">
        <v>867</v>
      </c>
    </row>
    <row r="49" spans="1:3">
      <c r="A49">
        <v>69</v>
      </c>
      <c r="B49" t="s">
        <v>63</v>
      </c>
      <c r="C49" t="s">
        <v>867</v>
      </c>
    </row>
    <row r="50" spans="1:3">
      <c r="A50">
        <v>71</v>
      </c>
      <c r="B50" t="s">
        <v>62</v>
      </c>
      <c r="C50" t="s">
        <v>865</v>
      </c>
    </row>
    <row r="51" spans="1:3">
      <c r="A51">
        <v>66</v>
      </c>
      <c r="B51" t="s">
        <v>79</v>
      </c>
      <c r="C51" t="s">
        <v>865</v>
      </c>
    </row>
    <row r="52" spans="1:3">
      <c r="A52">
        <v>61</v>
      </c>
      <c r="B52" t="s">
        <v>64</v>
      </c>
      <c r="C52" t="s">
        <v>865</v>
      </c>
    </row>
    <row r="53" spans="1:3">
      <c r="A53">
        <v>45</v>
      </c>
      <c r="B53" t="s">
        <v>48</v>
      </c>
      <c r="C53" t="s">
        <v>865</v>
      </c>
    </row>
    <row r="54" spans="1:3">
      <c r="A54">
        <v>43</v>
      </c>
      <c r="B54" t="s">
        <v>40</v>
      </c>
      <c r="C54" t="s">
        <v>865</v>
      </c>
    </row>
    <row r="55" spans="1:3">
      <c r="A55">
        <v>60</v>
      </c>
      <c r="B55" t="s">
        <v>70</v>
      </c>
      <c r="C55" t="s">
        <v>867</v>
      </c>
    </row>
    <row r="56" spans="1:3">
      <c r="A56">
        <v>54</v>
      </c>
      <c r="B56" t="s">
        <v>60</v>
      </c>
      <c r="C56" t="s">
        <v>865</v>
      </c>
    </row>
    <row r="57" spans="1:3">
      <c r="A57">
        <v>64</v>
      </c>
      <c r="B57" t="s">
        <v>66</v>
      </c>
      <c r="C57" t="s">
        <v>867</v>
      </c>
    </row>
    <row r="58" spans="1:3">
      <c r="A58">
        <v>47</v>
      </c>
      <c r="B58" t="s">
        <v>65</v>
      </c>
      <c r="C58" t="s">
        <v>890</v>
      </c>
    </row>
    <row r="59" spans="1:3">
      <c r="A59">
        <v>52</v>
      </c>
      <c r="B59" t="s">
        <v>55</v>
      </c>
      <c r="C59" t="s">
        <v>865</v>
      </c>
    </row>
    <row r="60" spans="1:3">
      <c r="A60">
        <v>58</v>
      </c>
      <c r="B60" t="s">
        <v>81</v>
      </c>
      <c r="C60" t="s">
        <v>890</v>
      </c>
    </row>
    <row r="61" spans="1:3">
      <c r="A61">
        <v>39</v>
      </c>
      <c r="B61" t="s">
        <v>53</v>
      </c>
      <c r="C61" t="s">
        <v>867</v>
      </c>
    </row>
    <row r="62" spans="1:3">
      <c r="A62">
        <v>46</v>
      </c>
      <c r="B62" t="s">
        <v>49</v>
      </c>
      <c r="C62" t="s">
        <v>867</v>
      </c>
    </row>
    <row r="63" spans="1:3">
      <c r="A63">
        <v>57</v>
      </c>
      <c r="B63" t="s">
        <v>56</v>
      </c>
      <c r="C63" t="s">
        <v>865</v>
      </c>
    </row>
    <row r="64" spans="1:3">
      <c r="A64">
        <v>74</v>
      </c>
      <c r="B64" t="s">
        <v>67</v>
      </c>
      <c r="C64" t="s">
        <v>867</v>
      </c>
    </row>
    <row r="65" spans="1:3">
      <c r="A65">
        <v>73</v>
      </c>
      <c r="B65" t="s">
        <v>72</v>
      </c>
      <c r="C65" t="s">
        <v>890</v>
      </c>
    </row>
    <row r="66" spans="1:3">
      <c r="A66">
        <v>56</v>
      </c>
      <c r="B66" t="s">
        <v>58</v>
      </c>
      <c r="C66" t="s">
        <v>865</v>
      </c>
    </row>
    <row r="67" spans="1:3">
      <c r="A67">
        <v>51</v>
      </c>
      <c r="B67" t="s">
        <v>68</v>
      </c>
      <c r="C67" t="s">
        <v>900</v>
      </c>
    </row>
    <row r="68" spans="1:3">
      <c r="A68">
        <v>79</v>
      </c>
      <c r="B68" t="s">
        <v>75</v>
      </c>
      <c r="C68" t="s">
        <v>867</v>
      </c>
    </row>
    <row r="69" spans="1:3">
      <c r="A69">
        <v>80</v>
      </c>
      <c r="B69" t="s">
        <v>85</v>
      </c>
      <c r="C69" t="s">
        <v>865</v>
      </c>
    </row>
    <row r="70" spans="1:3">
      <c r="A70">
        <v>53</v>
      </c>
      <c r="B70" t="s">
        <v>59</v>
      </c>
      <c r="C70" t="s">
        <v>867</v>
      </c>
    </row>
    <row r="71" spans="1:3">
      <c r="A71">
        <v>77</v>
      </c>
      <c r="B71" t="s">
        <v>86</v>
      </c>
      <c r="C71" t="s">
        <v>865</v>
      </c>
    </row>
    <row r="72" spans="1:3">
      <c r="A72">
        <v>67</v>
      </c>
      <c r="B72" t="s">
        <v>73</v>
      </c>
      <c r="C72" t="s">
        <v>867</v>
      </c>
    </row>
    <row r="73" spans="1:3">
      <c r="A73">
        <v>59</v>
      </c>
      <c r="B73" t="s">
        <v>61</v>
      </c>
      <c r="C73" t="s">
        <v>865</v>
      </c>
    </row>
    <row r="74" spans="1:3">
      <c r="A74">
        <v>68</v>
      </c>
      <c r="B74" t="s">
        <v>71</v>
      </c>
      <c r="C74" t="s">
        <v>865</v>
      </c>
    </row>
    <row r="75" spans="1:3">
      <c r="A75">
        <v>95</v>
      </c>
      <c r="B75" t="s">
        <v>116</v>
      </c>
      <c r="C75" t="s">
        <v>865</v>
      </c>
    </row>
    <row r="76" spans="1:3">
      <c r="A76">
        <v>154</v>
      </c>
      <c r="B76" t="s">
        <v>93</v>
      </c>
      <c r="C76" t="s">
        <v>900</v>
      </c>
    </row>
    <row r="77" spans="1:3">
      <c r="A77">
        <v>65</v>
      </c>
      <c r="B77" t="s">
        <v>77</v>
      </c>
      <c r="C77" t="s">
        <v>900</v>
      </c>
    </row>
    <row r="78" spans="1:3">
      <c r="A78">
        <v>107</v>
      </c>
      <c r="B78" t="s">
        <v>92</v>
      </c>
      <c r="C78" t="s">
        <v>867</v>
      </c>
    </row>
    <row r="79" spans="1:3">
      <c r="A79">
        <v>87</v>
      </c>
      <c r="B79" t="s">
        <v>112</v>
      </c>
      <c r="C79" t="s">
        <v>890</v>
      </c>
    </row>
    <row r="80" spans="1:3">
      <c r="A80">
        <v>83</v>
      </c>
      <c r="B80" t="s">
        <v>89</v>
      </c>
      <c r="C80" t="s">
        <v>865</v>
      </c>
    </row>
    <row r="81" spans="1:3">
      <c r="A81">
        <v>70</v>
      </c>
      <c r="B81" t="s">
        <v>82</v>
      </c>
      <c r="C81" t="s">
        <v>867</v>
      </c>
    </row>
    <row r="82" spans="1:3">
      <c r="A82">
        <v>100</v>
      </c>
      <c r="B82" t="s">
        <v>1206</v>
      </c>
      <c r="C82" t="s">
        <v>865</v>
      </c>
    </row>
    <row r="83" spans="1:3">
      <c r="A83">
        <v>96</v>
      </c>
      <c r="B83" t="s">
        <v>117</v>
      </c>
      <c r="C83" t="s">
        <v>865</v>
      </c>
    </row>
    <row r="84" spans="1:3">
      <c r="A84">
        <v>72</v>
      </c>
      <c r="B84" t="s">
        <v>80</v>
      </c>
      <c r="C84" t="s">
        <v>900</v>
      </c>
    </row>
    <row r="85" spans="1:3">
      <c r="A85">
        <v>86</v>
      </c>
      <c r="B85" t="s">
        <v>107</v>
      </c>
      <c r="C85" t="s">
        <v>865</v>
      </c>
    </row>
    <row r="86" spans="1:3">
      <c r="A86">
        <v>91</v>
      </c>
      <c r="B86" t="s">
        <v>83</v>
      </c>
      <c r="C86" t="s">
        <v>867</v>
      </c>
    </row>
    <row r="87" spans="1:3">
      <c r="A87">
        <v>101</v>
      </c>
      <c r="B87" t="s">
        <v>121</v>
      </c>
      <c r="C87" t="s">
        <v>867</v>
      </c>
    </row>
    <row r="88" spans="1:3">
      <c r="A88">
        <v>93</v>
      </c>
      <c r="B88" t="s">
        <v>84</v>
      </c>
      <c r="C88" t="s">
        <v>900</v>
      </c>
    </row>
    <row r="89" spans="1:3">
      <c r="A89">
        <v>102</v>
      </c>
      <c r="B89" t="s">
        <v>99</v>
      </c>
      <c r="C89" t="s">
        <v>865</v>
      </c>
    </row>
    <row r="90" spans="1:3">
      <c r="A90">
        <v>81</v>
      </c>
      <c r="B90" t="s">
        <v>103</v>
      </c>
      <c r="C90" t="s">
        <v>865</v>
      </c>
    </row>
    <row r="91" spans="1:3">
      <c r="A91">
        <v>78</v>
      </c>
      <c r="B91" t="s">
        <v>126</v>
      </c>
      <c r="C91" t="s">
        <v>867</v>
      </c>
    </row>
    <row r="92" spans="1:3">
      <c r="A92">
        <v>145</v>
      </c>
      <c r="B92" t="s">
        <v>120</v>
      </c>
      <c r="C92" t="s">
        <v>867</v>
      </c>
    </row>
    <row r="93" spans="1:3">
      <c r="A93">
        <v>98</v>
      </c>
      <c r="B93" t="s">
        <v>90</v>
      </c>
      <c r="C93" t="s">
        <v>865</v>
      </c>
    </row>
    <row r="94" spans="1:3">
      <c r="A94">
        <v>75</v>
      </c>
      <c r="B94" t="s">
        <v>87</v>
      </c>
      <c r="C94" t="s">
        <v>865</v>
      </c>
    </row>
    <row r="95" spans="1:3">
      <c r="A95">
        <v>82</v>
      </c>
      <c r="B95" t="s">
        <v>94</v>
      </c>
      <c r="C95" t="s">
        <v>865</v>
      </c>
    </row>
    <row r="96" spans="1:3">
      <c r="A96">
        <v>94</v>
      </c>
      <c r="B96" t="s">
        <v>95</v>
      </c>
      <c r="C96" t="s">
        <v>867</v>
      </c>
    </row>
    <row r="97" spans="1:3">
      <c r="A97">
        <v>76</v>
      </c>
      <c r="B97" t="s">
        <v>108</v>
      </c>
      <c r="C97" t="s">
        <v>890</v>
      </c>
    </row>
    <row r="98" spans="1:3">
      <c r="A98">
        <v>108</v>
      </c>
      <c r="B98" t="s">
        <v>115</v>
      </c>
      <c r="C98" t="s">
        <v>867</v>
      </c>
    </row>
    <row r="99" spans="1:3">
      <c r="A99">
        <v>156</v>
      </c>
      <c r="B99" t="s">
        <v>263</v>
      </c>
      <c r="C99" t="s">
        <v>867</v>
      </c>
    </row>
    <row r="100" spans="1:3">
      <c r="A100">
        <v>131</v>
      </c>
      <c r="B100" t="s">
        <v>149</v>
      </c>
      <c r="C100" t="s">
        <v>867</v>
      </c>
    </row>
    <row r="101" spans="1:3">
      <c r="A101">
        <v>134</v>
      </c>
      <c r="B101" t="s">
        <v>137</v>
      </c>
      <c r="C101" t="s">
        <v>865</v>
      </c>
    </row>
    <row r="102" spans="1:3">
      <c r="A102">
        <v>124</v>
      </c>
      <c r="B102" t="s">
        <v>131</v>
      </c>
      <c r="C102" t="s">
        <v>865</v>
      </c>
    </row>
    <row r="103" spans="1:3">
      <c r="A103">
        <v>90</v>
      </c>
      <c r="B103" t="s">
        <v>119</v>
      </c>
      <c r="C103" t="s">
        <v>865</v>
      </c>
    </row>
    <row r="104" spans="1:3">
      <c r="A104">
        <v>62</v>
      </c>
      <c r="B104" t="s">
        <v>91</v>
      </c>
      <c r="C104" t="s">
        <v>890</v>
      </c>
    </row>
    <row r="105" spans="1:3">
      <c r="A105">
        <v>120</v>
      </c>
      <c r="B105" t="s">
        <v>122</v>
      </c>
      <c r="C105" t="s">
        <v>865</v>
      </c>
    </row>
    <row r="106" spans="1:3">
      <c r="A106">
        <v>192</v>
      </c>
      <c r="B106" t="s">
        <v>169</v>
      </c>
      <c r="C106" t="s">
        <v>865</v>
      </c>
    </row>
    <row r="107" spans="1:3">
      <c r="A107">
        <v>110</v>
      </c>
      <c r="B107" t="s">
        <v>98</v>
      </c>
      <c r="C107" t="s">
        <v>865</v>
      </c>
    </row>
    <row r="108" spans="1:3">
      <c r="A108">
        <v>88</v>
      </c>
      <c r="B108" t="s">
        <v>78</v>
      </c>
      <c r="C108" t="s">
        <v>867</v>
      </c>
    </row>
    <row r="109" spans="1:3">
      <c r="A109">
        <v>128</v>
      </c>
      <c r="B109" t="s">
        <v>109</v>
      </c>
      <c r="C109" t="s">
        <v>867</v>
      </c>
    </row>
    <row r="110" spans="1:3">
      <c r="A110">
        <v>84</v>
      </c>
      <c r="B110" t="s">
        <v>101</v>
      </c>
      <c r="C110" t="s">
        <v>890</v>
      </c>
    </row>
    <row r="111" spans="1:3">
      <c r="A111">
        <v>139</v>
      </c>
      <c r="B111" t="s">
        <v>104</v>
      </c>
      <c r="C111" t="s">
        <v>900</v>
      </c>
    </row>
    <row r="112" spans="1:3">
      <c r="A112">
        <v>103</v>
      </c>
      <c r="B112" t="s">
        <v>139</v>
      </c>
      <c r="C112" t="s">
        <v>890</v>
      </c>
    </row>
    <row r="113" spans="1:3">
      <c r="A113">
        <v>115</v>
      </c>
      <c r="B113" t="s">
        <v>88</v>
      </c>
      <c r="C113" t="s">
        <v>900</v>
      </c>
    </row>
    <row r="114" spans="1:3">
      <c r="A114">
        <v>116</v>
      </c>
      <c r="B114" t="s">
        <v>157</v>
      </c>
      <c r="C114" t="s">
        <v>890</v>
      </c>
    </row>
    <row r="115" spans="1:3">
      <c r="A115">
        <v>109</v>
      </c>
      <c r="B115" t="s">
        <v>96</v>
      </c>
      <c r="C115" t="s">
        <v>900</v>
      </c>
    </row>
    <row r="116" spans="1:3">
      <c r="A116">
        <v>85</v>
      </c>
      <c r="B116" t="s">
        <v>127</v>
      </c>
      <c r="C116" t="s">
        <v>865</v>
      </c>
    </row>
    <row r="117" spans="1:3">
      <c r="A117">
        <v>117</v>
      </c>
      <c r="B117" t="s">
        <v>97</v>
      </c>
      <c r="C117" t="s">
        <v>890</v>
      </c>
    </row>
    <row r="118" spans="1:3">
      <c r="A118">
        <v>141</v>
      </c>
      <c r="B118" t="s">
        <v>148</v>
      </c>
      <c r="C118" t="s">
        <v>867</v>
      </c>
    </row>
    <row r="119" spans="1:3">
      <c r="A119">
        <v>92</v>
      </c>
      <c r="B119" t="s">
        <v>100</v>
      </c>
      <c r="C119" t="s">
        <v>867</v>
      </c>
    </row>
    <row r="120" spans="1:3">
      <c r="A120">
        <v>164</v>
      </c>
      <c r="B120" t="s">
        <v>138</v>
      </c>
      <c r="C120" t="s">
        <v>867</v>
      </c>
    </row>
    <row r="121" spans="1:3">
      <c r="A121">
        <v>112</v>
      </c>
      <c r="B121" t="s">
        <v>113</v>
      </c>
      <c r="C121" t="s">
        <v>867</v>
      </c>
    </row>
    <row r="122" spans="1:3">
      <c r="A122">
        <v>173</v>
      </c>
      <c r="B122" t="s">
        <v>164</v>
      </c>
      <c r="C122" t="s">
        <v>867</v>
      </c>
    </row>
    <row r="123" spans="1:3">
      <c r="A123">
        <v>159</v>
      </c>
      <c r="B123" t="s">
        <v>147</v>
      </c>
      <c r="C123" t="s">
        <v>867</v>
      </c>
    </row>
    <row r="124" spans="1:3">
      <c r="A124">
        <v>152</v>
      </c>
      <c r="B124" t="s">
        <v>174</v>
      </c>
      <c r="C124" t="s">
        <v>865</v>
      </c>
    </row>
    <row r="125" spans="1:3">
      <c r="A125">
        <v>166</v>
      </c>
      <c r="B125" t="s">
        <v>151</v>
      </c>
      <c r="C125" t="s">
        <v>865</v>
      </c>
    </row>
    <row r="126" spans="1:3">
      <c r="A126">
        <v>336</v>
      </c>
      <c r="B126" t="s">
        <v>269</v>
      </c>
      <c r="C126" t="s">
        <v>867</v>
      </c>
    </row>
    <row r="127" spans="1:3">
      <c r="A127">
        <v>186</v>
      </c>
      <c r="B127" t="s">
        <v>142</v>
      </c>
      <c r="C127" t="s">
        <v>867</v>
      </c>
    </row>
    <row r="128" spans="1:3">
      <c r="A128">
        <v>153</v>
      </c>
      <c r="B128" t="s">
        <v>132</v>
      </c>
      <c r="C128" t="s">
        <v>867</v>
      </c>
    </row>
    <row r="129" spans="1:3">
      <c r="A129">
        <v>111</v>
      </c>
      <c r="B129" t="s">
        <v>114</v>
      </c>
      <c r="C129" t="s">
        <v>867</v>
      </c>
    </row>
    <row r="130" spans="1:3">
      <c r="A130">
        <v>176</v>
      </c>
      <c r="B130" t="s">
        <v>145</v>
      </c>
      <c r="C130" t="s">
        <v>867</v>
      </c>
    </row>
    <row r="131" spans="1:3">
      <c r="A131">
        <v>148</v>
      </c>
      <c r="B131" t="s">
        <v>154</v>
      </c>
      <c r="C131" t="s">
        <v>865</v>
      </c>
    </row>
    <row r="132" spans="1:3">
      <c r="A132">
        <v>135</v>
      </c>
      <c r="B132" t="s">
        <v>129</v>
      </c>
      <c r="C132" t="s">
        <v>865</v>
      </c>
    </row>
    <row r="133" spans="1:3">
      <c r="A133">
        <v>122</v>
      </c>
      <c r="B133" t="s">
        <v>130</v>
      </c>
      <c r="C133" t="s">
        <v>865</v>
      </c>
    </row>
    <row r="134" spans="1:3">
      <c r="A134">
        <v>89</v>
      </c>
      <c r="B134" t="s">
        <v>105</v>
      </c>
      <c r="C134" t="s">
        <v>900</v>
      </c>
    </row>
    <row r="135" spans="1:3">
      <c r="A135">
        <v>150</v>
      </c>
      <c r="B135" t="s">
        <v>156</v>
      </c>
      <c r="C135" t="s">
        <v>865</v>
      </c>
    </row>
    <row r="136" spans="1:3">
      <c r="A136">
        <v>105</v>
      </c>
      <c r="B136" t="s">
        <v>102</v>
      </c>
      <c r="C136" t="s">
        <v>900</v>
      </c>
    </row>
    <row r="137" spans="1:3">
      <c r="A137">
        <v>113</v>
      </c>
      <c r="B137" t="s">
        <v>125</v>
      </c>
      <c r="C137" t="s">
        <v>890</v>
      </c>
    </row>
    <row r="138" spans="1:3">
      <c r="A138">
        <v>175</v>
      </c>
      <c r="B138" t="s">
        <v>177</v>
      </c>
      <c r="C138" t="s">
        <v>865</v>
      </c>
    </row>
    <row r="139" spans="1:3">
      <c r="A139">
        <v>224</v>
      </c>
      <c r="B139" t="s">
        <v>178</v>
      </c>
      <c r="C139" t="s">
        <v>865</v>
      </c>
    </row>
    <row r="140" spans="1:3">
      <c r="A140">
        <v>182</v>
      </c>
      <c r="B140" t="s">
        <v>134</v>
      </c>
      <c r="C140" t="s">
        <v>867</v>
      </c>
    </row>
    <row r="141" spans="1:3">
      <c r="A141">
        <v>225</v>
      </c>
      <c r="B141" t="s">
        <v>173</v>
      </c>
      <c r="C141" t="s">
        <v>867</v>
      </c>
    </row>
    <row r="142" spans="1:3">
      <c r="A142">
        <v>163</v>
      </c>
      <c r="B142" t="s">
        <v>141</v>
      </c>
      <c r="C142" t="s">
        <v>867</v>
      </c>
    </row>
    <row r="143" spans="1:3">
      <c r="A143">
        <v>181</v>
      </c>
      <c r="B143" t="s">
        <v>184</v>
      </c>
      <c r="C143" t="s">
        <v>865</v>
      </c>
    </row>
    <row r="144" spans="1:3">
      <c r="A144">
        <v>143</v>
      </c>
      <c r="B144" t="s">
        <v>259</v>
      </c>
      <c r="C144" t="s">
        <v>865</v>
      </c>
    </row>
    <row r="145" spans="1:3">
      <c r="A145">
        <v>147</v>
      </c>
      <c r="B145" t="s">
        <v>118</v>
      </c>
      <c r="C145" t="s">
        <v>900</v>
      </c>
    </row>
    <row r="146" spans="1:3">
      <c r="A146">
        <v>136</v>
      </c>
      <c r="B146" t="s">
        <v>110</v>
      </c>
      <c r="C146" t="s">
        <v>900</v>
      </c>
    </row>
    <row r="147" spans="1:3">
      <c r="A147">
        <v>207</v>
      </c>
      <c r="B147" t="s">
        <v>162</v>
      </c>
      <c r="C147" t="s">
        <v>900</v>
      </c>
    </row>
    <row r="148" spans="1:3">
      <c r="A148">
        <v>147</v>
      </c>
      <c r="B148" t="s">
        <v>160</v>
      </c>
      <c r="C148" t="s">
        <v>867</v>
      </c>
    </row>
    <row r="149" spans="1:3">
      <c r="A149">
        <v>121</v>
      </c>
      <c r="B149" t="s">
        <v>124</v>
      </c>
      <c r="C149" t="s">
        <v>900</v>
      </c>
    </row>
    <row r="150" spans="1:3">
      <c r="A150">
        <v>149</v>
      </c>
      <c r="B150" t="s">
        <v>190</v>
      </c>
      <c r="C150" t="s">
        <v>865</v>
      </c>
    </row>
    <row r="151" spans="1:3">
      <c r="A151">
        <v>150</v>
      </c>
      <c r="B151" t="s">
        <v>135</v>
      </c>
      <c r="C151" t="s">
        <v>890</v>
      </c>
    </row>
    <row r="152" spans="1:3">
      <c r="A152">
        <v>151</v>
      </c>
      <c r="B152" t="s">
        <v>305</v>
      </c>
      <c r="C152" t="s">
        <v>890</v>
      </c>
    </row>
    <row r="153" spans="1:3">
      <c r="A153">
        <v>152</v>
      </c>
      <c r="B153" t="s">
        <v>146</v>
      </c>
      <c r="C153" t="s">
        <v>865</v>
      </c>
    </row>
    <row r="154" spans="1:3">
      <c r="A154">
        <v>179</v>
      </c>
      <c r="B154" t="s">
        <v>123</v>
      </c>
      <c r="C154" t="s">
        <v>900</v>
      </c>
    </row>
    <row r="155" spans="1:3">
      <c r="A155">
        <v>154</v>
      </c>
      <c r="B155" t="s">
        <v>140</v>
      </c>
      <c r="C155" t="s">
        <v>865</v>
      </c>
    </row>
    <row r="156" spans="1:3">
      <c r="A156">
        <v>155</v>
      </c>
      <c r="B156" t="s">
        <v>231</v>
      </c>
      <c r="C156" t="s">
        <v>865</v>
      </c>
    </row>
    <row r="157" spans="1:3">
      <c r="A157">
        <v>156</v>
      </c>
      <c r="B157" t="s">
        <v>155</v>
      </c>
      <c r="C157" t="s">
        <v>890</v>
      </c>
    </row>
    <row r="158" spans="1:3">
      <c r="A158">
        <v>157</v>
      </c>
      <c r="B158" t="s">
        <v>128</v>
      </c>
      <c r="C158" t="s">
        <v>890</v>
      </c>
    </row>
    <row r="159" spans="1:3">
      <c r="A159">
        <v>158</v>
      </c>
      <c r="B159" t="s">
        <v>163</v>
      </c>
      <c r="C159" t="s">
        <v>890</v>
      </c>
    </row>
    <row r="160" spans="1:3">
      <c r="A160">
        <v>159</v>
      </c>
      <c r="B160" t="s">
        <v>144</v>
      </c>
      <c r="C160" t="s">
        <v>890</v>
      </c>
    </row>
    <row r="161" spans="1:3">
      <c r="A161">
        <v>160</v>
      </c>
      <c r="B161" t="s">
        <v>165</v>
      </c>
      <c r="C161" t="s">
        <v>865</v>
      </c>
    </row>
    <row r="162" spans="1:3">
      <c r="A162">
        <v>161</v>
      </c>
      <c r="B162" t="s">
        <v>168</v>
      </c>
      <c r="C162" t="s">
        <v>865</v>
      </c>
    </row>
    <row r="163" spans="1:3">
      <c r="A163">
        <v>162</v>
      </c>
      <c r="B163" t="s">
        <v>233</v>
      </c>
      <c r="C163" t="s">
        <v>900</v>
      </c>
    </row>
    <row r="164" spans="1:3">
      <c r="A164">
        <v>163</v>
      </c>
      <c r="B164" t="s">
        <v>133</v>
      </c>
      <c r="C164" t="s">
        <v>900</v>
      </c>
    </row>
    <row r="165" spans="1:3">
      <c r="A165">
        <v>164</v>
      </c>
      <c r="B165" t="s">
        <v>183</v>
      </c>
      <c r="C165" t="s">
        <v>867</v>
      </c>
    </row>
    <row r="166" spans="1:3">
      <c r="A166">
        <v>165</v>
      </c>
      <c r="B166" t="s">
        <v>159</v>
      </c>
      <c r="C166" t="s">
        <v>867</v>
      </c>
    </row>
    <row r="167" spans="1:3">
      <c r="A167">
        <v>166</v>
      </c>
      <c r="B167" t="s">
        <v>106</v>
      </c>
      <c r="C167" t="s">
        <v>867</v>
      </c>
    </row>
    <row r="168" spans="1:3">
      <c r="A168">
        <v>167</v>
      </c>
      <c r="B168" t="s">
        <v>232</v>
      </c>
      <c r="C168" t="s">
        <v>867</v>
      </c>
    </row>
    <row r="169" spans="1:3">
      <c r="A169">
        <v>168</v>
      </c>
      <c r="B169" t="s">
        <v>150</v>
      </c>
      <c r="C169" t="s">
        <v>900</v>
      </c>
    </row>
    <row r="170" spans="1:3">
      <c r="A170">
        <v>169</v>
      </c>
      <c r="B170" t="s">
        <v>143</v>
      </c>
      <c r="C170" t="s">
        <v>900</v>
      </c>
    </row>
    <row r="171" spans="1:3">
      <c r="A171">
        <v>170</v>
      </c>
      <c r="B171" t="s">
        <v>191</v>
      </c>
      <c r="C171" t="s">
        <v>900</v>
      </c>
    </row>
    <row r="172" spans="1:3">
      <c r="A172">
        <v>171</v>
      </c>
      <c r="B172" t="s">
        <v>220</v>
      </c>
      <c r="C172" t="s">
        <v>890</v>
      </c>
    </row>
    <row r="173" spans="1:3">
      <c r="A173">
        <v>172</v>
      </c>
      <c r="B173" t="s">
        <v>180</v>
      </c>
      <c r="C173" t="s">
        <v>865</v>
      </c>
    </row>
    <row r="174" spans="1:3">
      <c r="A174">
        <v>173</v>
      </c>
      <c r="B174" t="s">
        <v>195</v>
      </c>
      <c r="C174" t="s">
        <v>865</v>
      </c>
    </row>
    <row r="175" spans="1:3">
      <c r="A175">
        <v>174</v>
      </c>
      <c r="B175" t="s">
        <v>200</v>
      </c>
      <c r="C175" t="s">
        <v>865</v>
      </c>
    </row>
    <row r="176" spans="1:3">
      <c r="A176">
        <v>175</v>
      </c>
      <c r="B176" t="s">
        <v>255</v>
      </c>
      <c r="C176" t="s">
        <v>865</v>
      </c>
    </row>
    <row r="177" spans="1:3">
      <c r="A177">
        <v>176</v>
      </c>
      <c r="B177" t="s">
        <v>300</v>
      </c>
      <c r="C177" t="s">
        <v>865</v>
      </c>
    </row>
    <row r="178" spans="1:3">
      <c r="A178">
        <v>177</v>
      </c>
      <c r="B178" t="s">
        <v>264</v>
      </c>
      <c r="C178" t="s">
        <v>867</v>
      </c>
    </row>
    <row r="179" spans="1:3">
      <c r="A179">
        <v>178</v>
      </c>
      <c r="B179" t="s">
        <v>186</v>
      </c>
      <c r="C179" t="s">
        <v>867</v>
      </c>
    </row>
    <row r="180" spans="1:3">
      <c r="A180">
        <v>179</v>
      </c>
      <c r="B180" t="s">
        <v>209</v>
      </c>
      <c r="C180" t="s">
        <v>890</v>
      </c>
    </row>
    <row r="181" spans="1:3">
      <c r="A181">
        <v>180</v>
      </c>
      <c r="B181" t="s">
        <v>188</v>
      </c>
      <c r="C181" t="s">
        <v>865</v>
      </c>
    </row>
    <row r="182" spans="1:3">
      <c r="A182">
        <v>181</v>
      </c>
      <c r="B182" t="s">
        <v>244</v>
      </c>
      <c r="C182" t="s">
        <v>865</v>
      </c>
    </row>
    <row r="183" spans="1:3">
      <c r="A183">
        <v>182</v>
      </c>
      <c r="B183" t="s">
        <v>176</v>
      </c>
      <c r="C183" t="s">
        <v>865</v>
      </c>
    </row>
    <row r="184" spans="1:3">
      <c r="A184">
        <v>183</v>
      </c>
      <c r="B184" t="s">
        <v>172</v>
      </c>
      <c r="C184" t="s">
        <v>900</v>
      </c>
    </row>
    <row r="185" spans="1:3">
      <c r="A185">
        <v>184</v>
      </c>
      <c r="B185" t="s">
        <v>193</v>
      </c>
      <c r="C185" t="s">
        <v>900</v>
      </c>
    </row>
    <row r="186" spans="1:3">
      <c r="A186">
        <v>185</v>
      </c>
      <c r="B186" t="s">
        <v>223</v>
      </c>
      <c r="C186" t="s">
        <v>900</v>
      </c>
    </row>
    <row r="187" spans="1:3">
      <c r="A187">
        <v>186</v>
      </c>
      <c r="B187" t="s">
        <v>238</v>
      </c>
      <c r="C187" t="s">
        <v>865</v>
      </c>
    </row>
    <row r="188" spans="1:3">
      <c r="A188">
        <v>187</v>
      </c>
      <c r="B188" t="s">
        <v>247</v>
      </c>
      <c r="C188" t="s">
        <v>867</v>
      </c>
    </row>
    <row r="189" spans="1:3">
      <c r="A189">
        <v>188</v>
      </c>
      <c r="B189" t="s">
        <v>287</v>
      </c>
      <c r="C189" t="s">
        <v>867</v>
      </c>
    </row>
    <row r="190" spans="1:3">
      <c r="A190">
        <v>189</v>
      </c>
      <c r="B190" t="s">
        <v>217</v>
      </c>
      <c r="C190" t="s">
        <v>867</v>
      </c>
    </row>
    <row r="191" spans="1:3">
      <c r="A191">
        <v>190</v>
      </c>
      <c r="B191" t="s">
        <v>283</v>
      </c>
      <c r="C191" t="s">
        <v>865</v>
      </c>
    </row>
    <row r="192" spans="1:3">
      <c r="A192">
        <v>191</v>
      </c>
      <c r="B192" t="s">
        <v>211</v>
      </c>
      <c r="C192" t="s">
        <v>1076</v>
      </c>
    </row>
    <row r="193" spans="1:3">
      <c r="A193">
        <v>192</v>
      </c>
      <c r="B193" t="s">
        <v>307</v>
      </c>
      <c r="C193" t="s">
        <v>867</v>
      </c>
    </row>
    <row r="194" spans="1:3">
      <c r="A194">
        <v>193</v>
      </c>
      <c r="B194" t="s">
        <v>189</v>
      </c>
      <c r="C194" t="s">
        <v>865</v>
      </c>
    </row>
    <row r="195" spans="1:3">
      <c r="A195">
        <v>194</v>
      </c>
      <c r="B195" t="s">
        <v>166</v>
      </c>
      <c r="C195" t="s">
        <v>867</v>
      </c>
    </row>
    <row r="196" spans="1:3">
      <c r="A196">
        <v>195</v>
      </c>
      <c r="B196" t="s">
        <v>276</v>
      </c>
      <c r="C196" t="s">
        <v>867</v>
      </c>
    </row>
    <row r="197" spans="1:3">
      <c r="A197">
        <v>196</v>
      </c>
      <c r="B197" t="s">
        <v>158</v>
      </c>
      <c r="C197" t="s">
        <v>900</v>
      </c>
    </row>
    <row r="198" spans="1:3">
      <c r="A198">
        <v>197</v>
      </c>
      <c r="B198" t="s">
        <v>161</v>
      </c>
      <c r="C198" t="s">
        <v>865</v>
      </c>
    </row>
    <row r="199" spans="1:3">
      <c r="A199">
        <v>198</v>
      </c>
      <c r="B199" t="s">
        <v>256</v>
      </c>
      <c r="C199" t="s">
        <v>867</v>
      </c>
    </row>
    <row r="200" spans="1:3">
      <c r="A200">
        <v>199</v>
      </c>
      <c r="B200" t="s">
        <v>262</v>
      </c>
      <c r="C200" t="s">
        <v>900</v>
      </c>
    </row>
    <row r="201" spans="1:3">
      <c r="A201">
        <v>200</v>
      </c>
      <c r="B201" t="s">
        <v>239</v>
      </c>
      <c r="C201" t="s">
        <v>867</v>
      </c>
    </row>
  </sheetData>
  <conditionalFormatting sqref="A2:A201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1"/>
  <sheetViews>
    <sheetView workbookViewId="0"/>
  </sheetViews>
  <sheetFormatPr defaultRowHeight="14.5"/>
  <cols>
    <col min="2" max="2" width="35.1796875" customWidth="1"/>
    <col min="4" max="4" width="21.36328125" customWidth="1"/>
    <col min="5" max="5" width="9.6328125" customWidth="1"/>
  </cols>
  <sheetData>
    <row r="1" spans="1:5">
      <c r="A1" t="s">
        <v>502</v>
      </c>
      <c r="B1" t="s">
        <v>505</v>
      </c>
      <c r="C1" t="s">
        <v>1207</v>
      </c>
      <c r="D1" t="s">
        <v>1208</v>
      </c>
      <c r="E1" t="s">
        <v>506</v>
      </c>
    </row>
    <row r="2" spans="1:5" hidden="1">
      <c r="A2">
        <v>1</v>
      </c>
      <c r="B2" t="s">
        <v>1209</v>
      </c>
      <c r="C2">
        <v>10</v>
      </c>
      <c r="D2" t="s">
        <v>4</v>
      </c>
      <c r="E2" t="s">
        <v>865</v>
      </c>
    </row>
    <row r="3" spans="1:5" hidden="1">
      <c r="A3">
        <v>2</v>
      </c>
      <c r="B3" t="s">
        <v>1210</v>
      </c>
      <c r="C3">
        <v>5</v>
      </c>
      <c r="D3" t="s">
        <v>6</v>
      </c>
      <c r="E3" t="s">
        <v>867</v>
      </c>
    </row>
    <row r="4" spans="1:5" hidden="1">
      <c r="A4">
        <v>3</v>
      </c>
      <c r="B4" t="s">
        <v>1211</v>
      </c>
      <c r="C4">
        <v>10</v>
      </c>
      <c r="D4" t="s">
        <v>10</v>
      </c>
      <c r="E4" t="s">
        <v>865</v>
      </c>
    </row>
    <row r="5" spans="1:5" hidden="1">
      <c r="A5">
        <v>4</v>
      </c>
      <c r="B5" t="s">
        <v>1212</v>
      </c>
      <c r="C5">
        <v>6</v>
      </c>
      <c r="D5" t="s">
        <v>9</v>
      </c>
      <c r="E5" t="s">
        <v>865</v>
      </c>
    </row>
    <row r="6" spans="1:5" hidden="1">
      <c r="A6">
        <v>5</v>
      </c>
      <c r="B6" t="s">
        <v>1213</v>
      </c>
      <c r="C6">
        <v>8</v>
      </c>
      <c r="D6" t="s">
        <v>11</v>
      </c>
      <c r="E6" t="s">
        <v>867</v>
      </c>
    </row>
    <row r="7" spans="1:5" hidden="1">
      <c r="A7">
        <v>6</v>
      </c>
      <c r="B7" t="s">
        <v>1214</v>
      </c>
      <c r="C7">
        <v>9</v>
      </c>
      <c r="D7" t="s">
        <v>7</v>
      </c>
      <c r="E7" t="s">
        <v>867</v>
      </c>
    </row>
    <row r="8" spans="1:5" hidden="1">
      <c r="A8">
        <v>7</v>
      </c>
      <c r="B8" t="s">
        <v>1215</v>
      </c>
      <c r="C8">
        <v>14</v>
      </c>
      <c r="D8" t="s">
        <v>15</v>
      </c>
      <c r="E8" t="s">
        <v>865</v>
      </c>
    </row>
    <row r="9" spans="1:5" hidden="1">
      <c r="A9">
        <v>8</v>
      </c>
      <c r="B9" t="s">
        <v>1216</v>
      </c>
      <c r="C9">
        <v>8</v>
      </c>
      <c r="D9" t="s">
        <v>14</v>
      </c>
      <c r="E9" t="s">
        <v>865</v>
      </c>
    </row>
    <row r="10" spans="1:5" hidden="1">
      <c r="A10">
        <v>9</v>
      </c>
      <c r="B10" t="s">
        <v>1217</v>
      </c>
      <c r="C10">
        <v>8</v>
      </c>
      <c r="D10" t="s">
        <v>17</v>
      </c>
      <c r="E10" t="s">
        <v>865</v>
      </c>
    </row>
    <row r="11" spans="1:5" hidden="1">
      <c r="A11">
        <v>10</v>
      </c>
      <c r="B11" t="s">
        <v>1218</v>
      </c>
      <c r="C11">
        <v>8</v>
      </c>
      <c r="D11" t="s">
        <v>16</v>
      </c>
      <c r="E11" t="s">
        <v>865</v>
      </c>
    </row>
    <row r="12" spans="1:5" hidden="1">
      <c r="A12">
        <v>11</v>
      </c>
      <c r="B12" t="s">
        <v>1219</v>
      </c>
      <c r="C12">
        <v>12</v>
      </c>
      <c r="D12" t="s">
        <v>23</v>
      </c>
      <c r="E12" t="s">
        <v>867</v>
      </c>
    </row>
    <row r="13" spans="1:5" hidden="1">
      <c r="A13">
        <v>12</v>
      </c>
      <c r="B13" t="s">
        <v>1220</v>
      </c>
      <c r="C13">
        <v>7</v>
      </c>
      <c r="D13" t="s">
        <v>12</v>
      </c>
      <c r="E13" t="s">
        <v>867</v>
      </c>
    </row>
    <row r="14" spans="1:5" hidden="1">
      <c r="A14">
        <v>13</v>
      </c>
      <c r="B14" t="s">
        <v>1221</v>
      </c>
      <c r="C14">
        <v>9</v>
      </c>
      <c r="D14" t="s">
        <v>20</v>
      </c>
      <c r="E14" t="s">
        <v>865</v>
      </c>
    </row>
    <row r="15" spans="1:5" hidden="1">
      <c r="A15">
        <v>14</v>
      </c>
      <c r="B15" t="s">
        <v>1222</v>
      </c>
      <c r="C15">
        <v>8</v>
      </c>
      <c r="D15" t="s">
        <v>19</v>
      </c>
      <c r="E15" t="s">
        <v>867</v>
      </c>
    </row>
    <row r="16" spans="1:5" hidden="1">
      <c r="A16">
        <v>15</v>
      </c>
      <c r="B16" t="s">
        <v>1223</v>
      </c>
      <c r="C16">
        <v>6</v>
      </c>
      <c r="D16" t="s">
        <v>13</v>
      </c>
      <c r="E16" t="s">
        <v>865</v>
      </c>
    </row>
    <row r="17" spans="1:5" hidden="1">
      <c r="A17">
        <v>16</v>
      </c>
      <c r="B17" t="s">
        <v>1224</v>
      </c>
      <c r="C17">
        <v>14</v>
      </c>
      <c r="D17" t="s">
        <v>18</v>
      </c>
      <c r="E17" t="s">
        <v>867</v>
      </c>
    </row>
    <row r="18" spans="1:5" hidden="1">
      <c r="A18">
        <v>17</v>
      </c>
      <c r="B18" t="s">
        <v>1225</v>
      </c>
      <c r="C18">
        <v>10</v>
      </c>
      <c r="D18" t="s">
        <v>33</v>
      </c>
      <c r="E18" t="s">
        <v>867</v>
      </c>
    </row>
    <row r="19" spans="1:5" hidden="1">
      <c r="A19">
        <v>18</v>
      </c>
      <c r="B19" t="s">
        <v>1226</v>
      </c>
      <c r="C19">
        <v>5</v>
      </c>
      <c r="D19" t="s">
        <v>22</v>
      </c>
      <c r="E19" t="s">
        <v>865</v>
      </c>
    </row>
    <row r="20" spans="1:5" hidden="1">
      <c r="A20">
        <v>19</v>
      </c>
      <c r="B20" t="s">
        <v>1227</v>
      </c>
      <c r="C20">
        <v>8</v>
      </c>
      <c r="D20" t="s">
        <v>25</v>
      </c>
      <c r="E20" t="s">
        <v>890</v>
      </c>
    </row>
    <row r="21" spans="1:5" hidden="1">
      <c r="A21">
        <v>20</v>
      </c>
      <c r="B21" t="s">
        <v>1228</v>
      </c>
      <c r="C21">
        <v>12</v>
      </c>
      <c r="D21" t="s">
        <v>27</v>
      </c>
      <c r="E21" t="s">
        <v>865</v>
      </c>
    </row>
    <row r="22" spans="1:5" hidden="1">
      <c r="A22">
        <v>21</v>
      </c>
      <c r="B22" t="s">
        <v>1229</v>
      </c>
      <c r="C22">
        <v>9</v>
      </c>
      <c r="D22" t="s">
        <v>28</v>
      </c>
      <c r="E22" t="s">
        <v>867</v>
      </c>
    </row>
    <row r="23" spans="1:5" hidden="1">
      <c r="A23">
        <v>22</v>
      </c>
      <c r="B23" t="s">
        <v>1230</v>
      </c>
      <c r="C23">
        <v>11</v>
      </c>
      <c r="D23" t="s">
        <v>21</v>
      </c>
      <c r="E23" t="s">
        <v>867</v>
      </c>
    </row>
    <row r="24" spans="1:5" hidden="1">
      <c r="A24">
        <v>23</v>
      </c>
      <c r="B24" t="s">
        <v>1231</v>
      </c>
      <c r="C24">
        <v>8</v>
      </c>
      <c r="D24" t="s">
        <v>29</v>
      </c>
      <c r="E24" t="s">
        <v>867</v>
      </c>
    </row>
    <row r="25" spans="1:5" hidden="1">
      <c r="A25">
        <v>24</v>
      </c>
      <c r="B25" t="s">
        <v>1232</v>
      </c>
      <c r="C25">
        <v>5</v>
      </c>
      <c r="D25" t="s">
        <v>24</v>
      </c>
      <c r="E25" t="s">
        <v>867</v>
      </c>
    </row>
    <row r="26" spans="1:5" hidden="1">
      <c r="A26">
        <v>25</v>
      </c>
      <c r="B26" t="s">
        <v>1233</v>
      </c>
      <c r="C26">
        <v>12</v>
      </c>
      <c r="D26" t="s">
        <v>47</v>
      </c>
      <c r="E26" t="s">
        <v>865</v>
      </c>
    </row>
    <row r="27" spans="1:5" hidden="1">
      <c r="A27">
        <v>26</v>
      </c>
      <c r="B27" t="s">
        <v>1234</v>
      </c>
      <c r="C27">
        <v>8</v>
      </c>
      <c r="D27" t="s">
        <v>36</v>
      </c>
      <c r="E27" t="s">
        <v>890</v>
      </c>
    </row>
    <row r="28" spans="1:5" hidden="1">
      <c r="A28">
        <v>27</v>
      </c>
      <c r="B28" t="s">
        <v>1235</v>
      </c>
      <c r="C28">
        <v>9</v>
      </c>
      <c r="D28" t="s">
        <v>46</v>
      </c>
      <c r="E28" t="s">
        <v>867</v>
      </c>
    </row>
    <row r="29" spans="1:5" hidden="1">
      <c r="A29">
        <v>28</v>
      </c>
      <c r="B29" t="s">
        <v>1236</v>
      </c>
      <c r="C29">
        <v>7</v>
      </c>
      <c r="D29" t="s">
        <v>39</v>
      </c>
      <c r="E29" t="s">
        <v>867</v>
      </c>
    </row>
    <row r="30" spans="1:5" hidden="1">
      <c r="A30">
        <v>29</v>
      </c>
      <c r="B30" t="s">
        <v>1237</v>
      </c>
      <c r="C30">
        <v>9</v>
      </c>
      <c r="D30" t="s">
        <v>34</v>
      </c>
      <c r="E30" t="s">
        <v>865</v>
      </c>
    </row>
    <row r="31" spans="1:5" hidden="1">
      <c r="A31">
        <v>30</v>
      </c>
      <c r="B31" t="s">
        <v>1238</v>
      </c>
      <c r="C31">
        <v>10</v>
      </c>
      <c r="D31" t="s">
        <v>32</v>
      </c>
      <c r="E31" t="s">
        <v>865</v>
      </c>
    </row>
    <row r="32" spans="1:5" hidden="1">
      <c r="A32">
        <v>31</v>
      </c>
      <c r="B32" t="s">
        <v>1239</v>
      </c>
      <c r="C32">
        <v>7</v>
      </c>
      <c r="D32" t="s">
        <v>31</v>
      </c>
      <c r="E32" t="s">
        <v>900</v>
      </c>
    </row>
    <row r="33" spans="1:5" hidden="1">
      <c r="A33">
        <v>32</v>
      </c>
      <c r="B33" t="s">
        <v>1240</v>
      </c>
      <c r="C33">
        <v>7</v>
      </c>
      <c r="D33" t="s">
        <v>30</v>
      </c>
      <c r="E33" t="s">
        <v>900</v>
      </c>
    </row>
    <row r="34" spans="1:5" hidden="1">
      <c r="A34">
        <v>33</v>
      </c>
      <c r="B34" t="s">
        <v>1241</v>
      </c>
      <c r="C34">
        <v>9</v>
      </c>
      <c r="D34" t="s">
        <v>42</v>
      </c>
      <c r="E34" t="s">
        <v>865</v>
      </c>
    </row>
    <row r="35" spans="1:5" hidden="1">
      <c r="A35">
        <v>34</v>
      </c>
      <c r="B35" t="s">
        <v>1242</v>
      </c>
      <c r="C35">
        <v>12</v>
      </c>
      <c r="D35" t="s">
        <v>37</v>
      </c>
      <c r="E35" t="s">
        <v>900</v>
      </c>
    </row>
    <row r="36" spans="1:5" hidden="1">
      <c r="A36">
        <v>35</v>
      </c>
      <c r="B36" t="s">
        <v>1243</v>
      </c>
      <c r="C36">
        <v>8</v>
      </c>
      <c r="D36" t="s">
        <v>38</v>
      </c>
      <c r="E36" t="s">
        <v>865</v>
      </c>
    </row>
    <row r="37" spans="1:5" hidden="1">
      <c r="A37">
        <v>36</v>
      </c>
      <c r="B37" t="s">
        <v>1244</v>
      </c>
      <c r="C37">
        <v>5</v>
      </c>
      <c r="D37" t="s">
        <v>54</v>
      </c>
      <c r="E37" t="s">
        <v>865</v>
      </c>
    </row>
    <row r="38" spans="1:5" hidden="1">
      <c r="A38">
        <v>37</v>
      </c>
      <c r="B38" t="s">
        <v>1245</v>
      </c>
      <c r="C38">
        <v>12</v>
      </c>
      <c r="D38" t="s">
        <v>35</v>
      </c>
      <c r="E38" t="s">
        <v>865</v>
      </c>
    </row>
    <row r="39" spans="1:5" hidden="1">
      <c r="A39">
        <v>38</v>
      </c>
      <c r="B39" t="s">
        <v>1246</v>
      </c>
      <c r="C39">
        <v>8</v>
      </c>
      <c r="D39" t="s">
        <v>45</v>
      </c>
      <c r="E39" t="s">
        <v>865</v>
      </c>
    </row>
    <row r="40" spans="1:5" hidden="1">
      <c r="A40">
        <v>39</v>
      </c>
      <c r="B40" t="s">
        <v>1247</v>
      </c>
      <c r="C40">
        <v>9</v>
      </c>
      <c r="D40" t="s">
        <v>41</v>
      </c>
      <c r="E40" t="s">
        <v>900</v>
      </c>
    </row>
    <row r="41" spans="1:5" hidden="1">
      <c r="A41">
        <v>40</v>
      </c>
      <c r="B41" t="s">
        <v>1248</v>
      </c>
      <c r="C41">
        <v>14</v>
      </c>
      <c r="D41" t="s">
        <v>57</v>
      </c>
      <c r="E41" t="s">
        <v>867</v>
      </c>
    </row>
    <row r="42" spans="1:5" hidden="1">
      <c r="A42">
        <v>41</v>
      </c>
      <c r="B42" t="s">
        <v>1249</v>
      </c>
      <c r="C42">
        <v>8</v>
      </c>
      <c r="D42" t="s">
        <v>44</v>
      </c>
      <c r="E42" t="s">
        <v>867</v>
      </c>
    </row>
    <row r="43" spans="1:5" hidden="1">
      <c r="A43">
        <v>42</v>
      </c>
      <c r="B43" t="s">
        <v>1250</v>
      </c>
      <c r="C43">
        <v>10</v>
      </c>
      <c r="D43" t="s">
        <v>76</v>
      </c>
      <c r="E43" t="s">
        <v>865</v>
      </c>
    </row>
    <row r="44" spans="1:5" hidden="1">
      <c r="A44">
        <v>43</v>
      </c>
      <c r="B44" t="s">
        <v>1251</v>
      </c>
      <c r="C44">
        <v>10</v>
      </c>
      <c r="D44" t="s">
        <v>50</v>
      </c>
      <c r="E44" t="s">
        <v>900</v>
      </c>
    </row>
    <row r="45" spans="1:5" hidden="1">
      <c r="A45">
        <v>44</v>
      </c>
      <c r="B45" t="s">
        <v>1252</v>
      </c>
      <c r="C45">
        <v>8</v>
      </c>
      <c r="D45" t="s">
        <v>51</v>
      </c>
      <c r="E45" t="s">
        <v>865</v>
      </c>
    </row>
    <row r="46" spans="1:5" hidden="1">
      <c r="A46">
        <v>45</v>
      </c>
      <c r="B46" t="s">
        <v>1253</v>
      </c>
      <c r="C46">
        <v>14</v>
      </c>
      <c r="D46" t="s">
        <v>26</v>
      </c>
      <c r="E46" t="s">
        <v>890</v>
      </c>
    </row>
    <row r="47" spans="1:5" hidden="1">
      <c r="A47">
        <v>46</v>
      </c>
      <c r="B47" t="s">
        <v>1254</v>
      </c>
      <c r="C47">
        <v>12</v>
      </c>
      <c r="D47" t="s">
        <v>43</v>
      </c>
      <c r="E47" t="s">
        <v>867</v>
      </c>
    </row>
    <row r="48" spans="1:5" hidden="1">
      <c r="A48">
        <v>47</v>
      </c>
      <c r="B48" t="s">
        <v>1255</v>
      </c>
      <c r="C48">
        <v>8</v>
      </c>
      <c r="D48" t="s">
        <v>52</v>
      </c>
      <c r="E48" t="s">
        <v>867</v>
      </c>
    </row>
    <row r="49" spans="1:5" hidden="1">
      <c r="A49">
        <v>48</v>
      </c>
      <c r="B49" t="s">
        <v>1256</v>
      </c>
      <c r="C49">
        <v>5</v>
      </c>
      <c r="D49" t="s">
        <v>63</v>
      </c>
      <c r="E49" t="s">
        <v>867</v>
      </c>
    </row>
    <row r="50" spans="1:5" hidden="1">
      <c r="A50">
        <v>49</v>
      </c>
      <c r="B50" t="s">
        <v>1257</v>
      </c>
      <c r="C50">
        <v>10</v>
      </c>
      <c r="D50" t="s">
        <v>62</v>
      </c>
      <c r="E50" t="s">
        <v>865</v>
      </c>
    </row>
    <row r="51" spans="1:5" hidden="1">
      <c r="A51">
        <v>50</v>
      </c>
      <c r="B51" t="s">
        <v>1258</v>
      </c>
      <c r="C51">
        <v>8</v>
      </c>
      <c r="D51" t="s">
        <v>79</v>
      </c>
      <c r="E51" t="s">
        <v>865</v>
      </c>
    </row>
    <row r="52" spans="1:5" hidden="1">
      <c r="A52">
        <v>51</v>
      </c>
      <c r="B52" t="s">
        <v>1259</v>
      </c>
      <c r="C52">
        <v>14</v>
      </c>
      <c r="D52" t="s">
        <v>64</v>
      </c>
      <c r="E52" t="s">
        <v>865</v>
      </c>
    </row>
    <row r="53" spans="1:5" hidden="1">
      <c r="A53">
        <v>52</v>
      </c>
      <c r="B53" t="s">
        <v>1260</v>
      </c>
      <c r="C53">
        <v>5</v>
      </c>
      <c r="D53" t="s">
        <v>48</v>
      </c>
      <c r="E53" t="s">
        <v>865</v>
      </c>
    </row>
    <row r="54" spans="1:5" hidden="1">
      <c r="A54">
        <v>53</v>
      </c>
      <c r="B54" t="s">
        <v>1261</v>
      </c>
      <c r="C54">
        <v>8</v>
      </c>
      <c r="D54" t="s">
        <v>40</v>
      </c>
      <c r="E54" t="s">
        <v>865</v>
      </c>
    </row>
    <row r="55" spans="1:5" hidden="1">
      <c r="A55">
        <v>54</v>
      </c>
      <c r="B55" t="s">
        <v>1262</v>
      </c>
      <c r="C55">
        <v>10</v>
      </c>
      <c r="D55" t="s">
        <v>70</v>
      </c>
      <c r="E55" t="s">
        <v>867</v>
      </c>
    </row>
    <row r="56" spans="1:5" hidden="1">
      <c r="A56">
        <v>55</v>
      </c>
      <c r="B56" t="s">
        <v>1263</v>
      </c>
      <c r="C56">
        <v>9</v>
      </c>
      <c r="D56" t="s">
        <v>60</v>
      </c>
      <c r="E56" t="s">
        <v>865</v>
      </c>
    </row>
    <row r="57" spans="1:5" hidden="1">
      <c r="A57">
        <v>56</v>
      </c>
      <c r="B57" t="s">
        <v>1264</v>
      </c>
      <c r="C57">
        <v>12</v>
      </c>
      <c r="D57" t="s">
        <v>66</v>
      </c>
      <c r="E57" t="s">
        <v>867</v>
      </c>
    </row>
    <row r="58" spans="1:5" hidden="1">
      <c r="A58">
        <v>57</v>
      </c>
      <c r="B58" t="s">
        <v>1265</v>
      </c>
      <c r="C58">
        <v>8</v>
      </c>
      <c r="D58" t="s">
        <v>65</v>
      </c>
      <c r="E58" t="s">
        <v>890</v>
      </c>
    </row>
    <row r="59" spans="1:5" hidden="1">
      <c r="A59">
        <v>58</v>
      </c>
      <c r="B59" t="s">
        <v>1266</v>
      </c>
      <c r="C59">
        <v>12</v>
      </c>
      <c r="D59" t="s">
        <v>55</v>
      </c>
      <c r="E59" t="s">
        <v>865</v>
      </c>
    </row>
    <row r="60" spans="1:5" hidden="1">
      <c r="A60">
        <v>59</v>
      </c>
      <c r="B60" t="s">
        <v>1267</v>
      </c>
      <c r="C60">
        <v>6</v>
      </c>
      <c r="D60" t="s">
        <v>81</v>
      </c>
      <c r="E60" t="s">
        <v>890</v>
      </c>
    </row>
    <row r="61" spans="1:5" hidden="1">
      <c r="A61">
        <v>60</v>
      </c>
      <c r="B61" t="s">
        <v>1268</v>
      </c>
      <c r="C61">
        <v>11</v>
      </c>
      <c r="D61" t="s">
        <v>53</v>
      </c>
      <c r="E61" t="s">
        <v>867</v>
      </c>
    </row>
    <row r="62" spans="1:5" hidden="1">
      <c r="A62">
        <v>61</v>
      </c>
      <c r="B62" t="s">
        <v>1269</v>
      </c>
      <c r="C62">
        <v>14</v>
      </c>
      <c r="D62" t="s">
        <v>49</v>
      </c>
      <c r="E62" t="s">
        <v>867</v>
      </c>
    </row>
    <row r="63" spans="1:5" hidden="1">
      <c r="A63">
        <v>62</v>
      </c>
      <c r="B63" t="s">
        <v>1270</v>
      </c>
      <c r="C63">
        <v>10</v>
      </c>
      <c r="D63" t="s">
        <v>56</v>
      </c>
      <c r="E63" t="s">
        <v>865</v>
      </c>
    </row>
    <row r="64" spans="1:5" hidden="1">
      <c r="A64">
        <v>63</v>
      </c>
      <c r="B64" t="s">
        <v>1271</v>
      </c>
      <c r="C64">
        <v>10</v>
      </c>
      <c r="D64" t="s">
        <v>67</v>
      </c>
      <c r="E64" t="s">
        <v>867</v>
      </c>
    </row>
    <row r="65" spans="1:5" hidden="1">
      <c r="A65">
        <v>64</v>
      </c>
      <c r="B65" t="s">
        <v>1272</v>
      </c>
      <c r="C65">
        <v>7</v>
      </c>
      <c r="D65" t="s">
        <v>72</v>
      </c>
      <c r="E65" t="s">
        <v>890</v>
      </c>
    </row>
    <row r="66" spans="1:5" hidden="1">
      <c r="A66">
        <v>65</v>
      </c>
      <c r="B66" t="s">
        <v>1273</v>
      </c>
      <c r="C66">
        <v>7</v>
      </c>
      <c r="D66" t="s">
        <v>58</v>
      </c>
      <c r="E66" t="s">
        <v>865</v>
      </c>
    </row>
    <row r="67" spans="1:5" hidden="1">
      <c r="A67">
        <v>66</v>
      </c>
      <c r="B67" t="s">
        <v>1274</v>
      </c>
      <c r="C67">
        <v>10</v>
      </c>
      <c r="D67" t="s">
        <v>68</v>
      </c>
      <c r="E67" t="s">
        <v>900</v>
      </c>
    </row>
    <row r="68" spans="1:5" hidden="1">
      <c r="A68">
        <v>67</v>
      </c>
      <c r="B68" t="s">
        <v>1275</v>
      </c>
      <c r="C68">
        <v>5</v>
      </c>
      <c r="D68" t="s">
        <v>75</v>
      </c>
      <c r="E68" t="s">
        <v>867</v>
      </c>
    </row>
    <row r="69" spans="1:5" hidden="1">
      <c r="A69">
        <v>68</v>
      </c>
      <c r="B69" t="s">
        <v>1276</v>
      </c>
      <c r="C69">
        <v>5</v>
      </c>
      <c r="D69" t="s">
        <v>85</v>
      </c>
      <c r="E69" t="s">
        <v>865</v>
      </c>
    </row>
    <row r="70" spans="1:5" hidden="1">
      <c r="A70">
        <v>69</v>
      </c>
      <c r="B70" t="s">
        <v>1277</v>
      </c>
      <c r="C70">
        <v>8</v>
      </c>
      <c r="D70" t="s">
        <v>59</v>
      </c>
      <c r="E70" t="s">
        <v>867</v>
      </c>
    </row>
    <row r="71" spans="1:5" hidden="1">
      <c r="A71">
        <v>70</v>
      </c>
      <c r="B71" t="s">
        <v>1278</v>
      </c>
      <c r="C71">
        <v>11</v>
      </c>
      <c r="D71" t="s">
        <v>86</v>
      </c>
      <c r="E71" t="s">
        <v>865</v>
      </c>
    </row>
    <row r="72" spans="1:5" hidden="1">
      <c r="A72">
        <v>71</v>
      </c>
      <c r="B72" t="s">
        <v>1279</v>
      </c>
      <c r="C72">
        <v>6</v>
      </c>
      <c r="D72" t="s">
        <v>73</v>
      </c>
      <c r="E72" t="s">
        <v>867</v>
      </c>
    </row>
    <row r="73" spans="1:5" hidden="1">
      <c r="A73">
        <v>72</v>
      </c>
      <c r="B73" t="s">
        <v>1280</v>
      </c>
      <c r="C73">
        <v>10</v>
      </c>
      <c r="D73" t="s">
        <v>61</v>
      </c>
      <c r="E73" t="s">
        <v>865</v>
      </c>
    </row>
    <row r="74" spans="1:5" hidden="1">
      <c r="A74">
        <v>73</v>
      </c>
      <c r="B74" t="s">
        <v>1281</v>
      </c>
      <c r="C74">
        <v>12</v>
      </c>
      <c r="D74" t="s">
        <v>71</v>
      </c>
      <c r="E74" t="s">
        <v>865</v>
      </c>
    </row>
    <row r="75" spans="1:5" hidden="1">
      <c r="A75">
        <v>74</v>
      </c>
      <c r="B75" t="s">
        <v>1282</v>
      </c>
      <c r="C75">
        <v>9</v>
      </c>
      <c r="D75" t="s">
        <v>116</v>
      </c>
      <c r="E75" t="s">
        <v>865</v>
      </c>
    </row>
    <row r="76" spans="1:5" hidden="1">
      <c r="A76">
        <v>75</v>
      </c>
      <c r="B76" t="s">
        <v>1283</v>
      </c>
      <c r="C76">
        <v>9</v>
      </c>
      <c r="D76" t="s">
        <v>93</v>
      </c>
      <c r="E76" t="s">
        <v>900</v>
      </c>
    </row>
    <row r="77" spans="1:5" hidden="1">
      <c r="A77">
        <v>76</v>
      </c>
      <c r="B77" t="s">
        <v>1284</v>
      </c>
      <c r="C77">
        <v>9</v>
      </c>
      <c r="D77" t="s">
        <v>77</v>
      </c>
      <c r="E77" t="s">
        <v>900</v>
      </c>
    </row>
    <row r="78" spans="1:5" hidden="1">
      <c r="A78">
        <v>77</v>
      </c>
      <c r="B78" t="s">
        <v>1285</v>
      </c>
      <c r="C78">
        <v>6</v>
      </c>
      <c r="D78" t="s">
        <v>92</v>
      </c>
      <c r="E78" t="s">
        <v>867</v>
      </c>
    </row>
    <row r="79" spans="1:5" hidden="1">
      <c r="A79">
        <v>78</v>
      </c>
      <c r="B79" t="s">
        <v>1286</v>
      </c>
      <c r="C79">
        <v>11</v>
      </c>
      <c r="D79" t="s">
        <v>112</v>
      </c>
      <c r="E79" t="s">
        <v>890</v>
      </c>
    </row>
    <row r="80" spans="1:5" hidden="1">
      <c r="A80">
        <v>79</v>
      </c>
      <c r="B80" t="s">
        <v>1287</v>
      </c>
      <c r="C80">
        <v>6</v>
      </c>
      <c r="D80" t="s">
        <v>89</v>
      </c>
      <c r="E80" t="s">
        <v>865</v>
      </c>
    </row>
    <row r="81" spans="1:5" hidden="1">
      <c r="A81">
        <v>80</v>
      </c>
      <c r="B81" t="s">
        <v>1288</v>
      </c>
      <c r="C81">
        <v>6</v>
      </c>
      <c r="D81" t="s">
        <v>82</v>
      </c>
      <c r="E81" t="s">
        <v>867</v>
      </c>
    </row>
    <row r="82" spans="1:5" hidden="1">
      <c r="A82">
        <v>81</v>
      </c>
      <c r="B82" t="s">
        <v>1289</v>
      </c>
      <c r="C82">
        <v>9</v>
      </c>
      <c r="D82" t="s">
        <v>1206</v>
      </c>
      <c r="E82" t="s">
        <v>865</v>
      </c>
    </row>
    <row r="83" spans="1:5" hidden="1">
      <c r="A83">
        <v>82</v>
      </c>
      <c r="B83" t="s">
        <v>1290</v>
      </c>
      <c r="C83">
        <v>7</v>
      </c>
      <c r="D83" t="s">
        <v>117</v>
      </c>
      <c r="E83" t="s">
        <v>865</v>
      </c>
    </row>
    <row r="84" spans="1:5" hidden="1">
      <c r="A84">
        <v>83</v>
      </c>
      <c r="B84" t="s">
        <v>1291</v>
      </c>
      <c r="C84">
        <v>12</v>
      </c>
      <c r="D84" t="s">
        <v>80</v>
      </c>
      <c r="E84" t="s">
        <v>900</v>
      </c>
    </row>
    <row r="85" spans="1:5" hidden="1">
      <c r="A85">
        <v>84</v>
      </c>
      <c r="B85" t="s">
        <v>1292</v>
      </c>
      <c r="C85">
        <v>14</v>
      </c>
      <c r="D85" t="s">
        <v>107</v>
      </c>
      <c r="E85" t="s">
        <v>865</v>
      </c>
    </row>
    <row r="86" spans="1:5" hidden="1">
      <c r="A86">
        <v>85</v>
      </c>
      <c r="B86" t="s">
        <v>1293</v>
      </c>
      <c r="C86">
        <v>14</v>
      </c>
      <c r="D86" t="s">
        <v>83</v>
      </c>
      <c r="E86" t="s">
        <v>867</v>
      </c>
    </row>
    <row r="87" spans="1:5" hidden="1">
      <c r="A87">
        <v>86</v>
      </c>
      <c r="B87" t="s">
        <v>1294</v>
      </c>
      <c r="C87">
        <v>14</v>
      </c>
      <c r="D87" t="s">
        <v>121</v>
      </c>
      <c r="E87" t="s">
        <v>867</v>
      </c>
    </row>
    <row r="88" spans="1:5" hidden="1">
      <c r="A88">
        <v>87</v>
      </c>
      <c r="B88" t="s">
        <v>1295</v>
      </c>
      <c r="C88">
        <v>8</v>
      </c>
      <c r="D88" t="s">
        <v>84</v>
      </c>
      <c r="E88" t="s">
        <v>900</v>
      </c>
    </row>
    <row r="89" spans="1:5" hidden="1">
      <c r="A89">
        <v>88</v>
      </c>
      <c r="B89" t="s">
        <v>1296</v>
      </c>
      <c r="C89">
        <v>14</v>
      </c>
      <c r="D89" t="s">
        <v>99</v>
      </c>
      <c r="E89" t="s">
        <v>865</v>
      </c>
    </row>
    <row r="90" spans="1:5" hidden="1">
      <c r="A90">
        <v>89</v>
      </c>
      <c r="B90" t="s">
        <v>1297</v>
      </c>
      <c r="C90">
        <v>8</v>
      </c>
      <c r="D90" t="s">
        <v>103</v>
      </c>
      <c r="E90" t="s">
        <v>865</v>
      </c>
    </row>
    <row r="91" spans="1:5" hidden="1">
      <c r="A91">
        <v>90</v>
      </c>
      <c r="B91" t="s">
        <v>1298</v>
      </c>
      <c r="C91">
        <v>9</v>
      </c>
      <c r="D91" t="s">
        <v>126</v>
      </c>
      <c r="E91" t="s">
        <v>867</v>
      </c>
    </row>
    <row r="92" spans="1:5" hidden="1">
      <c r="A92">
        <v>91</v>
      </c>
      <c r="B92" t="s">
        <v>1299</v>
      </c>
      <c r="C92">
        <v>12</v>
      </c>
      <c r="D92" t="s">
        <v>120</v>
      </c>
      <c r="E92" t="s">
        <v>867</v>
      </c>
    </row>
    <row r="93" spans="1:5" hidden="1">
      <c r="A93">
        <v>92</v>
      </c>
      <c r="B93" t="s">
        <v>1300</v>
      </c>
      <c r="C93">
        <v>14</v>
      </c>
      <c r="D93" t="s">
        <v>90</v>
      </c>
      <c r="E93" t="s">
        <v>865</v>
      </c>
    </row>
    <row r="94" spans="1:5" hidden="1">
      <c r="A94">
        <v>93</v>
      </c>
      <c r="B94" t="s">
        <v>1301</v>
      </c>
      <c r="C94">
        <v>9</v>
      </c>
      <c r="D94" t="s">
        <v>87</v>
      </c>
      <c r="E94" t="s">
        <v>865</v>
      </c>
    </row>
    <row r="95" spans="1:5" hidden="1">
      <c r="A95">
        <v>94</v>
      </c>
      <c r="B95" t="s">
        <v>1302</v>
      </c>
      <c r="C95">
        <v>12</v>
      </c>
      <c r="D95" t="s">
        <v>94</v>
      </c>
      <c r="E95" t="s">
        <v>865</v>
      </c>
    </row>
    <row r="96" spans="1:5" hidden="1">
      <c r="A96">
        <v>95</v>
      </c>
      <c r="B96" t="s">
        <v>1303</v>
      </c>
      <c r="C96">
        <v>5</v>
      </c>
      <c r="D96" t="s">
        <v>95</v>
      </c>
      <c r="E96" t="s">
        <v>867</v>
      </c>
    </row>
    <row r="97" spans="1:5" hidden="1">
      <c r="A97">
        <v>96</v>
      </c>
      <c r="B97" t="s">
        <v>1304</v>
      </c>
      <c r="C97">
        <v>12</v>
      </c>
      <c r="D97" t="s">
        <v>108</v>
      </c>
      <c r="E97" t="s">
        <v>890</v>
      </c>
    </row>
    <row r="98" spans="1:5" hidden="1">
      <c r="A98">
        <v>97</v>
      </c>
      <c r="B98" t="s">
        <v>1305</v>
      </c>
      <c r="C98">
        <v>12</v>
      </c>
      <c r="D98" t="s">
        <v>115</v>
      </c>
      <c r="E98" t="s">
        <v>867</v>
      </c>
    </row>
    <row r="99" spans="1:5" hidden="1">
      <c r="A99">
        <v>98</v>
      </c>
      <c r="B99" t="s">
        <v>1306</v>
      </c>
      <c r="C99">
        <v>12</v>
      </c>
      <c r="D99" t="s">
        <v>263</v>
      </c>
      <c r="E99" t="s">
        <v>867</v>
      </c>
    </row>
    <row r="100" spans="1:5" hidden="1">
      <c r="A100">
        <v>99</v>
      </c>
      <c r="B100" t="s">
        <v>1307</v>
      </c>
      <c r="C100">
        <v>12</v>
      </c>
      <c r="D100" t="s">
        <v>149</v>
      </c>
      <c r="E100" t="s">
        <v>867</v>
      </c>
    </row>
    <row r="101" spans="1:5" hidden="1">
      <c r="A101">
        <v>100</v>
      </c>
      <c r="B101" t="s">
        <v>1308</v>
      </c>
      <c r="C101">
        <v>14</v>
      </c>
      <c r="D101" t="s">
        <v>137</v>
      </c>
      <c r="E101" t="s">
        <v>865</v>
      </c>
    </row>
    <row r="102" spans="1:5" hidden="1">
      <c r="A102">
        <v>101</v>
      </c>
      <c r="B102" t="s">
        <v>1309</v>
      </c>
      <c r="C102">
        <v>7</v>
      </c>
      <c r="D102" t="s">
        <v>131</v>
      </c>
      <c r="E102" t="s">
        <v>865</v>
      </c>
    </row>
    <row r="103" spans="1:5" hidden="1">
      <c r="A103">
        <v>102</v>
      </c>
      <c r="B103" t="s">
        <v>1310</v>
      </c>
      <c r="C103">
        <v>5</v>
      </c>
      <c r="D103" t="s">
        <v>119</v>
      </c>
      <c r="E103" t="s">
        <v>865</v>
      </c>
    </row>
    <row r="104" spans="1:5" hidden="1">
      <c r="A104">
        <v>103</v>
      </c>
      <c r="B104" t="s">
        <v>1311</v>
      </c>
      <c r="C104">
        <v>10</v>
      </c>
      <c r="D104" t="s">
        <v>91</v>
      </c>
      <c r="E104" t="s">
        <v>890</v>
      </c>
    </row>
    <row r="105" spans="1:5" hidden="1">
      <c r="A105">
        <v>104</v>
      </c>
      <c r="B105" t="s">
        <v>1312</v>
      </c>
      <c r="C105">
        <v>11</v>
      </c>
      <c r="D105" t="s">
        <v>122</v>
      </c>
      <c r="E105" t="s">
        <v>865</v>
      </c>
    </row>
    <row r="106" spans="1:5" hidden="1">
      <c r="A106">
        <v>105</v>
      </c>
      <c r="B106" t="s">
        <v>1313</v>
      </c>
      <c r="C106">
        <v>10</v>
      </c>
      <c r="D106" t="s">
        <v>169</v>
      </c>
      <c r="E106" t="s">
        <v>865</v>
      </c>
    </row>
    <row r="107" spans="1:5" hidden="1">
      <c r="A107">
        <v>106</v>
      </c>
      <c r="B107" t="s">
        <v>1314</v>
      </c>
      <c r="C107">
        <v>5</v>
      </c>
      <c r="D107" t="s">
        <v>98</v>
      </c>
      <c r="E107" t="s">
        <v>865</v>
      </c>
    </row>
    <row r="108" spans="1:5" hidden="1">
      <c r="A108">
        <v>107</v>
      </c>
      <c r="B108" t="s">
        <v>1315</v>
      </c>
      <c r="C108">
        <v>12</v>
      </c>
      <c r="D108" t="s">
        <v>78</v>
      </c>
      <c r="E108" t="s">
        <v>867</v>
      </c>
    </row>
    <row r="109" spans="1:5" hidden="1">
      <c r="A109">
        <v>108</v>
      </c>
      <c r="B109" t="s">
        <v>1316</v>
      </c>
      <c r="C109">
        <v>14</v>
      </c>
      <c r="D109" t="s">
        <v>109</v>
      </c>
      <c r="E109" t="s">
        <v>867</v>
      </c>
    </row>
    <row r="110" spans="1:5" hidden="1">
      <c r="A110">
        <v>109</v>
      </c>
      <c r="B110" t="s">
        <v>1317</v>
      </c>
      <c r="C110">
        <v>9</v>
      </c>
      <c r="D110" t="s">
        <v>101</v>
      </c>
      <c r="E110" t="s">
        <v>890</v>
      </c>
    </row>
    <row r="111" spans="1:5" hidden="1">
      <c r="A111">
        <v>110</v>
      </c>
      <c r="B111" t="s">
        <v>1318</v>
      </c>
      <c r="C111">
        <v>5</v>
      </c>
      <c r="D111" t="s">
        <v>104</v>
      </c>
      <c r="E111" t="s">
        <v>900</v>
      </c>
    </row>
    <row r="112" spans="1:5" hidden="1">
      <c r="A112">
        <v>111</v>
      </c>
      <c r="B112" t="s">
        <v>1319</v>
      </c>
      <c r="C112">
        <v>5</v>
      </c>
      <c r="D112" t="s">
        <v>139</v>
      </c>
      <c r="E112" t="s">
        <v>890</v>
      </c>
    </row>
    <row r="113" spans="1:5" hidden="1">
      <c r="A113">
        <v>112</v>
      </c>
      <c r="B113" t="s">
        <v>1320</v>
      </c>
      <c r="C113">
        <v>10</v>
      </c>
      <c r="D113" t="s">
        <v>88</v>
      </c>
      <c r="E113" t="s">
        <v>900</v>
      </c>
    </row>
    <row r="114" spans="1:5" hidden="1">
      <c r="A114">
        <v>113</v>
      </c>
      <c r="B114" t="s">
        <v>1321</v>
      </c>
      <c r="C114">
        <v>5</v>
      </c>
      <c r="D114" t="s">
        <v>157</v>
      </c>
      <c r="E114" t="s">
        <v>890</v>
      </c>
    </row>
    <row r="115" spans="1:5" hidden="1">
      <c r="A115">
        <v>114</v>
      </c>
      <c r="B115" t="s">
        <v>1322</v>
      </c>
      <c r="C115">
        <v>14</v>
      </c>
      <c r="D115" t="s">
        <v>96</v>
      </c>
      <c r="E115" t="s">
        <v>900</v>
      </c>
    </row>
    <row r="116" spans="1:5" hidden="1">
      <c r="A116">
        <v>115</v>
      </c>
      <c r="B116" t="s">
        <v>1323</v>
      </c>
      <c r="C116">
        <v>8</v>
      </c>
      <c r="D116" t="s">
        <v>127</v>
      </c>
      <c r="E116" t="s">
        <v>865</v>
      </c>
    </row>
    <row r="117" spans="1:5" hidden="1">
      <c r="A117">
        <v>116</v>
      </c>
      <c r="B117" t="s">
        <v>1324</v>
      </c>
      <c r="C117">
        <v>5</v>
      </c>
      <c r="D117" t="s">
        <v>97</v>
      </c>
      <c r="E117" t="s">
        <v>890</v>
      </c>
    </row>
    <row r="118" spans="1:5" hidden="1">
      <c r="A118">
        <v>117</v>
      </c>
      <c r="B118" t="s">
        <v>1325</v>
      </c>
      <c r="C118">
        <v>10</v>
      </c>
      <c r="D118" t="s">
        <v>148</v>
      </c>
      <c r="E118" t="s">
        <v>867</v>
      </c>
    </row>
    <row r="119" spans="1:5" hidden="1">
      <c r="A119">
        <v>118</v>
      </c>
      <c r="B119" t="s">
        <v>1326</v>
      </c>
      <c r="C119">
        <v>8</v>
      </c>
      <c r="D119" t="s">
        <v>100</v>
      </c>
      <c r="E119" t="s">
        <v>867</v>
      </c>
    </row>
    <row r="120" spans="1:5" hidden="1">
      <c r="A120">
        <v>119</v>
      </c>
      <c r="B120" t="s">
        <v>1327</v>
      </c>
      <c r="C120">
        <v>9</v>
      </c>
      <c r="D120" t="s">
        <v>138</v>
      </c>
      <c r="E120" t="s">
        <v>867</v>
      </c>
    </row>
    <row r="121" spans="1:5" hidden="1">
      <c r="A121">
        <v>120</v>
      </c>
      <c r="B121" t="s">
        <v>1328</v>
      </c>
      <c r="C121">
        <v>10</v>
      </c>
      <c r="D121" t="s">
        <v>113</v>
      </c>
      <c r="E121" t="s">
        <v>867</v>
      </c>
    </row>
    <row r="122" spans="1:5" hidden="1">
      <c r="A122">
        <v>121</v>
      </c>
      <c r="B122" t="s">
        <v>1329</v>
      </c>
      <c r="C122">
        <v>8</v>
      </c>
      <c r="D122" t="s">
        <v>164</v>
      </c>
      <c r="E122" t="s">
        <v>867</v>
      </c>
    </row>
    <row r="123" spans="1:5" hidden="1">
      <c r="A123">
        <v>122</v>
      </c>
      <c r="B123" t="s">
        <v>1330</v>
      </c>
      <c r="C123">
        <v>9</v>
      </c>
      <c r="D123" t="s">
        <v>147</v>
      </c>
      <c r="E123" t="s">
        <v>867</v>
      </c>
    </row>
    <row r="124" spans="1:5" hidden="1">
      <c r="A124">
        <v>123</v>
      </c>
      <c r="B124" t="s">
        <v>1331</v>
      </c>
      <c r="C124">
        <v>12</v>
      </c>
      <c r="D124" t="s">
        <v>174</v>
      </c>
      <c r="E124" t="s">
        <v>865</v>
      </c>
    </row>
    <row r="125" spans="1:5" hidden="1">
      <c r="A125">
        <v>124</v>
      </c>
      <c r="B125" t="s">
        <v>1332</v>
      </c>
      <c r="C125">
        <v>6</v>
      </c>
      <c r="D125" t="s">
        <v>151</v>
      </c>
      <c r="E125" t="s">
        <v>865</v>
      </c>
    </row>
    <row r="126" spans="1:5" hidden="1">
      <c r="A126">
        <v>125</v>
      </c>
      <c r="B126" t="s">
        <v>1333</v>
      </c>
      <c r="C126">
        <v>12</v>
      </c>
      <c r="D126" t="s">
        <v>269</v>
      </c>
      <c r="E126" t="s">
        <v>867</v>
      </c>
    </row>
    <row r="127" spans="1:5" hidden="1">
      <c r="A127">
        <v>126</v>
      </c>
      <c r="B127" t="s">
        <v>1334</v>
      </c>
      <c r="C127">
        <v>5</v>
      </c>
      <c r="D127" t="s">
        <v>142</v>
      </c>
      <c r="E127" t="s">
        <v>867</v>
      </c>
    </row>
    <row r="128" spans="1:5" hidden="1">
      <c r="A128">
        <v>127</v>
      </c>
      <c r="B128" t="s">
        <v>1335</v>
      </c>
      <c r="C128">
        <v>10</v>
      </c>
      <c r="D128" t="s">
        <v>132</v>
      </c>
      <c r="E128" t="s">
        <v>867</v>
      </c>
    </row>
    <row r="129" spans="1:5" hidden="1">
      <c r="A129">
        <v>128</v>
      </c>
      <c r="B129" t="s">
        <v>1336</v>
      </c>
      <c r="C129">
        <v>8</v>
      </c>
      <c r="D129" t="s">
        <v>114</v>
      </c>
      <c r="E129" t="s">
        <v>867</v>
      </c>
    </row>
    <row r="130" spans="1:5" hidden="1">
      <c r="A130">
        <v>129</v>
      </c>
      <c r="B130" t="s">
        <v>1337</v>
      </c>
      <c r="C130">
        <v>14</v>
      </c>
      <c r="D130" t="s">
        <v>145</v>
      </c>
      <c r="E130" t="s">
        <v>867</v>
      </c>
    </row>
    <row r="131" spans="1:5" hidden="1">
      <c r="A131">
        <v>130</v>
      </c>
      <c r="B131" t="s">
        <v>1338</v>
      </c>
      <c r="C131">
        <v>12</v>
      </c>
      <c r="D131" t="s">
        <v>154</v>
      </c>
      <c r="E131" t="s">
        <v>865</v>
      </c>
    </row>
    <row r="132" spans="1:5" hidden="1">
      <c r="A132">
        <v>131</v>
      </c>
      <c r="B132" t="s">
        <v>1339</v>
      </c>
      <c r="C132">
        <v>5</v>
      </c>
      <c r="D132" t="s">
        <v>129</v>
      </c>
      <c r="E132" t="s">
        <v>865</v>
      </c>
    </row>
    <row r="133" spans="1:5" hidden="1">
      <c r="A133">
        <v>132</v>
      </c>
      <c r="B133" t="s">
        <v>1340</v>
      </c>
      <c r="C133">
        <v>11</v>
      </c>
      <c r="D133" t="s">
        <v>130</v>
      </c>
      <c r="E133" t="s">
        <v>865</v>
      </c>
    </row>
    <row r="134" spans="1:5" hidden="1">
      <c r="A134">
        <v>133</v>
      </c>
      <c r="B134" t="s">
        <v>1341</v>
      </c>
      <c r="C134">
        <v>8</v>
      </c>
      <c r="D134" t="s">
        <v>105</v>
      </c>
      <c r="E134" t="s">
        <v>900</v>
      </c>
    </row>
    <row r="135" spans="1:5" hidden="1">
      <c r="A135">
        <v>134</v>
      </c>
      <c r="B135" t="s">
        <v>1342</v>
      </c>
      <c r="C135">
        <v>5</v>
      </c>
      <c r="D135" t="s">
        <v>156</v>
      </c>
      <c r="E135" t="s">
        <v>865</v>
      </c>
    </row>
    <row r="136" spans="1:5" hidden="1">
      <c r="A136">
        <v>135</v>
      </c>
      <c r="B136" t="s">
        <v>1343</v>
      </c>
      <c r="C136">
        <v>12</v>
      </c>
      <c r="D136" t="s">
        <v>102</v>
      </c>
      <c r="E136" t="s">
        <v>900</v>
      </c>
    </row>
    <row r="137" spans="1:5" hidden="1">
      <c r="A137">
        <v>136</v>
      </c>
      <c r="B137" t="s">
        <v>1344</v>
      </c>
      <c r="C137">
        <v>7</v>
      </c>
      <c r="D137" t="s">
        <v>125</v>
      </c>
      <c r="E137" t="s">
        <v>890</v>
      </c>
    </row>
    <row r="138" spans="1:5" hidden="1">
      <c r="A138">
        <v>137</v>
      </c>
      <c r="B138" t="s">
        <v>1345</v>
      </c>
      <c r="C138">
        <v>14</v>
      </c>
      <c r="D138" t="s">
        <v>177</v>
      </c>
      <c r="E138" t="s">
        <v>865</v>
      </c>
    </row>
    <row r="139" spans="1:5" hidden="1">
      <c r="A139">
        <v>138</v>
      </c>
      <c r="B139" t="s">
        <v>1346</v>
      </c>
      <c r="C139">
        <v>9</v>
      </c>
      <c r="D139" t="s">
        <v>178</v>
      </c>
      <c r="E139" t="s">
        <v>865</v>
      </c>
    </row>
    <row r="140" spans="1:5" hidden="1">
      <c r="A140">
        <v>139</v>
      </c>
      <c r="B140" t="s">
        <v>1347</v>
      </c>
      <c r="C140">
        <v>7</v>
      </c>
      <c r="D140" t="s">
        <v>134</v>
      </c>
      <c r="E140" t="s">
        <v>867</v>
      </c>
    </row>
    <row r="141" spans="1:5" hidden="1">
      <c r="A141">
        <v>140</v>
      </c>
      <c r="B141" t="s">
        <v>1348</v>
      </c>
      <c r="C141">
        <v>5</v>
      </c>
      <c r="D141" t="s">
        <v>173</v>
      </c>
      <c r="E141" t="s">
        <v>867</v>
      </c>
    </row>
    <row r="142" spans="1:5" hidden="1">
      <c r="A142">
        <v>141</v>
      </c>
      <c r="B142" t="s">
        <v>1349</v>
      </c>
      <c r="C142">
        <v>8</v>
      </c>
      <c r="D142" t="s">
        <v>141</v>
      </c>
      <c r="E142" t="s">
        <v>867</v>
      </c>
    </row>
    <row r="143" spans="1:5" hidden="1">
      <c r="A143">
        <v>142</v>
      </c>
      <c r="B143" t="s">
        <v>1350</v>
      </c>
      <c r="C143">
        <v>7</v>
      </c>
      <c r="D143" t="s">
        <v>184</v>
      </c>
      <c r="E143" t="s">
        <v>865</v>
      </c>
    </row>
    <row r="144" spans="1:5" hidden="1">
      <c r="A144">
        <v>143</v>
      </c>
      <c r="B144" t="s">
        <v>1351</v>
      </c>
      <c r="C144">
        <v>9</v>
      </c>
      <c r="D144" t="s">
        <v>259</v>
      </c>
      <c r="E144" t="s">
        <v>865</v>
      </c>
    </row>
    <row r="145" spans="1:5" hidden="1">
      <c r="A145">
        <v>144</v>
      </c>
      <c r="B145" t="s">
        <v>1352</v>
      </c>
      <c r="C145">
        <v>5</v>
      </c>
      <c r="D145" t="s">
        <v>118</v>
      </c>
      <c r="E145" t="s">
        <v>900</v>
      </c>
    </row>
    <row r="146" spans="1:5" hidden="1">
      <c r="A146">
        <v>145</v>
      </c>
      <c r="B146" t="s">
        <v>1353</v>
      </c>
      <c r="C146">
        <v>14</v>
      </c>
      <c r="D146" t="s">
        <v>110</v>
      </c>
      <c r="E146" t="s">
        <v>900</v>
      </c>
    </row>
    <row r="147" spans="1:5" hidden="1">
      <c r="A147">
        <v>146</v>
      </c>
      <c r="B147" t="s">
        <v>1354</v>
      </c>
      <c r="C147">
        <v>8</v>
      </c>
      <c r="D147" t="s">
        <v>162</v>
      </c>
      <c r="E147" t="s">
        <v>900</v>
      </c>
    </row>
    <row r="148" spans="1:5" hidden="1">
      <c r="A148">
        <v>147</v>
      </c>
      <c r="B148" t="s">
        <v>1355</v>
      </c>
      <c r="C148">
        <v>12</v>
      </c>
      <c r="D148" t="s">
        <v>160</v>
      </c>
      <c r="E148" t="s">
        <v>867</v>
      </c>
    </row>
    <row r="149" spans="1:5" hidden="1">
      <c r="A149">
        <v>148</v>
      </c>
      <c r="B149" t="s">
        <v>1356</v>
      </c>
      <c r="C149">
        <v>6</v>
      </c>
      <c r="D149" t="s">
        <v>124</v>
      </c>
      <c r="E149" t="s">
        <v>900</v>
      </c>
    </row>
    <row r="150" spans="1:5" hidden="1">
      <c r="A150">
        <v>149</v>
      </c>
      <c r="B150" t="s">
        <v>1357</v>
      </c>
      <c r="C150">
        <v>14</v>
      </c>
      <c r="D150" t="s">
        <v>190</v>
      </c>
      <c r="E150" t="s">
        <v>865</v>
      </c>
    </row>
    <row r="151" spans="1:5" hidden="1">
      <c r="A151">
        <v>150</v>
      </c>
      <c r="B151" t="s">
        <v>1358</v>
      </c>
      <c r="C151">
        <v>5</v>
      </c>
      <c r="D151" t="s">
        <v>135</v>
      </c>
      <c r="E151" t="s">
        <v>890</v>
      </c>
    </row>
    <row r="152" spans="1:5" hidden="1">
      <c r="A152">
        <v>151</v>
      </c>
      <c r="B152" t="s">
        <v>1359</v>
      </c>
      <c r="C152">
        <v>12</v>
      </c>
      <c r="D152" t="s">
        <v>305</v>
      </c>
      <c r="E152" t="s">
        <v>890</v>
      </c>
    </row>
    <row r="153" spans="1:5" hidden="1">
      <c r="A153">
        <v>152</v>
      </c>
      <c r="B153" t="s">
        <v>1360</v>
      </c>
      <c r="C153">
        <v>7</v>
      </c>
      <c r="D153" t="s">
        <v>146</v>
      </c>
      <c r="E153" t="s">
        <v>865</v>
      </c>
    </row>
    <row r="154" spans="1:5" hidden="1">
      <c r="A154">
        <v>153</v>
      </c>
      <c r="B154" t="s">
        <v>1361</v>
      </c>
      <c r="C154">
        <v>8</v>
      </c>
      <c r="D154" t="s">
        <v>123</v>
      </c>
      <c r="E154" t="s">
        <v>900</v>
      </c>
    </row>
    <row r="155" spans="1:5" hidden="1">
      <c r="A155">
        <v>154</v>
      </c>
      <c r="B155" t="s">
        <v>1362</v>
      </c>
      <c r="C155">
        <v>11</v>
      </c>
      <c r="D155" t="s">
        <v>140</v>
      </c>
      <c r="E155" t="s">
        <v>865</v>
      </c>
    </row>
    <row r="156" spans="1:5" hidden="1">
      <c r="A156">
        <v>155</v>
      </c>
      <c r="B156" t="s">
        <v>1363</v>
      </c>
      <c r="C156">
        <v>8</v>
      </c>
      <c r="D156" t="s">
        <v>231</v>
      </c>
      <c r="E156" t="s">
        <v>865</v>
      </c>
    </row>
    <row r="157" spans="1:5" hidden="1">
      <c r="A157">
        <v>156</v>
      </c>
      <c r="B157" t="s">
        <v>1364</v>
      </c>
      <c r="C157">
        <v>14</v>
      </c>
      <c r="D157" t="s">
        <v>155</v>
      </c>
      <c r="E157" t="s">
        <v>890</v>
      </c>
    </row>
    <row r="158" spans="1:5" hidden="1">
      <c r="A158">
        <v>157</v>
      </c>
      <c r="B158" t="s">
        <v>1365</v>
      </c>
      <c r="C158">
        <v>9</v>
      </c>
      <c r="D158" t="s">
        <v>128</v>
      </c>
      <c r="E158" t="s">
        <v>890</v>
      </c>
    </row>
    <row r="159" spans="1:5" hidden="1">
      <c r="A159">
        <v>158</v>
      </c>
      <c r="B159" t="s">
        <v>1366</v>
      </c>
      <c r="C159">
        <v>7</v>
      </c>
      <c r="D159" t="s">
        <v>163</v>
      </c>
      <c r="E159" t="s">
        <v>890</v>
      </c>
    </row>
    <row r="160" spans="1:5" hidden="1">
      <c r="A160">
        <v>159</v>
      </c>
      <c r="B160" t="s">
        <v>1367</v>
      </c>
      <c r="C160">
        <v>10</v>
      </c>
      <c r="D160" t="s">
        <v>144</v>
      </c>
      <c r="E160" t="s">
        <v>890</v>
      </c>
    </row>
    <row r="161" spans="1:5" hidden="1">
      <c r="A161">
        <v>160</v>
      </c>
      <c r="B161" t="s">
        <v>1368</v>
      </c>
      <c r="C161">
        <v>5</v>
      </c>
      <c r="D161" t="s">
        <v>165</v>
      </c>
      <c r="E161" t="s">
        <v>865</v>
      </c>
    </row>
    <row r="162" spans="1:5" hidden="1">
      <c r="A162">
        <v>161</v>
      </c>
      <c r="B162" t="s">
        <v>1369</v>
      </c>
      <c r="C162">
        <v>6</v>
      </c>
      <c r="D162" t="s">
        <v>168</v>
      </c>
      <c r="E162" t="s">
        <v>865</v>
      </c>
    </row>
    <row r="163" spans="1:5" hidden="1">
      <c r="A163">
        <v>162</v>
      </c>
      <c r="B163" t="s">
        <v>1370</v>
      </c>
      <c r="C163">
        <v>11</v>
      </c>
      <c r="D163" t="s">
        <v>233</v>
      </c>
      <c r="E163" t="s">
        <v>900</v>
      </c>
    </row>
    <row r="164" spans="1:5" hidden="1">
      <c r="A164">
        <v>163</v>
      </c>
      <c r="B164" t="s">
        <v>1371</v>
      </c>
      <c r="C164">
        <v>6</v>
      </c>
      <c r="D164" t="s">
        <v>133</v>
      </c>
      <c r="E164" t="s">
        <v>900</v>
      </c>
    </row>
    <row r="165" spans="1:5" hidden="1">
      <c r="A165">
        <v>164</v>
      </c>
      <c r="B165" t="s">
        <v>1372</v>
      </c>
      <c r="C165">
        <v>8</v>
      </c>
      <c r="D165" t="s">
        <v>183</v>
      </c>
      <c r="E165" t="s">
        <v>867</v>
      </c>
    </row>
    <row r="166" spans="1:5" hidden="1">
      <c r="A166">
        <v>165</v>
      </c>
      <c r="B166" t="s">
        <v>1373</v>
      </c>
      <c r="C166">
        <v>14</v>
      </c>
      <c r="D166" t="s">
        <v>159</v>
      </c>
      <c r="E166" t="s">
        <v>867</v>
      </c>
    </row>
    <row r="167" spans="1:5" hidden="1">
      <c r="A167">
        <v>166</v>
      </c>
      <c r="B167" t="s">
        <v>1374</v>
      </c>
      <c r="C167">
        <v>8</v>
      </c>
      <c r="D167" t="s">
        <v>106</v>
      </c>
      <c r="E167" t="s">
        <v>867</v>
      </c>
    </row>
    <row r="168" spans="1:5" hidden="1">
      <c r="A168">
        <v>167</v>
      </c>
      <c r="B168" t="s">
        <v>1375</v>
      </c>
      <c r="C168">
        <v>11</v>
      </c>
      <c r="D168" t="s">
        <v>232</v>
      </c>
      <c r="E168" t="s">
        <v>867</v>
      </c>
    </row>
    <row r="169" spans="1:5" hidden="1">
      <c r="A169">
        <v>168</v>
      </c>
      <c r="B169" t="s">
        <v>1376</v>
      </c>
      <c r="C169">
        <v>14</v>
      </c>
      <c r="D169" t="s">
        <v>150</v>
      </c>
      <c r="E169" t="s">
        <v>900</v>
      </c>
    </row>
    <row r="170" spans="1:5" hidden="1">
      <c r="A170">
        <v>169</v>
      </c>
      <c r="B170" t="s">
        <v>1377</v>
      </c>
      <c r="C170">
        <v>12</v>
      </c>
      <c r="D170" t="s">
        <v>143</v>
      </c>
      <c r="E170" t="s">
        <v>900</v>
      </c>
    </row>
    <row r="171" spans="1:5" hidden="1">
      <c r="A171">
        <v>170</v>
      </c>
      <c r="B171" t="s">
        <v>1378</v>
      </c>
      <c r="C171">
        <v>10</v>
      </c>
      <c r="D171" t="s">
        <v>191</v>
      </c>
      <c r="E171" t="s">
        <v>900</v>
      </c>
    </row>
    <row r="172" spans="1:5" hidden="1">
      <c r="A172">
        <v>171</v>
      </c>
      <c r="B172" t="s">
        <v>1379</v>
      </c>
      <c r="C172">
        <v>10</v>
      </c>
      <c r="D172" t="s">
        <v>220</v>
      </c>
      <c r="E172" t="s">
        <v>890</v>
      </c>
    </row>
    <row r="173" spans="1:5" hidden="1">
      <c r="A173">
        <v>172</v>
      </c>
      <c r="B173" t="s">
        <v>1380</v>
      </c>
      <c r="C173">
        <v>14</v>
      </c>
      <c r="D173" t="s">
        <v>180</v>
      </c>
      <c r="E173" t="s">
        <v>865</v>
      </c>
    </row>
    <row r="174" spans="1:5" hidden="1">
      <c r="A174">
        <v>173</v>
      </c>
      <c r="B174" t="s">
        <v>1381</v>
      </c>
      <c r="C174">
        <v>11</v>
      </c>
      <c r="D174" t="s">
        <v>195</v>
      </c>
      <c r="E174" t="s">
        <v>865</v>
      </c>
    </row>
    <row r="175" spans="1:5" hidden="1">
      <c r="A175">
        <v>174</v>
      </c>
      <c r="B175" t="s">
        <v>1382</v>
      </c>
      <c r="C175">
        <v>14</v>
      </c>
      <c r="D175" t="s">
        <v>200</v>
      </c>
      <c r="E175" t="s">
        <v>865</v>
      </c>
    </row>
    <row r="176" spans="1:5" hidden="1">
      <c r="A176">
        <v>175</v>
      </c>
      <c r="B176" t="s">
        <v>1383</v>
      </c>
      <c r="C176">
        <v>10</v>
      </c>
      <c r="D176" t="s">
        <v>255</v>
      </c>
      <c r="E176" t="s">
        <v>865</v>
      </c>
    </row>
    <row r="177" spans="1:5" hidden="1">
      <c r="A177">
        <v>176</v>
      </c>
      <c r="B177" t="s">
        <v>1384</v>
      </c>
      <c r="C177">
        <v>8</v>
      </c>
      <c r="D177" t="s">
        <v>300</v>
      </c>
      <c r="E177" t="s">
        <v>865</v>
      </c>
    </row>
    <row r="178" spans="1:5" hidden="1">
      <c r="A178">
        <v>177</v>
      </c>
      <c r="B178" t="s">
        <v>1385</v>
      </c>
      <c r="C178">
        <v>10</v>
      </c>
      <c r="D178" t="s">
        <v>264</v>
      </c>
      <c r="E178" t="s">
        <v>867</v>
      </c>
    </row>
    <row r="179" spans="1:5" hidden="1">
      <c r="A179">
        <v>178</v>
      </c>
      <c r="B179" t="s">
        <v>1386</v>
      </c>
      <c r="C179">
        <v>5</v>
      </c>
      <c r="D179" t="s">
        <v>186</v>
      </c>
      <c r="E179" t="s">
        <v>867</v>
      </c>
    </row>
    <row r="180" spans="1:5" hidden="1">
      <c r="A180">
        <v>179</v>
      </c>
      <c r="B180" t="s">
        <v>1387</v>
      </c>
      <c r="C180">
        <v>5</v>
      </c>
      <c r="D180" t="s">
        <v>209</v>
      </c>
      <c r="E180" t="s">
        <v>890</v>
      </c>
    </row>
    <row r="181" spans="1:5" hidden="1">
      <c r="A181">
        <v>180</v>
      </c>
      <c r="B181" t="s">
        <v>1388</v>
      </c>
      <c r="C181">
        <v>7</v>
      </c>
      <c r="D181" t="s">
        <v>188</v>
      </c>
      <c r="E181" t="s">
        <v>865</v>
      </c>
    </row>
    <row r="182" spans="1:5" hidden="1">
      <c r="A182">
        <v>181</v>
      </c>
      <c r="B182" t="s">
        <v>1389</v>
      </c>
      <c r="C182">
        <v>6</v>
      </c>
      <c r="D182" t="s">
        <v>244</v>
      </c>
      <c r="E182" t="s">
        <v>865</v>
      </c>
    </row>
    <row r="183" spans="1:5" hidden="1">
      <c r="A183">
        <v>182</v>
      </c>
      <c r="B183" t="s">
        <v>1390</v>
      </c>
      <c r="C183">
        <v>12</v>
      </c>
      <c r="D183" t="s">
        <v>176</v>
      </c>
      <c r="E183" t="s">
        <v>865</v>
      </c>
    </row>
    <row r="184" spans="1:5" hidden="1">
      <c r="A184">
        <v>183</v>
      </c>
      <c r="B184" t="s">
        <v>1391</v>
      </c>
      <c r="C184">
        <v>8</v>
      </c>
      <c r="D184" t="s">
        <v>172</v>
      </c>
      <c r="E184" t="s">
        <v>900</v>
      </c>
    </row>
    <row r="185" spans="1:5" hidden="1">
      <c r="A185">
        <v>184</v>
      </c>
      <c r="B185" t="s">
        <v>1392</v>
      </c>
      <c r="C185">
        <v>8</v>
      </c>
      <c r="D185" t="s">
        <v>193</v>
      </c>
      <c r="E185" t="s">
        <v>900</v>
      </c>
    </row>
    <row r="186" spans="1:5" hidden="1">
      <c r="A186">
        <v>185</v>
      </c>
      <c r="B186" t="s">
        <v>1393</v>
      </c>
      <c r="C186">
        <v>5</v>
      </c>
      <c r="D186" t="s">
        <v>223</v>
      </c>
      <c r="E186" t="s">
        <v>900</v>
      </c>
    </row>
    <row r="187" spans="1:5" hidden="1">
      <c r="A187">
        <v>186</v>
      </c>
      <c r="B187" t="s">
        <v>1394</v>
      </c>
      <c r="C187">
        <v>5</v>
      </c>
      <c r="D187" t="s">
        <v>238</v>
      </c>
      <c r="E187" t="s">
        <v>865</v>
      </c>
    </row>
    <row r="188" spans="1:5" hidden="1">
      <c r="A188">
        <v>187</v>
      </c>
      <c r="B188" t="s">
        <v>1395</v>
      </c>
      <c r="C188">
        <v>6</v>
      </c>
      <c r="D188" t="s">
        <v>247</v>
      </c>
      <c r="E188" t="s">
        <v>867</v>
      </c>
    </row>
    <row r="189" spans="1:5" hidden="1">
      <c r="A189">
        <v>188</v>
      </c>
      <c r="B189" t="s">
        <v>1396</v>
      </c>
      <c r="C189">
        <v>14</v>
      </c>
      <c r="D189" t="s">
        <v>287</v>
      </c>
      <c r="E189" t="s">
        <v>867</v>
      </c>
    </row>
    <row r="190" spans="1:5" hidden="1">
      <c r="A190">
        <v>189</v>
      </c>
      <c r="B190" t="s">
        <v>1397</v>
      </c>
      <c r="C190">
        <v>5</v>
      </c>
      <c r="D190" t="s">
        <v>217</v>
      </c>
      <c r="E190" t="s">
        <v>867</v>
      </c>
    </row>
    <row r="191" spans="1:5" hidden="1">
      <c r="A191">
        <v>190</v>
      </c>
      <c r="B191" t="s">
        <v>1398</v>
      </c>
      <c r="C191">
        <v>7</v>
      </c>
      <c r="D191" t="s">
        <v>283</v>
      </c>
      <c r="E191" t="s">
        <v>865</v>
      </c>
    </row>
    <row r="192" spans="1:5" hidden="1">
      <c r="A192">
        <v>191</v>
      </c>
      <c r="B192" t="s">
        <v>1399</v>
      </c>
      <c r="C192">
        <v>5</v>
      </c>
      <c r="D192" t="s">
        <v>211</v>
      </c>
      <c r="E192" t="s">
        <v>1076</v>
      </c>
    </row>
    <row r="193" spans="1:5" hidden="1">
      <c r="A193">
        <v>192</v>
      </c>
      <c r="B193" t="s">
        <v>1400</v>
      </c>
      <c r="C193">
        <v>6</v>
      </c>
      <c r="D193" t="s">
        <v>307</v>
      </c>
      <c r="E193" t="s">
        <v>867</v>
      </c>
    </row>
    <row r="194" spans="1:5" hidden="1">
      <c r="A194">
        <v>193</v>
      </c>
      <c r="B194" t="s">
        <v>1401</v>
      </c>
      <c r="C194">
        <v>14</v>
      </c>
      <c r="D194" t="s">
        <v>189</v>
      </c>
      <c r="E194" t="s">
        <v>865</v>
      </c>
    </row>
    <row r="195" spans="1:5" hidden="1">
      <c r="A195">
        <v>194</v>
      </c>
      <c r="B195" t="s">
        <v>1402</v>
      </c>
      <c r="C195">
        <v>9</v>
      </c>
      <c r="D195" t="s">
        <v>166</v>
      </c>
      <c r="E195" t="s">
        <v>867</v>
      </c>
    </row>
    <row r="196" spans="1:5">
      <c r="A196">
        <v>195</v>
      </c>
      <c r="B196" t="s">
        <v>1403</v>
      </c>
      <c r="C196">
        <v>12</v>
      </c>
      <c r="D196" t="s">
        <v>276</v>
      </c>
      <c r="E196" t="s">
        <v>867</v>
      </c>
    </row>
    <row r="197" spans="1:5" hidden="1">
      <c r="A197">
        <v>196</v>
      </c>
      <c r="B197" t="s">
        <v>1404</v>
      </c>
      <c r="C197">
        <v>5</v>
      </c>
      <c r="D197" t="s">
        <v>158</v>
      </c>
      <c r="E197" t="s">
        <v>900</v>
      </c>
    </row>
    <row r="198" spans="1:5" hidden="1">
      <c r="A198">
        <v>197</v>
      </c>
      <c r="B198" t="s">
        <v>1405</v>
      </c>
      <c r="C198">
        <v>9</v>
      </c>
      <c r="D198" t="s">
        <v>161</v>
      </c>
      <c r="E198" t="s">
        <v>865</v>
      </c>
    </row>
    <row r="199" spans="1:5" hidden="1">
      <c r="A199">
        <v>198</v>
      </c>
      <c r="B199" t="s">
        <v>1406</v>
      </c>
      <c r="C199">
        <v>12</v>
      </c>
      <c r="D199" t="s">
        <v>256</v>
      </c>
      <c r="E199" t="s">
        <v>867</v>
      </c>
    </row>
    <row r="200" spans="1:5" hidden="1">
      <c r="A200">
        <v>199</v>
      </c>
      <c r="B200" t="s">
        <v>1407</v>
      </c>
      <c r="C200">
        <v>14</v>
      </c>
      <c r="D200" t="s">
        <v>262</v>
      </c>
      <c r="E200" t="s">
        <v>900</v>
      </c>
    </row>
    <row r="201" spans="1:5" hidden="1">
      <c r="A201">
        <v>200</v>
      </c>
      <c r="B201" t="s">
        <v>1408</v>
      </c>
      <c r="C201">
        <v>7</v>
      </c>
      <c r="D201" t="s">
        <v>239</v>
      </c>
      <c r="E201" t="s">
        <v>867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6"/>
  <sheetViews>
    <sheetView topLeftCell="A73" workbookViewId="0"/>
  </sheetViews>
  <sheetFormatPr defaultRowHeight="14.5"/>
  <cols>
    <col min="2" max="3" width="30.36328125" customWidth="1"/>
  </cols>
  <sheetData>
    <row r="1" spans="1:4">
      <c r="A1" t="s">
        <v>502</v>
      </c>
      <c r="B1" t="s">
        <v>503</v>
      </c>
      <c r="D1" t="s">
        <v>1639</v>
      </c>
    </row>
    <row r="2" spans="1:4">
      <c r="A2">
        <v>1</v>
      </c>
      <c r="B2" t="s">
        <v>1640</v>
      </c>
      <c r="C2" t="str">
        <f>TRIM(B2)</f>
        <v>Christian McCaffrey</v>
      </c>
      <c r="D2" t="s">
        <v>18</v>
      </c>
    </row>
    <row r="3" spans="1:4">
      <c r="A3">
        <v>2</v>
      </c>
      <c r="B3" t="s">
        <v>1641</v>
      </c>
      <c r="C3" t="str">
        <f t="shared" ref="C3:C66" si="0">TRIM(B3)</f>
        <v>CeeDee Lamb</v>
      </c>
      <c r="D3" t="s">
        <v>10</v>
      </c>
    </row>
    <row r="4" spans="1:4">
      <c r="A4">
        <v>3</v>
      </c>
      <c r="B4" t="s">
        <v>1642</v>
      </c>
      <c r="C4" t="str">
        <f t="shared" si="0"/>
        <v>Tyreek Hill</v>
      </c>
      <c r="D4" t="s">
        <v>35</v>
      </c>
    </row>
    <row r="5" spans="1:4">
      <c r="A5">
        <v>4</v>
      </c>
      <c r="B5" t="s">
        <v>1643</v>
      </c>
      <c r="C5" t="str">
        <f t="shared" si="0"/>
        <v>Ja'Marr Chase</v>
      </c>
      <c r="D5" t="s">
        <v>4</v>
      </c>
    </row>
    <row r="6" spans="1:4">
      <c r="A6">
        <v>5</v>
      </c>
      <c r="B6" t="s">
        <v>17</v>
      </c>
      <c r="C6" t="str">
        <f t="shared" si="0"/>
        <v>Amon-Ra St. Brown</v>
      </c>
      <c r="D6" t="s">
        <v>17</v>
      </c>
    </row>
    <row r="7" spans="1:4">
      <c r="A7">
        <v>6</v>
      </c>
      <c r="B7" t="s">
        <v>1644</v>
      </c>
      <c r="C7" t="str">
        <f t="shared" si="0"/>
        <v>Justin Jefferson</v>
      </c>
      <c r="D7" t="s">
        <v>9</v>
      </c>
    </row>
    <row r="8" spans="1:4">
      <c r="A8">
        <v>7</v>
      </c>
      <c r="B8" t="s">
        <v>1645</v>
      </c>
      <c r="C8" t="str">
        <f t="shared" si="0"/>
        <v>Breece Hall</v>
      </c>
      <c r="D8" t="s">
        <v>46</v>
      </c>
    </row>
    <row r="9" spans="1:4">
      <c r="A9">
        <v>8</v>
      </c>
      <c r="B9" t="s">
        <v>1646</v>
      </c>
      <c r="C9" t="str">
        <f t="shared" si="0"/>
        <v>Bijan Robinson</v>
      </c>
      <c r="D9" t="s">
        <v>6</v>
      </c>
    </row>
    <row r="10" spans="1:4">
      <c r="A10">
        <v>9</v>
      </c>
      <c r="B10" t="s">
        <v>1647</v>
      </c>
      <c r="C10" t="str">
        <f t="shared" si="0"/>
        <v>A.J. Brown</v>
      </c>
      <c r="D10" t="s">
        <v>20</v>
      </c>
    </row>
    <row r="11" spans="1:4">
      <c r="A11">
        <v>10</v>
      </c>
      <c r="B11" t="s">
        <v>1648</v>
      </c>
      <c r="C11" t="str">
        <f t="shared" si="0"/>
        <v>Puka Nacua</v>
      </c>
      <c r="D11" t="s">
        <v>14</v>
      </c>
    </row>
    <row r="12" spans="1:4">
      <c r="A12">
        <v>11</v>
      </c>
      <c r="B12" t="s">
        <v>1649</v>
      </c>
      <c r="C12" t="str">
        <f t="shared" si="0"/>
        <v>Garrett Wilson</v>
      </c>
      <c r="D12" t="s">
        <v>42</v>
      </c>
    </row>
    <row r="13" spans="1:4">
      <c r="A13">
        <v>12</v>
      </c>
      <c r="B13" t="s">
        <v>1650</v>
      </c>
      <c r="C13" t="str">
        <f t="shared" si="0"/>
        <v>Saquon Barkley</v>
      </c>
      <c r="D13" t="s">
        <v>7</v>
      </c>
    </row>
    <row r="14" spans="1:4">
      <c r="A14">
        <v>13</v>
      </c>
      <c r="B14" t="s">
        <v>1651</v>
      </c>
      <c r="C14" t="str">
        <f t="shared" si="0"/>
        <v>Jonathan Taylor</v>
      </c>
      <c r="D14" t="s">
        <v>21</v>
      </c>
    </row>
    <row r="15" spans="1:4">
      <c r="A15">
        <v>14</v>
      </c>
      <c r="B15" t="s">
        <v>1652</v>
      </c>
      <c r="C15" t="str">
        <f t="shared" si="0"/>
        <v>Jahmyr Gibbs</v>
      </c>
      <c r="D15" t="s">
        <v>11</v>
      </c>
    </row>
    <row r="16" spans="1:4">
      <c r="A16">
        <v>15</v>
      </c>
      <c r="B16" t="s">
        <v>1653</v>
      </c>
      <c r="C16" t="str">
        <f t="shared" si="0"/>
        <v>Marvin Harrison Jr.</v>
      </c>
      <c r="D16" t="s">
        <v>45</v>
      </c>
    </row>
    <row r="17" spans="1:4">
      <c r="A17">
        <v>16</v>
      </c>
      <c r="B17" t="s">
        <v>1654</v>
      </c>
      <c r="C17" t="str">
        <f t="shared" si="0"/>
        <v>Drake London</v>
      </c>
      <c r="D17" t="s">
        <v>22</v>
      </c>
    </row>
    <row r="18" spans="1:4">
      <c r="A18">
        <v>17</v>
      </c>
      <c r="B18" t="s">
        <v>1655</v>
      </c>
      <c r="C18" t="str">
        <f t="shared" si="0"/>
        <v>Davante Adams</v>
      </c>
      <c r="D18" t="s">
        <v>40</v>
      </c>
    </row>
    <row r="19" spans="1:4">
      <c r="A19">
        <v>18</v>
      </c>
      <c r="B19" t="s">
        <v>1656</v>
      </c>
      <c r="C19" t="str">
        <f t="shared" si="0"/>
        <v>Kyren Williams</v>
      </c>
      <c r="D19" t="s">
        <v>29</v>
      </c>
    </row>
    <row r="20" spans="1:4">
      <c r="A20">
        <v>19</v>
      </c>
      <c r="B20" t="s">
        <v>1657</v>
      </c>
      <c r="C20" t="str">
        <f t="shared" si="0"/>
        <v>Derrick Henry</v>
      </c>
      <c r="D20" t="s">
        <v>12</v>
      </c>
    </row>
    <row r="21" spans="1:4">
      <c r="A21">
        <v>20</v>
      </c>
      <c r="B21" t="s">
        <v>1658</v>
      </c>
      <c r="C21" t="str">
        <f t="shared" si="0"/>
        <v>Isiah Pacheco</v>
      </c>
      <c r="D21" t="s">
        <v>70</v>
      </c>
    </row>
    <row r="22" spans="1:4">
      <c r="A22">
        <v>21</v>
      </c>
      <c r="B22" t="s">
        <v>100</v>
      </c>
      <c r="C22" t="str">
        <f t="shared" si="0"/>
        <v>Travis Etienne Jr.</v>
      </c>
      <c r="D22" t="s">
        <v>100</v>
      </c>
    </row>
    <row r="23" spans="1:4">
      <c r="A23">
        <v>22</v>
      </c>
      <c r="B23" t="s">
        <v>1659</v>
      </c>
      <c r="C23" t="str">
        <f t="shared" si="0"/>
        <v>Nico Collins</v>
      </c>
      <c r="D23" t="s">
        <v>13</v>
      </c>
    </row>
    <row r="24" spans="1:4">
      <c r="A24">
        <v>23</v>
      </c>
      <c r="B24" t="s">
        <v>1660</v>
      </c>
      <c r="C24" t="str">
        <f t="shared" si="0"/>
        <v>Brandon Aiyuk</v>
      </c>
      <c r="D24" t="s">
        <v>137</v>
      </c>
    </row>
    <row r="25" spans="1:4">
      <c r="A25">
        <v>24</v>
      </c>
      <c r="B25" t="s">
        <v>1661</v>
      </c>
      <c r="C25" t="str">
        <f t="shared" si="0"/>
        <v>Mike Evans</v>
      </c>
      <c r="D25" t="s">
        <v>34</v>
      </c>
    </row>
    <row r="26" spans="1:4">
      <c r="A26">
        <v>25</v>
      </c>
      <c r="B26" t="s">
        <v>1662</v>
      </c>
      <c r="C26" t="str">
        <f t="shared" si="0"/>
        <v>Cooper Kupp</v>
      </c>
      <c r="D26" t="s">
        <v>127</v>
      </c>
    </row>
    <row r="27" spans="1:4">
      <c r="A27">
        <v>26</v>
      </c>
      <c r="B27" t="s">
        <v>1663</v>
      </c>
      <c r="C27" t="str">
        <f t="shared" si="0"/>
        <v>Chris Olave</v>
      </c>
      <c r="D27" t="s">
        <v>86</v>
      </c>
    </row>
    <row r="28" spans="1:4">
      <c r="A28">
        <v>27</v>
      </c>
      <c r="B28" t="s">
        <v>1664</v>
      </c>
      <c r="C28" t="str">
        <f t="shared" si="0"/>
        <v>Michael Pittman Jr.</v>
      </c>
      <c r="D28" t="s">
        <v>130</v>
      </c>
    </row>
    <row r="29" spans="1:4">
      <c r="A29">
        <v>28</v>
      </c>
      <c r="B29" t="s">
        <v>138</v>
      </c>
      <c r="C29" t="str">
        <f t="shared" si="0"/>
        <v>Rachaad White</v>
      </c>
      <c r="D29" t="s">
        <v>138</v>
      </c>
    </row>
    <row r="30" spans="1:4">
      <c r="A30">
        <v>29</v>
      </c>
      <c r="B30" t="s">
        <v>1665</v>
      </c>
      <c r="C30" t="str">
        <f t="shared" si="0"/>
        <v>Deebo Samuel Sr.</v>
      </c>
      <c r="D30" t="s">
        <v>94</v>
      </c>
    </row>
    <row r="31" spans="1:4">
      <c r="A31">
        <v>30</v>
      </c>
      <c r="B31" t="s">
        <v>1666</v>
      </c>
      <c r="C31" t="str">
        <f t="shared" si="0"/>
        <v>DeVonta Smith</v>
      </c>
      <c r="D31" t="s">
        <v>60</v>
      </c>
    </row>
    <row r="32" spans="1:4">
      <c r="A32">
        <v>31</v>
      </c>
      <c r="B32" t="s">
        <v>1667</v>
      </c>
      <c r="C32" t="str">
        <f t="shared" si="0"/>
        <v>De'Von Achane</v>
      </c>
      <c r="D32" t="s">
        <v>23</v>
      </c>
    </row>
    <row r="33" spans="1:4">
      <c r="A33">
        <v>32</v>
      </c>
      <c r="B33" t="s">
        <v>1668</v>
      </c>
      <c r="C33" t="str">
        <f t="shared" si="0"/>
        <v>Trey McBride</v>
      </c>
      <c r="D33" t="s">
        <v>36</v>
      </c>
    </row>
    <row r="34" spans="1:4">
      <c r="A34">
        <v>33</v>
      </c>
      <c r="B34" t="s">
        <v>1669</v>
      </c>
      <c r="C34" t="str">
        <f t="shared" si="0"/>
        <v>Sam LaPorta</v>
      </c>
      <c r="D34" t="s">
        <v>65</v>
      </c>
    </row>
    <row r="35" spans="1:4">
      <c r="A35">
        <v>34</v>
      </c>
      <c r="B35" t="s">
        <v>1670</v>
      </c>
      <c r="C35" t="str">
        <f t="shared" si="0"/>
        <v>Travis Kelce</v>
      </c>
      <c r="D35" t="s">
        <v>91</v>
      </c>
    </row>
    <row r="36" spans="1:4">
      <c r="A36">
        <v>35</v>
      </c>
      <c r="B36" t="s">
        <v>1671</v>
      </c>
      <c r="C36" t="str">
        <f t="shared" si="0"/>
        <v>Jaylen Waddle</v>
      </c>
      <c r="D36" t="s">
        <v>71</v>
      </c>
    </row>
    <row r="37" spans="1:4">
      <c r="A37">
        <v>36</v>
      </c>
      <c r="B37" t="s">
        <v>1672</v>
      </c>
      <c r="C37" t="str">
        <f t="shared" si="0"/>
        <v>Amari Cooper</v>
      </c>
      <c r="D37" t="s">
        <v>302</v>
      </c>
    </row>
    <row r="38" spans="1:4">
      <c r="A38">
        <v>37</v>
      </c>
      <c r="B38" t="s">
        <v>1673</v>
      </c>
      <c r="C38" t="str">
        <f t="shared" si="0"/>
        <v>Malik Nabers</v>
      </c>
      <c r="D38" t="s">
        <v>15</v>
      </c>
    </row>
    <row r="39" spans="1:4">
      <c r="A39">
        <v>38</v>
      </c>
      <c r="B39" t="s">
        <v>1674</v>
      </c>
      <c r="C39" t="str">
        <f t="shared" si="0"/>
        <v>James Cook</v>
      </c>
      <c r="D39" t="s">
        <v>39</v>
      </c>
    </row>
    <row r="40" spans="1:4">
      <c r="A40">
        <v>39</v>
      </c>
      <c r="B40" t="s">
        <v>1675</v>
      </c>
      <c r="C40" t="str">
        <f t="shared" si="0"/>
        <v>George Pickens</v>
      </c>
      <c r="D40" t="s">
        <v>61</v>
      </c>
    </row>
    <row r="41" spans="1:4">
      <c r="A41">
        <v>40</v>
      </c>
      <c r="B41" t="s">
        <v>1676</v>
      </c>
      <c r="C41" t="str">
        <f t="shared" si="0"/>
        <v>DK Metcalf</v>
      </c>
      <c r="D41" t="s">
        <v>48</v>
      </c>
    </row>
    <row r="42" spans="1:4">
      <c r="A42">
        <v>41</v>
      </c>
      <c r="B42" t="s">
        <v>1677</v>
      </c>
      <c r="C42" t="str">
        <f t="shared" si="0"/>
        <v>Kenneth Walker III</v>
      </c>
      <c r="D42" t="s">
        <v>44</v>
      </c>
    </row>
    <row r="43" spans="1:4">
      <c r="A43">
        <v>42</v>
      </c>
      <c r="B43" t="s">
        <v>30</v>
      </c>
      <c r="C43" t="str">
        <f t="shared" si="0"/>
        <v>Josh Allen</v>
      </c>
      <c r="D43" t="s">
        <v>30</v>
      </c>
    </row>
    <row r="44" spans="1:4">
      <c r="A44">
        <v>43</v>
      </c>
      <c r="B44" t="s">
        <v>1678</v>
      </c>
      <c r="C44" t="str">
        <f t="shared" si="0"/>
        <v>DJ Moore</v>
      </c>
      <c r="D44" t="s">
        <v>54</v>
      </c>
    </row>
    <row r="45" spans="1:4">
      <c r="A45">
        <v>44</v>
      </c>
      <c r="B45" t="s">
        <v>1679</v>
      </c>
      <c r="C45" t="str">
        <f t="shared" si="0"/>
        <v>Calvin Ridley</v>
      </c>
      <c r="D45" t="s">
        <v>62</v>
      </c>
    </row>
    <row r="46" spans="1:4">
      <c r="A46">
        <v>45</v>
      </c>
      <c r="B46" t="s">
        <v>1680</v>
      </c>
      <c r="C46" t="str">
        <f t="shared" si="0"/>
        <v>Mark Andrews</v>
      </c>
      <c r="D46" t="s">
        <v>72</v>
      </c>
    </row>
    <row r="47" spans="1:4">
      <c r="A47">
        <v>46</v>
      </c>
      <c r="B47" t="s">
        <v>1681</v>
      </c>
      <c r="C47" t="str">
        <f t="shared" si="0"/>
        <v>Joe Mixon</v>
      </c>
      <c r="D47" t="s">
        <v>82</v>
      </c>
    </row>
    <row r="48" spans="1:4">
      <c r="A48">
        <v>47</v>
      </c>
      <c r="B48" t="s">
        <v>1682</v>
      </c>
      <c r="C48" t="str">
        <f t="shared" si="0"/>
        <v>Josh Jacobs</v>
      </c>
      <c r="D48" t="s">
        <v>24</v>
      </c>
    </row>
    <row r="49" spans="1:4">
      <c r="A49">
        <v>48</v>
      </c>
      <c r="B49" t="s">
        <v>1683</v>
      </c>
      <c r="C49" t="str">
        <f t="shared" si="0"/>
        <v>Christian Kirk</v>
      </c>
      <c r="D49" t="s">
        <v>151</v>
      </c>
    </row>
    <row r="50" spans="1:4">
      <c r="A50">
        <v>49</v>
      </c>
      <c r="B50" t="s">
        <v>1684</v>
      </c>
      <c r="C50" t="str">
        <f t="shared" si="0"/>
        <v>Stefon Diggs</v>
      </c>
      <c r="D50" t="s">
        <v>107</v>
      </c>
    </row>
    <row r="51" spans="1:4">
      <c r="A51">
        <v>50</v>
      </c>
      <c r="B51" t="s">
        <v>41</v>
      </c>
      <c r="C51" t="str">
        <f t="shared" si="0"/>
        <v>Jalen Hurts</v>
      </c>
      <c r="D51" t="s">
        <v>41</v>
      </c>
    </row>
    <row r="52" spans="1:4">
      <c r="A52">
        <v>51</v>
      </c>
      <c r="B52" t="s">
        <v>1685</v>
      </c>
      <c r="C52" t="str">
        <f t="shared" si="0"/>
        <v>James Conner</v>
      </c>
      <c r="D52" t="s">
        <v>52</v>
      </c>
    </row>
    <row r="53" spans="1:4">
      <c r="A53">
        <v>52</v>
      </c>
      <c r="B53" t="s">
        <v>1686</v>
      </c>
      <c r="C53" t="str">
        <f t="shared" si="0"/>
        <v>Tee Higgins</v>
      </c>
      <c r="D53" t="s">
        <v>32</v>
      </c>
    </row>
    <row r="54" spans="1:4">
      <c r="A54">
        <v>53</v>
      </c>
      <c r="B54" t="s">
        <v>1687</v>
      </c>
      <c r="C54" t="str">
        <f t="shared" si="0"/>
        <v>David Montgomery</v>
      </c>
      <c r="D54" t="s">
        <v>59</v>
      </c>
    </row>
    <row r="55" spans="1:4">
      <c r="A55">
        <v>54</v>
      </c>
      <c r="B55" t="s">
        <v>68</v>
      </c>
      <c r="C55" t="str">
        <f t="shared" si="0"/>
        <v>Patrick Mahomes II</v>
      </c>
      <c r="D55" t="s">
        <v>68</v>
      </c>
    </row>
    <row r="56" spans="1:4">
      <c r="A56">
        <v>55</v>
      </c>
      <c r="B56" t="s">
        <v>1688</v>
      </c>
      <c r="C56" t="str">
        <f t="shared" si="0"/>
        <v>Alvin Kamara</v>
      </c>
      <c r="D56" t="s">
        <v>53</v>
      </c>
    </row>
    <row r="57" spans="1:4">
      <c r="A57">
        <v>56</v>
      </c>
      <c r="B57" t="s">
        <v>1689</v>
      </c>
      <c r="C57" t="str">
        <f t="shared" si="0"/>
        <v>Tank Dell</v>
      </c>
      <c r="D57" t="s">
        <v>383</v>
      </c>
    </row>
    <row r="58" spans="1:4">
      <c r="A58">
        <v>57</v>
      </c>
      <c r="B58" t="s">
        <v>1690</v>
      </c>
      <c r="C58" t="str">
        <f t="shared" si="0"/>
        <v>Lamar Jackson</v>
      </c>
      <c r="D58" t="s">
        <v>31</v>
      </c>
    </row>
    <row r="59" spans="1:4">
      <c r="A59">
        <v>58</v>
      </c>
      <c r="B59" t="s">
        <v>1691</v>
      </c>
      <c r="C59" t="str">
        <f t="shared" si="0"/>
        <v>Diontae Johnson</v>
      </c>
      <c r="D59" t="s">
        <v>259</v>
      </c>
    </row>
    <row r="60" spans="1:4">
      <c r="A60">
        <v>59</v>
      </c>
      <c r="B60" t="s">
        <v>1692</v>
      </c>
      <c r="C60" t="str">
        <f t="shared" si="0"/>
        <v>Terry McLaurin</v>
      </c>
      <c r="D60" t="s">
        <v>1693</v>
      </c>
    </row>
    <row r="61" spans="1:4">
      <c r="A61">
        <v>60</v>
      </c>
      <c r="B61" t="s">
        <v>1694</v>
      </c>
      <c r="C61" t="str">
        <f t="shared" si="0"/>
        <v>Chris Godwin</v>
      </c>
      <c r="D61" t="s">
        <v>111</v>
      </c>
    </row>
    <row r="62" spans="1:4">
      <c r="A62">
        <v>61</v>
      </c>
      <c r="B62" t="s">
        <v>1695</v>
      </c>
      <c r="C62" t="str">
        <f t="shared" si="0"/>
        <v>Anthony Richardson</v>
      </c>
      <c r="D62" t="s">
        <v>234</v>
      </c>
    </row>
    <row r="63" spans="1:4">
      <c r="A63">
        <v>62</v>
      </c>
      <c r="B63" t="s">
        <v>1696</v>
      </c>
      <c r="C63" t="str">
        <f t="shared" si="0"/>
        <v>Raheem Mostert</v>
      </c>
      <c r="D63" t="s">
        <v>268</v>
      </c>
    </row>
    <row r="64" spans="1:4">
      <c r="A64">
        <v>63</v>
      </c>
      <c r="B64" t="s">
        <v>1697</v>
      </c>
      <c r="C64" t="str">
        <f t="shared" si="0"/>
        <v>Marquise Brown</v>
      </c>
      <c r="D64" t="s">
        <v>169</v>
      </c>
    </row>
    <row r="65" spans="1:4">
      <c r="A65">
        <v>64</v>
      </c>
      <c r="B65" t="s">
        <v>1698</v>
      </c>
      <c r="C65" t="str">
        <f t="shared" si="0"/>
        <v>Zay Flowers</v>
      </c>
      <c r="D65" t="s">
        <v>58</v>
      </c>
    </row>
    <row r="66" spans="1:4">
      <c r="A66">
        <v>65</v>
      </c>
      <c r="B66" t="s">
        <v>1699</v>
      </c>
      <c r="C66" t="str">
        <f t="shared" si="0"/>
        <v>Keenan Allen</v>
      </c>
      <c r="D66" t="s">
        <v>187</v>
      </c>
    </row>
    <row r="67" spans="1:4">
      <c r="A67">
        <v>66</v>
      </c>
      <c r="B67" t="s">
        <v>1700</v>
      </c>
      <c r="C67" t="str">
        <f t="shared" ref="C67:C130" si="1">TRIM(B67)</f>
        <v>Kyler Murray</v>
      </c>
      <c r="D67" t="s">
        <v>84</v>
      </c>
    </row>
    <row r="68" spans="1:4">
      <c r="A68">
        <v>67</v>
      </c>
      <c r="B68" t="s">
        <v>1701</v>
      </c>
      <c r="C68" t="str">
        <f t="shared" si="1"/>
        <v>Dalton Kincaid</v>
      </c>
      <c r="D68" t="s">
        <v>125</v>
      </c>
    </row>
    <row r="69" spans="1:4">
      <c r="A69">
        <v>68</v>
      </c>
      <c r="B69" t="s">
        <v>1702</v>
      </c>
      <c r="C69" t="str">
        <f t="shared" si="1"/>
        <v>Kyle Pitts</v>
      </c>
      <c r="D69" t="s">
        <v>136</v>
      </c>
    </row>
    <row r="70" spans="1:4">
      <c r="A70">
        <v>69</v>
      </c>
      <c r="B70" t="s">
        <v>1703</v>
      </c>
      <c r="C70" t="str">
        <f t="shared" si="1"/>
        <v>C.J. Stroud</v>
      </c>
      <c r="D70" t="s">
        <v>124</v>
      </c>
    </row>
    <row r="71" spans="1:4">
      <c r="A71">
        <v>70</v>
      </c>
      <c r="B71" t="s">
        <v>1704</v>
      </c>
      <c r="C71" t="str">
        <f t="shared" si="1"/>
        <v>Jonathon Brooks</v>
      </c>
      <c r="D71" t="s">
        <v>434</v>
      </c>
    </row>
    <row r="72" spans="1:4">
      <c r="A72">
        <v>71</v>
      </c>
      <c r="B72" t="s">
        <v>1705</v>
      </c>
      <c r="C72" t="str">
        <f t="shared" si="1"/>
        <v>Rashee Rice</v>
      </c>
      <c r="D72" t="s">
        <v>76</v>
      </c>
    </row>
    <row r="73" spans="1:4">
      <c r="A73">
        <v>72</v>
      </c>
      <c r="B73" t="s">
        <v>1706</v>
      </c>
      <c r="C73" t="str">
        <f t="shared" si="1"/>
        <v>Zamir White</v>
      </c>
      <c r="D73" t="s">
        <v>338</v>
      </c>
    </row>
    <row r="74" spans="1:4">
      <c r="A74">
        <v>73</v>
      </c>
      <c r="B74" t="s">
        <v>1707</v>
      </c>
      <c r="C74" t="str">
        <f t="shared" si="1"/>
        <v>Jayden Reed</v>
      </c>
      <c r="D74" t="s">
        <v>98</v>
      </c>
    </row>
    <row r="75" spans="1:4">
      <c r="A75">
        <v>74</v>
      </c>
      <c r="B75" t="s">
        <v>1708</v>
      </c>
      <c r="C75" t="str">
        <f t="shared" si="1"/>
        <v>Rhamondre Stevenson</v>
      </c>
      <c r="D75" t="s">
        <v>109</v>
      </c>
    </row>
    <row r="76" spans="1:4">
      <c r="A76">
        <v>75</v>
      </c>
      <c r="B76" t="s">
        <v>1709</v>
      </c>
      <c r="C76" t="str">
        <f t="shared" si="1"/>
        <v>D'Andre Swift</v>
      </c>
      <c r="D76" t="s">
        <v>63</v>
      </c>
    </row>
    <row r="77" spans="1:4">
      <c r="A77">
        <v>76</v>
      </c>
      <c r="B77" t="s">
        <v>1710</v>
      </c>
      <c r="C77" t="str">
        <f t="shared" si="1"/>
        <v>Joe Burrow</v>
      </c>
      <c r="D77" t="s">
        <v>50</v>
      </c>
    </row>
    <row r="78" spans="1:4">
      <c r="A78">
        <v>77</v>
      </c>
      <c r="B78" t="s">
        <v>1711</v>
      </c>
      <c r="C78" t="str">
        <f t="shared" si="1"/>
        <v>Aaron Jones</v>
      </c>
      <c r="D78" t="s">
        <v>74</v>
      </c>
    </row>
    <row r="79" spans="1:4">
      <c r="A79">
        <v>78</v>
      </c>
      <c r="B79" t="s">
        <v>1712</v>
      </c>
      <c r="C79" t="str">
        <f t="shared" si="1"/>
        <v>George Kittle</v>
      </c>
      <c r="D79" t="s">
        <v>26</v>
      </c>
    </row>
    <row r="80" spans="1:4">
      <c r="A80">
        <v>79</v>
      </c>
      <c r="B80" t="s">
        <v>1713</v>
      </c>
      <c r="C80" t="str">
        <f t="shared" si="1"/>
        <v>Jaylen Warren</v>
      </c>
      <c r="D80" t="s">
        <v>95</v>
      </c>
    </row>
    <row r="81" spans="1:5">
      <c r="A81">
        <v>80</v>
      </c>
      <c r="B81" t="s">
        <v>1714</v>
      </c>
      <c r="C81" t="str">
        <f t="shared" si="1"/>
        <v>Najee Harris</v>
      </c>
      <c r="D81" t="s">
        <v>120</v>
      </c>
    </row>
    <row r="82" spans="1:5">
      <c r="A82">
        <v>81</v>
      </c>
      <c r="B82" t="s">
        <v>1715</v>
      </c>
      <c r="C82" t="str">
        <f t="shared" si="1"/>
        <v>Austin Ekeler</v>
      </c>
      <c r="D82" t="s">
        <v>149</v>
      </c>
    </row>
    <row r="83" spans="1:5">
      <c r="A83">
        <v>82</v>
      </c>
      <c r="B83" t="s">
        <v>1716</v>
      </c>
      <c r="C83" t="str">
        <f t="shared" si="1"/>
        <v>Tony Pollard</v>
      </c>
      <c r="D83" t="s">
        <v>67</v>
      </c>
    </row>
    <row r="84" spans="1:5">
      <c r="A84">
        <v>83</v>
      </c>
      <c r="B84" t="s">
        <v>1717</v>
      </c>
      <c r="C84" t="str">
        <f t="shared" si="1"/>
        <v>Tyjae Spears</v>
      </c>
      <c r="D84" t="s">
        <v>132</v>
      </c>
    </row>
    <row r="85" spans="1:5">
      <c r="A85">
        <v>84</v>
      </c>
      <c r="B85" t="s">
        <v>1718</v>
      </c>
      <c r="C85" t="str">
        <f t="shared" si="1"/>
        <v>Keon Coleman</v>
      </c>
      <c r="D85" t="s">
        <v>131</v>
      </c>
    </row>
    <row r="86" spans="1:5">
      <c r="A86">
        <v>85</v>
      </c>
      <c r="B86" t="s">
        <v>1719</v>
      </c>
      <c r="C86" t="str">
        <f t="shared" si="1"/>
        <v>Ladd McConkey</v>
      </c>
      <c r="D86" t="s">
        <v>27</v>
      </c>
    </row>
    <row r="87" spans="1:5">
      <c r="A87">
        <v>86</v>
      </c>
      <c r="B87" t="s">
        <v>1720</v>
      </c>
      <c r="C87" t="str">
        <f t="shared" si="1"/>
        <v>Javonte Williams</v>
      </c>
      <c r="D87" t="s">
        <v>113</v>
      </c>
    </row>
    <row r="88" spans="1:5">
      <c r="A88">
        <v>87</v>
      </c>
      <c r="B88" t="s">
        <v>38</v>
      </c>
      <c r="C88" t="str">
        <f t="shared" si="1"/>
        <v>Jaxon Smith-Njigba</v>
      </c>
      <c r="D88" t="s">
        <v>38</v>
      </c>
      <c r="E88" t="s">
        <v>1721</v>
      </c>
    </row>
    <row r="89" spans="1:5">
      <c r="A89">
        <v>88</v>
      </c>
      <c r="B89" t="s">
        <v>1722</v>
      </c>
      <c r="C89" t="str">
        <f t="shared" si="1"/>
        <v>Rome Odunze</v>
      </c>
      <c r="D89" t="s">
        <v>85</v>
      </c>
    </row>
    <row r="90" spans="1:5">
      <c r="A90">
        <v>89</v>
      </c>
      <c r="B90" t="s">
        <v>1723</v>
      </c>
      <c r="C90" t="str">
        <f t="shared" si="1"/>
        <v>Xavier Worthy</v>
      </c>
      <c r="D90" t="s">
        <v>56</v>
      </c>
    </row>
    <row r="91" spans="1:5">
      <c r="A91">
        <v>90</v>
      </c>
      <c r="B91" t="s">
        <v>1724</v>
      </c>
      <c r="C91" t="str">
        <f t="shared" si="1"/>
        <v>Dak Prescott</v>
      </c>
      <c r="D91" t="s">
        <v>88</v>
      </c>
    </row>
    <row r="92" spans="1:5">
      <c r="A92">
        <v>91</v>
      </c>
      <c r="B92" t="s">
        <v>1725</v>
      </c>
      <c r="C92" t="str">
        <f t="shared" si="1"/>
        <v>Jake Ferguson</v>
      </c>
      <c r="D92" t="s">
        <v>144</v>
      </c>
    </row>
    <row r="93" spans="1:5">
      <c r="A93">
        <v>92</v>
      </c>
      <c r="B93" t="s">
        <v>1726</v>
      </c>
      <c r="C93" t="str">
        <f t="shared" si="1"/>
        <v>Evan Engram</v>
      </c>
      <c r="D93" t="s">
        <v>108</v>
      </c>
    </row>
    <row r="94" spans="1:5">
      <c r="A94">
        <v>93</v>
      </c>
      <c r="B94" t="s">
        <v>1727</v>
      </c>
      <c r="C94" t="str">
        <f t="shared" si="1"/>
        <v>Devin Singletary</v>
      </c>
      <c r="D94" t="s">
        <v>281</v>
      </c>
    </row>
    <row r="95" spans="1:5">
      <c r="A95">
        <v>94</v>
      </c>
      <c r="B95" t="s">
        <v>1728</v>
      </c>
      <c r="C95" t="str">
        <f t="shared" si="1"/>
        <v>Gus Edwards</v>
      </c>
      <c r="D95" t="s">
        <v>360</v>
      </c>
    </row>
    <row r="96" spans="1:5">
      <c r="A96">
        <v>95</v>
      </c>
      <c r="B96" t="s">
        <v>1729</v>
      </c>
      <c r="C96" t="str">
        <f t="shared" si="1"/>
        <v>Ezekiel Elliott</v>
      </c>
      <c r="D96" t="s">
        <v>1624</v>
      </c>
    </row>
    <row r="97" spans="1:4">
      <c r="A97">
        <v>96</v>
      </c>
      <c r="B97" t="s">
        <v>78</v>
      </c>
      <c r="C97" t="str">
        <f t="shared" si="1"/>
        <v>Brian Robinson Jr.</v>
      </c>
      <c r="D97" t="s">
        <v>78</v>
      </c>
    </row>
    <row r="98" spans="1:4">
      <c r="A98">
        <v>97</v>
      </c>
      <c r="B98" t="s">
        <v>1730</v>
      </c>
      <c r="C98" t="str">
        <f t="shared" si="1"/>
        <v>Khalil Shakir</v>
      </c>
      <c r="D98" t="s">
        <v>117</v>
      </c>
    </row>
    <row r="99" spans="1:4">
      <c r="A99">
        <v>98</v>
      </c>
      <c r="B99" t="s">
        <v>1731</v>
      </c>
      <c r="C99" t="str">
        <f t="shared" si="1"/>
        <v>Jordan Addison</v>
      </c>
      <c r="D99" t="s">
        <v>89</v>
      </c>
    </row>
    <row r="100" spans="1:4">
      <c r="A100">
        <v>99</v>
      </c>
      <c r="B100" t="s">
        <v>1732</v>
      </c>
      <c r="C100" t="str">
        <f t="shared" si="1"/>
        <v>Jameson Williams</v>
      </c>
      <c r="D100" t="s">
        <v>51</v>
      </c>
    </row>
    <row r="101" spans="1:4">
      <c r="A101">
        <v>100</v>
      </c>
      <c r="B101" t="s">
        <v>1733</v>
      </c>
      <c r="C101" t="str">
        <f t="shared" si="1"/>
        <v>David Njoku</v>
      </c>
      <c r="D101" t="s">
        <v>101</v>
      </c>
    </row>
    <row r="102" spans="1:4">
      <c r="A102">
        <v>101</v>
      </c>
      <c r="B102" t="s">
        <v>1734</v>
      </c>
      <c r="C102" t="str">
        <f t="shared" si="1"/>
        <v>Jordan Love</v>
      </c>
      <c r="D102" t="s">
        <v>118</v>
      </c>
    </row>
    <row r="103" spans="1:4">
      <c r="A103">
        <v>102</v>
      </c>
      <c r="B103" t="s">
        <v>1735</v>
      </c>
      <c r="C103" t="str">
        <f t="shared" si="1"/>
        <v>Jayden Daniels</v>
      </c>
      <c r="D103" t="s">
        <v>37</v>
      </c>
    </row>
    <row r="104" spans="1:4">
      <c r="A104">
        <v>103</v>
      </c>
      <c r="B104" t="s">
        <v>1736</v>
      </c>
      <c r="C104" t="str">
        <f t="shared" si="1"/>
        <v>Dallas Goedert</v>
      </c>
      <c r="D104" t="s">
        <v>128</v>
      </c>
    </row>
    <row r="105" spans="1:4">
      <c r="A105">
        <v>104</v>
      </c>
      <c r="B105" t="s">
        <v>1737</v>
      </c>
      <c r="C105" t="str">
        <f t="shared" si="1"/>
        <v>DeAndre Hopkins</v>
      </c>
      <c r="D105" t="s">
        <v>188</v>
      </c>
    </row>
    <row r="106" spans="1:4">
      <c r="A106">
        <v>105</v>
      </c>
      <c r="B106" t="s">
        <v>1738</v>
      </c>
      <c r="C106" t="str">
        <f t="shared" si="1"/>
        <v>Zack Moss</v>
      </c>
      <c r="D106" t="s">
        <v>333</v>
      </c>
    </row>
    <row r="107" spans="1:4">
      <c r="A107">
        <v>106</v>
      </c>
      <c r="B107" t="s">
        <v>1739</v>
      </c>
      <c r="C107" t="str">
        <f t="shared" si="1"/>
        <v>Chase Brown</v>
      </c>
      <c r="D107" t="s">
        <v>33</v>
      </c>
    </row>
    <row r="108" spans="1:4">
      <c r="A108">
        <v>107</v>
      </c>
      <c r="B108" t="s">
        <v>1740</v>
      </c>
      <c r="C108" t="str">
        <f t="shared" si="1"/>
        <v>Brian Thomas Jr.</v>
      </c>
      <c r="D108" t="s">
        <v>16</v>
      </c>
    </row>
    <row r="109" spans="1:4">
      <c r="A109">
        <v>108</v>
      </c>
      <c r="B109" t="s">
        <v>1741</v>
      </c>
      <c r="C109" t="str">
        <f t="shared" si="1"/>
        <v>Curtis Samuel</v>
      </c>
      <c r="D109" t="s">
        <v>370</v>
      </c>
    </row>
    <row r="110" spans="1:4">
      <c r="A110">
        <v>109</v>
      </c>
      <c r="B110" t="s">
        <v>1742</v>
      </c>
      <c r="C110" t="str">
        <f t="shared" si="1"/>
        <v>Tyler Lockett</v>
      </c>
      <c r="D110" t="s">
        <v>252</v>
      </c>
    </row>
    <row r="111" spans="1:4">
      <c r="A111">
        <v>110</v>
      </c>
      <c r="B111" t="s">
        <v>1743</v>
      </c>
      <c r="C111" t="str">
        <f t="shared" si="1"/>
        <v>Brock Purdy</v>
      </c>
      <c r="D111" t="s">
        <v>96</v>
      </c>
    </row>
    <row r="112" spans="1:4">
      <c r="A112">
        <v>111</v>
      </c>
      <c r="B112" t="s">
        <v>1744</v>
      </c>
      <c r="C112" t="str">
        <f t="shared" si="1"/>
        <v>Christian Watson</v>
      </c>
      <c r="D112" t="s">
        <v>309</v>
      </c>
    </row>
    <row r="113" spans="1:4">
      <c r="A113">
        <v>112</v>
      </c>
      <c r="B113" t="s">
        <v>1745</v>
      </c>
      <c r="C113" t="str">
        <f t="shared" si="1"/>
        <v>Courtland Sutton</v>
      </c>
      <c r="D113" t="s">
        <v>55</v>
      </c>
    </row>
    <row r="114" spans="1:4">
      <c r="A114">
        <v>113</v>
      </c>
      <c r="B114" t="s">
        <v>1746</v>
      </c>
      <c r="C114" t="str">
        <f t="shared" si="1"/>
        <v>Jared Goff</v>
      </c>
      <c r="D114" t="s">
        <v>105</v>
      </c>
    </row>
    <row r="115" spans="1:4">
      <c r="A115">
        <v>114</v>
      </c>
      <c r="B115" t="s">
        <v>1747</v>
      </c>
      <c r="C115" t="str">
        <f t="shared" si="1"/>
        <v>Matthew Stafford</v>
      </c>
      <c r="D115" t="s">
        <v>162</v>
      </c>
    </row>
    <row r="116" spans="1:4">
      <c r="A116">
        <v>115</v>
      </c>
      <c r="B116" t="s">
        <v>1748</v>
      </c>
      <c r="C116" t="str">
        <f t="shared" si="1"/>
        <v>Justin Herbert</v>
      </c>
      <c r="D116" t="s">
        <v>102</v>
      </c>
    </row>
    <row r="117" spans="1:4">
      <c r="A117">
        <v>116</v>
      </c>
      <c r="B117" t="s">
        <v>1749</v>
      </c>
      <c r="C117" t="str">
        <f t="shared" si="1"/>
        <v>T.J. Hockenson</v>
      </c>
      <c r="D117" t="s">
        <v>81</v>
      </c>
    </row>
    <row r="118" spans="1:4">
      <c r="A118">
        <v>117</v>
      </c>
      <c r="B118" t="s">
        <v>1750</v>
      </c>
      <c r="C118" t="str">
        <f t="shared" si="1"/>
        <v>Blake Corum</v>
      </c>
      <c r="D118" t="s">
        <v>183</v>
      </c>
    </row>
    <row r="119" spans="1:4">
      <c r="A119">
        <v>118</v>
      </c>
      <c r="B119" t="s">
        <v>1751</v>
      </c>
      <c r="C119" t="str">
        <f t="shared" si="1"/>
        <v>Pat Freiermuth</v>
      </c>
      <c r="D119" t="s">
        <v>209</v>
      </c>
    </row>
    <row r="120" spans="1:4">
      <c r="A120">
        <v>119</v>
      </c>
      <c r="B120" t="s">
        <v>1752</v>
      </c>
      <c r="C120" t="str">
        <f t="shared" si="1"/>
        <v>Jahan Dotson</v>
      </c>
      <c r="D120" t="s">
        <v>398</v>
      </c>
    </row>
    <row r="121" spans="1:4">
      <c r="A121">
        <v>120</v>
      </c>
      <c r="B121" t="s">
        <v>1753</v>
      </c>
      <c r="C121" t="str">
        <f t="shared" si="1"/>
        <v>Mike Williams</v>
      </c>
      <c r="D121" t="s">
        <v>1754</v>
      </c>
    </row>
    <row r="122" spans="1:4">
      <c r="A122">
        <v>121</v>
      </c>
      <c r="B122" t="s">
        <v>1755</v>
      </c>
      <c r="C122" t="str">
        <f t="shared" si="1"/>
        <v>Jermaine Burton</v>
      </c>
      <c r="D122" t="s">
        <v>321</v>
      </c>
    </row>
    <row r="123" spans="1:4">
      <c r="A123">
        <v>122</v>
      </c>
      <c r="B123" t="s">
        <v>1756</v>
      </c>
      <c r="C123" t="str">
        <f t="shared" si="1"/>
        <v>Malachi Corley</v>
      </c>
      <c r="D123" t="s">
        <v>428</v>
      </c>
    </row>
    <row r="124" spans="1:4">
      <c r="A124">
        <v>123</v>
      </c>
      <c r="B124" t="s">
        <v>1757</v>
      </c>
      <c r="C124" t="str">
        <f t="shared" si="1"/>
        <v>Romeo Doubs</v>
      </c>
      <c r="D124" t="s">
        <v>165</v>
      </c>
    </row>
    <row r="125" spans="1:4">
      <c r="A125">
        <v>124</v>
      </c>
      <c r="B125" t="s">
        <v>1758</v>
      </c>
      <c r="C125" t="str">
        <f t="shared" si="1"/>
        <v>Caleb Williams</v>
      </c>
      <c r="D125" t="s">
        <v>104</v>
      </c>
    </row>
    <row r="126" spans="1:4">
      <c r="A126">
        <v>125</v>
      </c>
      <c r="B126" t="s">
        <v>1759</v>
      </c>
      <c r="C126" t="str">
        <f t="shared" si="1"/>
        <v>Trevor Lawrence</v>
      </c>
      <c r="D126" t="s">
        <v>123</v>
      </c>
    </row>
    <row r="127" spans="1:4">
      <c r="A127">
        <v>126</v>
      </c>
      <c r="B127" t="s">
        <v>1760</v>
      </c>
      <c r="C127" t="str">
        <f t="shared" si="1"/>
        <v>Nick Chubb</v>
      </c>
      <c r="D127" t="s">
        <v>153</v>
      </c>
    </row>
    <row r="128" spans="1:4">
      <c r="A128">
        <v>127</v>
      </c>
      <c r="B128" t="s">
        <v>1761</v>
      </c>
      <c r="C128" t="str">
        <f t="shared" si="1"/>
        <v>Brock Bowers</v>
      </c>
      <c r="D128" t="s">
        <v>25</v>
      </c>
    </row>
    <row r="129" spans="1:4">
      <c r="A129">
        <v>128</v>
      </c>
      <c r="B129" t="s">
        <v>1762</v>
      </c>
      <c r="C129" t="str">
        <f t="shared" si="1"/>
        <v>Chuba Hubbard</v>
      </c>
      <c r="D129" t="s">
        <v>49</v>
      </c>
    </row>
    <row r="130" spans="1:4">
      <c r="A130">
        <v>129</v>
      </c>
      <c r="B130" t="s">
        <v>1763</v>
      </c>
      <c r="C130" t="str">
        <f t="shared" si="1"/>
        <v>Adonai Mitchell</v>
      </c>
      <c r="D130" t="s">
        <v>230</v>
      </c>
    </row>
    <row r="131" spans="1:4">
      <c r="A131">
        <v>130</v>
      </c>
      <c r="B131" t="s">
        <v>1764</v>
      </c>
      <c r="C131" t="str">
        <f t="shared" ref="C131:C194" si="2">TRIM(B131)</f>
        <v>Dontayvion Wicks</v>
      </c>
      <c r="D131" t="s">
        <v>238</v>
      </c>
    </row>
    <row r="132" spans="1:4">
      <c r="A132">
        <v>131</v>
      </c>
      <c r="B132" t="s">
        <v>1765</v>
      </c>
      <c r="C132" t="str">
        <f t="shared" si="2"/>
        <v>Jerry Jeudy</v>
      </c>
      <c r="D132" t="s">
        <v>87</v>
      </c>
    </row>
    <row r="133" spans="1:4">
      <c r="A133">
        <v>132</v>
      </c>
      <c r="B133" t="s">
        <v>1766</v>
      </c>
      <c r="C133" t="str">
        <f t="shared" si="2"/>
        <v>Brandin Cooks</v>
      </c>
      <c r="D133" t="s">
        <v>278</v>
      </c>
    </row>
    <row r="134" spans="1:4">
      <c r="A134">
        <v>133</v>
      </c>
      <c r="B134" t="s">
        <v>1767</v>
      </c>
      <c r="C134" t="str">
        <f t="shared" si="2"/>
        <v>Zach Charbonnet</v>
      </c>
      <c r="D134" t="s">
        <v>114</v>
      </c>
    </row>
    <row r="135" spans="1:4">
      <c r="A135">
        <v>134</v>
      </c>
      <c r="B135" t="s">
        <v>1768</v>
      </c>
      <c r="C135" t="str">
        <f t="shared" si="2"/>
        <v>Dalton Schultz</v>
      </c>
      <c r="D135" t="s">
        <v>242</v>
      </c>
    </row>
    <row r="136" spans="1:4">
      <c r="A136">
        <v>135</v>
      </c>
      <c r="B136" t="s">
        <v>1769</v>
      </c>
      <c r="C136" t="str">
        <f t="shared" si="2"/>
        <v>Quentin Johnston</v>
      </c>
      <c r="D136" t="s">
        <v>176</v>
      </c>
    </row>
    <row r="137" spans="1:4">
      <c r="A137">
        <v>136</v>
      </c>
      <c r="B137" t="s">
        <v>1770</v>
      </c>
      <c r="C137" t="str">
        <f t="shared" si="2"/>
        <v>Ricky Pearsall</v>
      </c>
      <c r="D137" t="s">
        <v>90</v>
      </c>
    </row>
    <row r="138" spans="1:4">
      <c r="A138">
        <v>137</v>
      </c>
      <c r="B138" t="s">
        <v>1771</v>
      </c>
      <c r="C138" t="str">
        <f t="shared" si="2"/>
        <v>Tua Tagovailoa</v>
      </c>
      <c r="D138" t="s">
        <v>143</v>
      </c>
    </row>
    <row r="139" spans="1:4">
      <c r="A139">
        <v>138</v>
      </c>
      <c r="B139" t="s">
        <v>1772</v>
      </c>
      <c r="C139" t="str">
        <f t="shared" si="2"/>
        <v>Deshaun Watson</v>
      </c>
      <c r="D139" t="s">
        <v>438</v>
      </c>
    </row>
    <row r="140" spans="1:4">
      <c r="A140">
        <v>139</v>
      </c>
      <c r="B140" t="s">
        <v>1773</v>
      </c>
      <c r="C140" t="str">
        <f t="shared" si="2"/>
        <v>Aaron Rodgers</v>
      </c>
      <c r="D140" t="s">
        <v>223</v>
      </c>
    </row>
    <row r="141" spans="1:4">
      <c r="A141">
        <v>140</v>
      </c>
      <c r="B141" t="s">
        <v>1774</v>
      </c>
      <c r="C141" t="str">
        <f t="shared" si="2"/>
        <v>Michael Wilson</v>
      </c>
      <c r="D141" t="s">
        <v>222</v>
      </c>
    </row>
    <row r="142" spans="1:4">
      <c r="A142">
        <v>141</v>
      </c>
      <c r="B142" t="s">
        <v>1775</v>
      </c>
      <c r="C142" t="str">
        <f t="shared" si="2"/>
        <v>Greg Dortch</v>
      </c>
      <c r="D142" t="s">
        <v>388</v>
      </c>
    </row>
    <row r="143" spans="1:4">
      <c r="A143">
        <v>142</v>
      </c>
      <c r="B143" t="s">
        <v>1776</v>
      </c>
      <c r="C143" t="str">
        <f t="shared" si="2"/>
        <v>Marvin Mims Jr.</v>
      </c>
      <c r="D143" t="s">
        <v>154</v>
      </c>
    </row>
    <row r="144" spans="1:4">
      <c r="A144">
        <v>143</v>
      </c>
      <c r="B144" t="s">
        <v>1777</v>
      </c>
      <c r="C144" t="str">
        <f t="shared" si="2"/>
        <v>Baker Mayfield</v>
      </c>
      <c r="D144" t="s">
        <v>77</v>
      </c>
    </row>
    <row r="145" spans="1:4">
      <c r="A145">
        <v>144</v>
      </c>
      <c r="B145" t="s">
        <v>1778</v>
      </c>
      <c r="C145" t="str">
        <f t="shared" si="2"/>
        <v>Cole Kmet</v>
      </c>
      <c r="D145" t="s">
        <v>260</v>
      </c>
    </row>
    <row r="146" spans="1:4">
      <c r="A146">
        <v>145</v>
      </c>
      <c r="B146" t="s">
        <v>1779</v>
      </c>
      <c r="C146" t="str">
        <f t="shared" si="2"/>
        <v>Demario Douglas</v>
      </c>
      <c r="D146" t="s">
        <v>1780</v>
      </c>
    </row>
    <row r="147" spans="1:4">
      <c r="A147">
        <v>146</v>
      </c>
      <c r="B147" t="s">
        <v>1781</v>
      </c>
      <c r="C147" t="str">
        <f t="shared" si="2"/>
        <v>Kirk Cousins</v>
      </c>
      <c r="D147" t="s">
        <v>373</v>
      </c>
    </row>
    <row r="148" spans="1:4">
      <c r="A148">
        <v>147</v>
      </c>
      <c r="B148" t="s">
        <v>184</v>
      </c>
      <c r="C148" t="str">
        <f t="shared" si="2"/>
        <v>Joshua Palmer</v>
      </c>
      <c r="D148" t="s">
        <v>184</v>
      </c>
    </row>
    <row r="149" spans="1:4">
      <c r="A149">
        <v>148</v>
      </c>
      <c r="B149" t="s">
        <v>1782</v>
      </c>
      <c r="C149" t="str">
        <f t="shared" si="2"/>
        <v>Russell Wilson</v>
      </c>
      <c r="D149" t="s">
        <v>262</v>
      </c>
    </row>
    <row r="150" spans="1:4">
      <c r="A150">
        <v>149</v>
      </c>
      <c r="B150" t="s">
        <v>1783</v>
      </c>
      <c r="C150" t="str">
        <f t="shared" si="2"/>
        <v>Gabe Davis</v>
      </c>
      <c r="D150" t="s">
        <v>332</v>
      </c>
    </row>
    <row r="151" spans="1:4">
      <c r="A151">
        <v>150</v>
      </c>
      <c r="B151" t="s">
        <v>1784</v>
      </c>
      <c r="C151" t="str">
        <f t="shared" si="2"/>
        <v>Geno Smith</v>
      </c>
      <c r="D151" t="s">
        <v>172</v>
      </c>
    </row>
    <row r="152" spans="1:4">
      <c r="A152">
        <v>151</v>
      </c>
      <c r="B152" t="s">
        <v>1785</v>
      </c>
      <c r="C152" t="str">
        <f t="shared" si="2"/>
        <v>Will Levis</v>
      </c>
      <c r="D152" t="s">
        <v>1786</v>
      </c>
    </row>
    <row r="153" spans="1:4">
      <c r="A153">
        <v>152</v>
      </c>
      <c r="B153" t="s">
        <v>1787</v>
      </c>
      <c r="C153" t="str">
        <f t="shared" si="2"/>
        <v>J.J. McCarthy</v>
      </c>
      <c r="D153" t="s">
        <v>133</v>
      </c>
    </row>
    <row r="154" spans="1:4">
      <c r="A154">
        <v>153</v>
      </c>
      <c r="B154" t="s">
        <v>1788</v>
      </c>
      <c r="C154" t="str">
        <f t="shared" si="2"/>
        <v>Roman Wilson</v>
      </c>
      <c r="D154" t="s">
        <v>265</v>
      </c>
    </row>
    <row r="155" spans="1:4">
      <c r="A155">
        <v>154</v>
      </c>
      <c r="B155" t="s">
        <v>190</v>
      </c>
      <c r="C155" t="str">
        <f t="shared" si="2"/>
        <v>Xavier Legette</v>
      </c>
      <c r="D155" t="s">
        <v>190</v>
      </c>
    </row>
    <row r="156" spans="1:4">
      <c r="A156">
        <v>155</v>
      </c>
      <c r="B156" t="s">
        <v>1789</v>
      </c>
      <c r="C156" t="str">
        <f t="shared" si="2"/>
        <v>Josh Downs</v>
      </c>
      <c r="D156" t="s">
        <v>122</v>
      </c>
    </row>
    <row r="157" spans="1:4">
      <c r="A157">
        <v>156</v>
      </c>
      <c r="B157" t="s">
        <v>1790</v>
      </c>
      <c r="C157" t="str">
        <f t="shared" si="2"/>
        <v>Drake Maye</v>
      </c>
      <c r="D157" t="s">
        <v>110</v>
      </c>
    </row>
    <row r="158" spans="1:4">
      <c r="A158">
        <v>157</v>
      </c>
      <c r="B158" t="s">
        <v>1791</v>
      </c>
      <c r="C158" t="str">
        <f t="shared" si="2"/>
        <v>Derek Carr</v>
      </c>
      <c r="D158" t="s">
        <v>1792</v>
      </c>
    </row>
    <row r="159" spans="1:4">
      <c r="A159">
        <v>158</v>
      </c>
      <c r="B159" t="s">
        <v>1793</v>
      </c>
      <c r="C159" t="str">
        <f t="shared" si="2"/>
        <v>Ja'Lynn Polk</v>
      </c>
      <c r="D159" t="s">
        <v>424</v>
      </c>
    </row>
    <row r="160" spans="1:4">
      <c r="A160">
        <v>159</v>
      </c>
      <c r="B160" t="s">
        <v>1794</v>
      </c>
      <c r="C160" t="str">
        <f t="shared" si="2"/>
        <v>Rashod Bateman</v>
      </c>
      <c r="D160" t="s">
        <v>146</v>
      </c>
    </row>
    <row r="161" spans="1:4">
      <c r="A161">
        <v>160</v>
      </c>
      <c r="B161" t="s">
        <v>1795</v>
      </c>
      <c r="C161" t="str">
        <f t="shared" si="2"/>
        <v>Daniel Jones</v>
      </c>
      <c r="D161" t="s">
        <v>290</v>
      </c>
    </row>
    <row r="162" spans="1:4">
      <c r="A162">
        <v>161</v>
      </c>
      <c r="B162" t="s">
        <v>1796</v>
      </c>
      <c r="C162" t="str">
        <f t="shared" si="2"/>
        <v>Dustin Hopkins</v>
      </c>
      <c r="D162" t="s">
        <v>1796</v>
      </c>
    </row>
    <row r="163" spans="1:4">
      <c r="A163">
        <v>162</v>
      </c>
      <c r="B163" t="s">
        <v>1797</v>
      </c>
      <c r="C163" t="str">
        <f t="shared" si="2"/>
        <v>Bryce Young</v>
      </c>
      <c r="D163" t="s">
        <v>150</v>
      </c>
    </row>
    <row r="164" spans="1:4">
      <c r="A164">
        <v>163</v>
      </c>
      <c r="B164" t="s">
        <v>1798</v>
      </c>
      <c r="C164" t="str">
        <f t="shared" si="2"/>
        <v>Bo Nix</v>
      </c>
      <c r="D164" t="s">
        <v>80</v>
      </c>
    </row>
    <row r="165" spans="1:4">
      <c r="A165">
        <v>164</v>
      </c>
      <c r="B165" t="s">
        <v>350</v>
      </c>
      <c r="C165" t="str">
        <f t="shared" si="2"/>
        <v>Justin Tucker</v>
      </c>
      <c r="D165" t="s">
        <v>350</v>
      </c>
    </row>
    <row r="166" spans="1:4">
      <c r="A166">
        <v>165</v>
      </c>
      <c r="B166" t="s">
        <v>1799</v>
      </c>
      <c r="C166" t="str">
        <f t="shared" si="2"/>
        <v>Jakobi Meyers</v>
      </c>
      <c r="D166" t="s">
        <v>103</v>
      </c>
    </row>
    <row r="167" spans="1:4">
      <c r="A167">
        <v>166</v>
      </c>
      <c r="B167" t="s">
        <v>225</v>
      </c>
      <c r="C167" t="str">
        <f t="shared" si="2"/>
        <v>Harrison Butker</v>
      </c>
      <c r="D167" t="s">
        <v>225</v>
      </c>
    </row>
    <row r="168" spans="1:4">
      <c r="A168">
        <v>167</v>
      </c>
      <c r="B168" t="s">
        <v>465</v>
      </c>
      <c r="C168" t="str">
        <f t="shared" si="2"/>
        <v>Gardner Minshew II</v>
      </c>
      <c r="D168" t="s">
        <v>465</v>
      </c>
    </row>
    <row r="169" spans="1:4">
      <c r="A169">
        <v>168</v>
      </c>
      <c r="B169" t="s">
        <v>198</v>
      </c>
      <c r="C169" t="str">
        <f t="shared" si="2"/>
        <v>Brandon Aubrey</v>
      </c>
      <c r="D169" t="s">
        <v>198</v>
      </c>
    </row>
    <row r="170" spans="1:4">
      <c r="A170">
        <v>169</v>
      </c>
      <c r="B170" t="s">
        <v>229</v>
      </c>
      <c r="C170" t="str">
        <f t="shared" si="2"/>
        <v>Evan McPherson</v>
      </c>
      <c r="D170" t="s">
        <v>229</v>
      </c>
    </row>
    <row r="171" spans="1:4">
      <c r="A171">
        <v>170</v>
      </c>
      <c r="B171" t="s">
        <v>1800</v>
      </c>
      <c r="C171" t="str">
        <f t="shared" si="2"/>
        <v>Wan'Dale Robinson</v>
      </c>
      <c r="D171" t="s">
        <v>200</v>
      </c>
    </row>
    <row r="172" spans="1:4">
      <c r="A172">
        <v>171</v>
      </c>
      <c r="B172" t="s">
        <v>251</v>
      </c>
      <c r="C172" t="str">
        <f t="shared" si="2"/>
        <v>Younghoe Koo</v>
      </c>
      <c r="D172" t="s">
        <v>251</v>
      </c>
    </row>
    <row r="173" spans="1:4">
      <c r="A173">
        <v>172</v>
      </c>
      <c r="B173" t="s">
        <v>1801</v>
      </c>
      <c r="C173" t="str">
        <f t="shared" si="2"/>
        <v>Troy Franklin</v>
      </c>
      <c r="D173" t="s">
        <v>359</v>
      </c>
    </row>
    <row r="174" spans="1:4">
      <c r="A174">
        <v>173</v>
      </c>
      <c r="B174" t="s">
        <v>203</v>
      </c>
      <c r="C174" t="str">
        <f t="shared" si="2"/>
        <v>Cameron Dicker</v>
      </c>
      <c r="D174" t="s">
        <v>203</v>
      </c>
    </row>
    <row r="175" spans="1:4">
      <c r="A175">
        <v>174</v>
      </c>
      <c r="B175" t="s">
        <v>372</v>
      </c>
      <c r="C175" t="str">
        <f t="shared" si="2"/>
        <v>Jake Moody</v>
      </c>
      <c r="D175" t="s">
        <v>372</v>
      </c>
    </row>
    <row r="176" spans="1:4">
      <c r="A176">
        <v>175</v>
      </c>
      <c r="B176" t="s">
        <v>1802</v>
      </c>
      <c r="C176" t="str">
        <f t="shared" si="2"/>
        <v>Greg Zuerlein</v>
      </c>
      <c r="D176" t="s">
        <v>1802</v>
      </c>
    </row>
    <row r="177" spans="1:4">
      <c r="A177">
        <v>176</v>
      </c>
      <c r="B177" t="s">
        <v>1803</v>
      </c>
      <c r="C177" t="str">
        <f t="shared" si="2"/>
        <v>Ka'imi Fairbairn</v>
      </c>
      <c r="D177" t="s">
        <v>214</v>
      </c>
    </row>
    <row r="178" spans="1:4">
      <c r="A178">
        <v>177</v>
      </c>
      <c r="B178" t="s">
        <v>1804</v>
      </c>
      <c r="C178" t="str">
        <f t="shared" si="2"/>
        <v>Adam Thielen</v>
      </c>
      <c r="D178" t="s">
        <v>180</v>
      </c>
    </row>
    <row r="179" spans="1:4">
      <c r="A179">
        <v>178</v>
      </c>
      <c r="B179" t="s">
        <v>1805</v>
      </c>
      <c r="C179" t="str">
        <f t="shared" si="2"/>
        <v>Darnell Mooney</v>
      </c>
      <c r="D179" t="s">
        <v>129</v>
      </c>
    </row>
    <row r="180" spans="1:4">
      <c r="A180">
        <v>179</v>
      </c>
      <c r="B180" t="s">
        <v>236</v>
      </c>
      <c r="C180" t="str">
        <f t="shared" si="2"/>
        <v>Tyler Bass</v>
      </c>
      <c r="D180" t="s">
        <v>236</v>
      </c>
    </row>
    <row r="181" spans="1:4">
      <c r="A181">
        <v>180</v>
      </c>
      <c r="B181" t="s">
        <v>308</v>
      </c>
      <c r="C181" t="str">
        <f t="shared" si="2"/>
        <v>Daniel Carlson</v>
      </c>
      <c r="D181" t="s">
        <v>308</v>
      </c>
    </row>
    <row r="182" spans="1:4">
      <c r="A182">
        <v>181</v>
      </c>
      <c r="B182" t="s">
        <v>1806</v>
      </c>
      <c r="C182" t="str">
        <f t="shared" si="2"/>
        <v>Blake Grupe</v>
      </c>
      <c r="D182" t="s">
        <v>392</v>
      </c>
    </row>
    <row r="183" spans="1:4">
      <c r="A183">
        <v>182</v>
      </c>
      <c r="B183" t="s">
        <v>1807</v>
      </c>
      <c r="C183" t="str">
        <f t="shared" si="2"/>
        <v>Jason Myers</v>
      </c>
      <c r="D183" t="s">
        <v>335</v>
      </c>
    </row>
    <row r="184" spans="1:4">
      <c r="A184">
        <v>183</v>
      </c>
      <c r="B184" t="s">
        <v>245</v>
      </c>
      <c r="C184" t="str">
        <f t="shared" si="2"/>
        <v>Jason Sanders</v>
      </c>
      <c r="D184" t="s">
        <v>245</v>
      </c>
    </row>
    <row r="185" spans="1:4">
      <c r="A185">
        <v>184</v>
      </c>
      <c r="B185" t="s">
        <v>243</v>
      </c>
      <c r="C185" t="str">
        <f t="shared" si="2"/>
        <v>Jake Elliott</v>
      </c>
      <c r="D185" t="s">
        <v>243</v>
      </c>
    </row>
    <row r="186" spans="1:4">
      <c r="A186">
        <v>185</v>
      </c>
      <c r="B186" t="s">
        <v>1808</v>
      </c>
      <c r="C186" t="str">
        <f t="shared" si="2"/>
        <v>Mike Badgley</v>
      </c>
      <c r="D186" t="s">
        <v>1808</v>
      </c>
    </row>
    <row r="187" spans="1:4">
      <c r="A187">
        <v>186</v>
      </c>
      <c r="B187" t="s">
        <v>211</v>
      </c>
      <c r="C187" t="str">
        <f t="shared" si="2"/>
        <v>Chris Boswell</v>
      </c>
      <c r="D187" t="s">
        <v>211</v>
      </c>
    </row>
    <row r="188" spans="1:4">
      <c r="A188">
        <v>187</v>
      </c>
      <c r="B188" t="s">
        <v>261</v>
      </c>
      <c r="C188" t="str">
        <f t="shared" si="2"/>
        <v>Matt Gay</v>
      </c>
      <c r="D188" t="s">
        <v>261</v>
      </c>
    </row>
    <row r="189" spans="1:4">
      <c r="A189">
        <v>188</v>
      </c>
      <c r="B189" t="s">
        <v>212</v>
      </c>
      <c r="C189" t="str">
        <f t="shared" si="2"/>
        <v>Chase McLaughlin</v>
      </c>
      <c r="D189" t="s">
        <v>212</v>
      </c>
    </row>
    <row r="190" spans="1:4">
      <c r="A190">
        <v>189</v>
      </c>
      <c r="B190" t="s">
        <v>387</v>
      </c>
      <c r="C190" t="str">
        <f t="shared" si="2"/>
        <v>Matt Prater</v>
      </c>
      <c r="D190" t="s">
        <v>387</v>
      </c>
    </row>
    <row r="191" spans="1:4">
      <c r="A191">
        <v>190</v>
      </c>
      <c r="B191" t="s">
        <v>366</v>
      </c>
      <c r="C191" t="str">
        <f t="shared" si="2"/>
        <v>Brandon McManus</v>
      </c>
      <c r="D191" t="s">
        <v>366</v>
      </c>
    </row>
    <row r="192" spans="1:4">
      <c r="A192">
        <v>191</v>
      </c>
      <c r="B192" t="s">
        <v>413</v>
      </c>
      <c r="C192" t="str">
        <f t="shared" si="2"/>
        <v>Nick Folk</v>
      </c>
      <c r="D192" t="s">
        <v>413</v>
      </c>
    </row>
    <row r="193" spans="1:4">
      <c r="A193">
        <v>192</v>
      </c>
      <c r="B193" t="s">
        <v>415</v>
      </c>
      <c r="C193" t="str">
        <f t="shared" si="2"/>
        <v>Graham Gano</v>
      </c>
      <c r="D193" t="s">
        <v>415</v>
      </c>
    </row>
    <row r="194" spans="1:4">
      <c r="A194">
        <v>193</v>
      </c>
      <c r="B194" t="s">
        <v>275</v>
      </c>
      <c r="C194" t="str">
        <f t="shared" si="2"/>
        <v>Joshua Karty</v>
      </c>
      <c r="D194" t="s">
        <v>275</v>
      </c>
    </row>
    <row r="195" spans="1:4">
      <c r="A195">
        <v>194</v>
      </c>
      <c r="B195" t="s">
        <v>406</v>
      </c>
      <c r="C195" t="str">
        <f>TRIM(B195)</f>
        <v>Cairo Santos</v>
      </c>
      <c r="D195" t="s">
        <v>406</v>
      </c>
    </row>
    <row r="196" spans="1:4">
      <c r="A196">
        <v>195</v>
      </c>
      <c r="B196" t="s">
        <v>1809</v>
      </c>
      <c r="C196" t="str">
        <f>TRIM(B196)</f>
        <v>Anders Carlson</v>
      </c>
      <c r="D196" t="s">
        <v>1809</v>
      </c>
    </row>
  </sheetData>
  <conditionalFormatting sqref="B6">
    <cfRule type="expression" dxfId="1" priority="1">
      <formula>$J6="Y"</formula>
    </cfRule>
    <cfRule type="expression" dxfId="0" priority="2">
      <formula>$J6="M"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2"/>
  <sheetViews>
    <sheetView workbookViewId="0"/>
  </sheetViews>
  <sheetFormatPr defaultRowHeight="14.5"/>
  <cols>
    <col min="1" max="1" width="14.54296875" customWidth="1"/>
    <col min="2" max="2" width="10.36328125" customWidth="1"/>
    <col min="3" max="3" width="19.453125" customWidth="1"/>
  </cols>
  <sheetData>
    <row r="1" spans="1:5">
      <c r="A1" t="s">
        <v>1810</v>
      </c>
      <c r="B1" t="s">
        <v>1811</v>
      </c>
      <c r="C1" t="s">
        <v>1204</v>
      </c>
      <c r="D1" t="s">
        <v>515</v>
      </c>
      <c r="E1" t="s">
        <v>1812</v>
      </c>
    </row>
    <row r="2" spans="1:5">
      <c r="A2" t="s">
        <v>636</v>
      </c>
      <c r="B2" t="s">
        <v>635</v>
      </c>
      <c r="C2" t="str">
        <f>B2&amp;" "&amp;A2</f>
        <v>Patrick Mahomes</v>
      </c>
      <c r="D2" t="s">
        <v>1813</v>
      </c>
      <c r="E2" t="s">
        <v>900</v>
      </c>
    </row>
    <row r="3" spans="1:5">
      <c r="A3" t="s">
        <v>614</v>
      </c>
      <c r="B3" t="s">
        <v>613</v>
      </c>
      <c r="C3" t="str">
        <f t="shared" ref="C3:C66" si="0">B3&amp;" "&amp;A3</f>
        <v>Josh Allen</v>
      </c>
      <c r="D3" t="s">
        <v>1814</v>
      </c>
      <c r="E3" t="s">
        <v>900</v>
      </c>
    </row>
    <row r="4" spans="1:5">
      <c r="A4" t="s">
        <v>629</v>
      </c>
      <c r="B4" t="s">
        <v>628</v>
      </c>
      <c r="C4" t="str">
        <f t="shared" si="0"/>
        <v>Jalen Hurts</v>
      </c>
      <c r="D4" t="s">
        <v>1815</v>
      </c>
      <c r="E4" t="s">
        <v>900</v>
      </c>
    </row>
    <row r="5" spans="1:5">
      <c r="A5" t="s">
        <v>663</v>
      </c>
      <c r="B5" t="s">
        <v>662</v>
      </c>
      <c r="C5" t="str">
        <f t="shared" si="0"/>
        <v>C.J. Stroud</v>
      </c>
      <c r="D5" t="s">
        <v>1816</v>
      </c>
      <c r="E5" t="s">
        <v>900</v>
      </c>
    </row>
    <row r="6" spans="1:5">
      <c r="A6" t="s">
        <v>718</v>
      </c>
      <c r="B6" t="s">
        <v>714</v>
      </c>
      <c r="C6" t="str">
        <f t="shared" si="0"/>
        <v>Jordan Love</v>
      </c>
      <c r="D6" t="s">
        <v>1817</v>
      </c>
      <c r="E6" t="s">
        <v>900</v>
      </c>
    </row>
    <row r="7" spans="1:5">
      <c r="A7" t="s">
        <v>675</v>
      </c>
      <c r="B7" t="s">
        <v>622</v>
      </c>
      <c r="C7" t="str">
        <f t="shared" si="0"/>
        <v>Joe Burrow</v>
      </c>
      <c r="D7" t="s">
        <v>1818</v>
      </c>
      <c r="E7" t="s">
        <v>900</v>
      </c>
    </row>
    <row r="8" spans="1:5">
      <c r="A8" t="s">
        <v>779</v>
      </c>
      <c r="B8" t="s">
        <v>778</v>
      </c>
      <c r="C8" t="str">
        <f t="shared" si="0"/>
        <v>Tua Tagovailoa</v>
      </c>
      <c r="D8" t="s">
        <v>1819</v>
      </c>
      <c r="E8" t="s">
        <v>900</v>
      </c>
    </row>
    <row r="9" spans="1:5">
      <c r="A9" t="s">
        <v>649</v>
      </c>
      <c r="B9" t="s">
        <v>648</v>
      </c>
      <c r="C9" t="str">
        <f t="shared" si="0"/>
        <v>Anthony Richardson</v>
      </c>
      <c r="D9" t="s">
        <v>1820</v>
      </c>
      <c r="E9" t="s">
        <v>900</v>
      </c>
    </row>
    <row r="10" spans="1:5">
      <c r="A10" t="s">
        <v>642</v>
      </c>
      <c r="B10" t="s">
        <v>641</v>
      </c>
      <c r="C10" t="str">
        <f t="shared" si="0"/>
        <v>Lamar Jackson</v>
      </c>
      <c r="D10" t="s">
        <v>1821</v>
      </c>
      <c r="E10" t="s">
        <v>900</v>
      </c>
    </row>
    <row r="11" spans="1:5">
      <c r="A11" t="s">
        <v>700</v>
      </c>
      <c r="B11" t="s">
        <v>699</v>
      </c>
      <c r="C11" t="str">
        <f t="shared" si="0"/>
        <v>Dak Prescott</v>
      </c>
      <c r="D11" t="s">
        <v>1822</v>
      </c>
      <c r="E11" t="s">
        <v>900</v>
      </c>
    </row>
    <row r="12" spans="1:5">
      <c r="A12" t="s">
        <v>657</v>
      </c>
      <c r="B12" t="s">
        <v>656</v>
      </c>
      <c r="C12" t="str">
        <f t="shared" si="0"/>
        <v>Kyler Murray</v>
      </c>
      <c r="D12" t="s">
        <v>1823</v>
      </c>
      <c r="E12" t="s">
        <v>900</v>
      </c>
    </row>
    <row r="13" spans="1:5">
      <c r="A13" t="s">
        <v>757</v>
      </c>
      <c r="B13" t="s">
        <v>756</v>
      </c>
      <c r="C13" t="str">
        <f t="shared" si="0"/>
        <v>Trevor Lawrence</v>
      </c>
      <c r="D13" t="s">
        <v>1824</v>
      </c>
      <c r="E13" t="s">
        <v>900</v>
      </c>
    </row>
    <row r="14" spans="1:5">
      <c r="A14" t="s">
        <v>719</v>
      </c>
      <c r="B14" t="s">
        <v>669</v>
      </c>
      <c r="C14" t="str">
        <f t="shared" si="0"/>
        <v>Jayden Daniels</v>
      </c>
      <c r="D14" t="s">
        <v>1825</v>
      </c>
      <c r="E14" t="s">
        <v>900</v>
      </c>
    </row>
    <row r="15" spans="1:5">
      <c r="A15" t="s">
        <v>568</v>
      </c>
      <c r="B15" t="s">
        <v>755</v>
      </c>
      <c r="C15" t="str">
        <f t="shared" si="0"/>
        <v>Caleb Williams</v>
      </c>
      <c r="D15" t="s">
        <v>1826</v>
      </c>
      <c r="E15" t="s">
        <v>900</v>
      </c>
    </row>
    <row r="16" spans="1:5">
      <c r="A16" t="s">
        <v>732</v>
      </c>
      <c r="B16" t="s">
        <v>731</v>
      </c>
      <c r="C16" t="str">
        <f t="shared" si="0"/>
        <v>Brock Purdy</v>
      </c>
      <c r="D16" t="s">
        <v>1827</v>
      </c>
      <c r="E16" t="s">
        <v>900</v>
      </c>
    </row>
    <row r="17" spans="1:5">
      <c r="A17" t="s">
        <v>737</v>
      </c>
      <c r="B17" t="s">
        <v>736</v>
      </c>
      <c r="C17" t="str">
        <f t="shared" si="0"/>
        <v>Jared Goff</v>
      </c>
      <c r="D17" t="s">
        <v>1828</v>
      </c>
      <c r="E17" t="s">
        <v>900</v>
      </c>
    </row>
    <row r="18" spans="1:5">
      <c r="A18" t="s">
        <v>791</v>
      </c>
      <c r="B18" t="s">
        <v>625</v>
      </c>
      <c r="C18" t="str">
        <f t="shared" si="0"/>
        <v>Kirk Cousins</v>
      </c>
      <c r="D18" t="s">
        <v>1829</v>
      </c>
      <c r="E18" t="s">
        <v>900</v>
      </c>
    </row>
    <row r="19" spans="1:5">
      <c r="A19" t="s">
        <v>781</v>
      </c>
      <c r="B19" t="s">
        <v>676</v>
      </c>
      <c r="C19" t="str">
        <f t="shared" si="0"/>
        <v>Aaron Rodgers</v>
      </c>
      <c r="D19" t="s">
        <v>1830</v>
      </c>
      <c r="E19" t="s">
        <v>900</v>
      </c>
    </row>
    <row r="20" spans="1:5">
      <c r="A20" t="s">
        <v>740</v>
      </c>
      <c r="B20" t="s">
        <v>531</v>
      </c>
      <c r="C20" t="str">
        <f t="shared" si="0"/>
        <v>Justin Herbert</v>
      </c>
      <c r="D20" t="s">
        <v>1831</v>
      </c>
      <c r="E20" t="s">
        <v>900</v>
      </c>
    </row>
    <row r="21" spans="1:5">
      <c r="A21" t="s">
        <v>677</v>
      </c>
      <c r="B21" t="s">
        <v>811</v>
      </c>
      <c r="C21" t="str">
        <f t="shared" si="0"/>
        <v>Daniel Jones</v>
      </c>
      <c r="D21" t="s">
        <v>1832</v>
      </c>
      <c r="E21" t="s">
        <v>900</v>
      </c>
    </row>
    <row r="22" spans="1:5">
      <c r="A22" t="s">
        <v>739</v>
      </c>
      <c r="B22" t="s">
        <v>738</v>
      </c>
      <c r="C22" t="str">
        <f t="shared" si="0"/>
        <v>Matthew Stafford</v>
      </c>
      <c r="D22" t="s">
        <v>1833</v>
      </c>
      <c r="E22" t="s">
        <v>900</v>
      </c>
    </row>
    <row r="23" spans="1:5">
      <c r="A23" t="s">
        <v>592</v>
      </c>
      <c r="B23" t="s">
        <v>796</v>
      </c>
      <c r="C23" t="str">
        <f t="shared" si="0"/>
        <v>Geno Smith</v>
      </c>
      <c r="D23" t="s">
        <v>1834</v>
      </c>
      <c r="E23" t="s">
        <v>900</v>
      </c>
    </row>
    <row r="24" spans="1:5">
      <c r="A24" t="s">
        <v>804</v>
      </c>
      <c r="B24" t="s">
        <v>561</v>
      </c>
      <c r="C24" t="str">
        <f t="shared" si="0"/>
        <v>Drake Maye</v>
      </c>
      <c r="D24" t="s">
        <v>1835</v>
      </c>
      <c r="E24" t="s">
        <v>900</v>
      </c>
    </row>
    <row r="25" spans="1:5">
      <c r="A25" t="s">
        <v>806</v>
      </c>
      <c r="B25" t="s">
        <v>805</v>
      </c>
      <c r="C25" t="str">
        <f t="shared" si="0"/>
        <v>Derek Carr</v>
      </c>
      <c r="D25" t="s">
        <v>1836</v>
      </c>
      <c r="E25" t="s">
        <v>900</v>
      </c>
    </row>
    <row r="26" spans="1:5">
      <c r="A26" t="s">
        <v>733</v>
      </c>
      <c r="B26" t="s">
        <v>780</v>
      </c>
      <c r="C26" t="str">
        <f t="shared" si="0"/>
        <v>Deshaun Watson</v>
      </c>
      <c r="D26" t="s">
        <v>1837</v>
      </c>
      <c r="E26" t="s">
        <v>900</v>
      </c>
    </row>
    <row r="27" spans="1:5">
      <c r="A27" t="s">
        <v>786</v>
      </c>
      <c r="B27" t="s">
        <v>785</v>
      </c>
      <c r="C27" t="str">
        <f t="shared" si="0"/>
        <v>Baker Mayfield</v>
      </c>
      <c r="D27" t="s">
        <v>1838</v>
      </c>
      <c r="E27" t="s">
        <v>900</v>
      </c>
    </row>
    <row r="28" spans="1:5">
      <c r="A28" t="s">
        <v>816</v>
      </c>
      <c r="B28" t="s">
        <v>815</v>
      </c>
      <c r="C28" t="str">
        <f t="shared" si="0"/>
        <v>Bo Nix</v>
      </c>
      <c r="D28" t="s">
        <v>1839</v>
      </c>
      <c r="E28" t="s">
        <v>900</v>
      </c>
    </row>
    <row r="29" spans="1:5">
      <c r="A29" t="s">
        <v>823</v>
      </c>
      <c r="B29" t="s">
        <v>822</v>
      </c>
      <c r="C29" t="str">
        <f t="shared" si="0"/>
        <v>Gardner Minshew</v>
      </c>
      <c r="D29" t="s">
        <v>1840</v>
      </c>
      <c r="E29" t="s">
        <v>900</v>
      </c>
    </row>
    <row r="30" spans="1:5">
      <c r="A30" t="s">
        <v>547</v>
      </c>
      <c r="B30" t="s">
        <v>793</v>
      </c>
      <c r="C30" t="str">
        <f t="shared" si="0"/>
        <v>Russell Wilson</v>
      </c>
      <c r="D30" t="s">
        <v>1841</v>
      </c>
      <c r="E30" t="s">
        <v>900</v>
      </c>
    </row>
    <row r="31" spans="1:5">
      <c r="A31" t="s">
        <v>814</v>
      </c>
      <c r="B31" t="s">
        <v>813</v>
      </c>
      <c r="C31" t="str">
        <f t="shared" si="0"/>
        <v>Bryce Young</v>
      </c>
      <c r="D31" t="s">
        <v>1842</v>
      </c>
      <c r="E31" t="s">
        <v>900</v>
      </c>
    </row>
    <row r="32" spans="1:5">
      <c r="A32" t="s">
        <v>1843</v>
      </c>
      <c r="B32" t="s">
        <v>531</v>
      </c>
      <c r="C32" t="str">
        <f t="shared" si="0"/>
        <v>Justin Fields</v>
      </c>
      <c r="D32" t="s">
        <v>1841</v>
      </c>
      <c r="E32" t="s">
        <v>900</v>
      </c>
    </row>
    <row r="33" spans="1:5">
      <c r="A33" t="s">
        <v>1844</v>
      </c>
      <c r="B33" t="s">
        <v>597</v>
      </c>
      <c r="C33" t="str">
        <f t="shared" si="0"/>
        <v>Sam Darnold</v>
      </c>
      <c r="D33" t="s">
        <v>1845</v>
      </c>
      <c r="E33" t="s">
        <v>900</v>
      </c>
    </row>
    <row r="34" spans="1:5">
      <c r="A34" t="s">
        <v>798</v>
      </c>
      <c r="B34" t="s">
        <v>797</v>
      </c>
      <c r="C34" t="str">
        <f t="shared" si="0"/>
        <v>Will Levis</v>
      </c>
      <c r="D34" t="s">
        <v>1846</v>
      </c>
      <c r="E34" t="s">
        <v>900</v>
      </c>
    </row>
    <row r="35" spans="1:5">
      <c r="A35" t="s">
        <v>1847</v>
      </c>
      <c r="B35" t="s">
        <v>622</v>
      </c>
      <c r="C35" t="str">
        <f t="shared" si="0"/>
        <v>Joe Flacco</v>
      </c>
      <c r="D35" t="s">
        <v>1820</v>
      </c>
      <c r="E35" t="s">
        <v>900</v>
      </c>
    </row>
    <row r="36" spans="1:5">
      <c r="A36" t="s">
        <v>1848</v>
      </c>
      <c r="B36" t="s">
        <v>1849</v>
      </c>
      <c r="C36" t="str">
        <f t="shared" si="0"/>
        <v>Tom Brady</v>
      </c>
      <c r="D36" t="s">
        <v>1850</v>
      </c>
      <c r="E36" t="s">
        <v>900</v>
      </c>
    </row>
    <row r="37" spans="1:5">
      <c r="A37" t="s">
        <v>535</v>
      </c>
      <c r="B37" t="s">
        <v>534</v>
      </c>
      <c r="C37" t="str">
        <f t="shared" si="0"/>
        <v>Breece Hall</v>
      </c>
      <c r="D37" t="s">
        <v>1830</v>
      </c>
      <c r="E37" t="s">
        <v>867</v>
      </c>
    </row>
    <row r="38" spans="1:5">
      <c r="A38" t="s">
        <v>517</v>
      </c>
      <c r="B38" t="s">
        <v>516</v>
      </c>
      <c r="C38" t="str">
        <f t="shared" si="0"/>
        <v>Christian McCaffrey</v>
      </c>
      <c r="D38" t="s">
        <v>1827</v>
      </c>
      <c r="E38" t="s">
        <v>867</v>
      </c>
    </row>
    <row r="39" spans="1:5">
      <c r="A39" t="s">
        <v>538</v>
      </c>
      <c r="B39" t="s">
        <v>537</v>
      </c>
      <c r="C39" t="str">
        <f t="shared" si="0"/>
        <v>Bijan Robinson</v>
      </c>
      <c r="D39" t="s">
        <v>1829</v>
      </c>
      <c r="E39" t="s">
        <v>867</v>
      </c>
    </row>
    <row r="40" spans="1:5">
      <c r="A40" t="s">
        <v>553</v>
      </c>
      <c r="B40" t="s">
        <v>552</v>
      </c>
      <c r="C40" t="str">
        <f t="shared" si="0"/>
        <v>Jonathan Taylor</v>
      </c>
      <c r="D40" t="s">
        <v>1820</v>
      </c>
      <c r="E40" t="s">
        <v>867</v>
      </c>
    </row>
    <row r="41" spans="1:5">
      <c r="A41" t="s">
        <v>550</v>
      </c>
      <c r="B41" t="s">
        <v>549</v>
      </c>
      <c r="C41" t="str">
        <f t="shared" si="0"/>
        <v>Saquon Barkley</v>
      </c>
      <c r="D41" t="s">
        <v>1815</v>
      </c>
      <c r="E41" t="s">
        <v>867</v>
      </c>
    </row>
    <row r="42" spans="1:5">
      <c r="A42" t="s">
        <v>556</v>
      </c>
      <c r="B42" t="s">
        <v>555</v>
      </c>
      <c r="C42" t="str">
        <f t="shared" si="0"/>
        <v>Jahmyr Gibbs</v>
      </c>
      <c r="D42" t="s">
        <v>1828</v>
      </c>
      <c r="E42" t="s">
        <v>867</v>
      </c>
    </row>
    <row r="43" spans="1:5">
      <c r="A43" t="s">
        <v>568</v>
      </c>
      <c r="B43" t="s">
        <v>567</v>
      </c>
      <c r="C43" t="str">
        <f t="shared" si="0"/>
        <v>Kyren Williams</v>
      </c>
      <c r="D43" t="s">
        <v>1833</v>
      </c>
      <c r="E43" t="s">
        <v>867</v>
      </c>
    </row>
    <row r="44" spans="1:5">
      <c r="A44" t="s">
        <v>624</v>
      </c>
      <c r="B44" t="s">
        <v>613</v>
      </c>
      <c r="C44" t="str">
        <f t="shared" si="0"/>
        <v>Josh Jacobs</v>
      </c>
      <c r="D44" t="s">
        <v>1817</v>
      </c>
      <c r="E44" t="s">
        <v>867</v>
      </c>
    </row>
    <row r="45" spans="1:5">
      <c r="A45" t="s">
        <v>574</v>
      </c>
      <c r="B45" t="s">
        <v>573</v>
      </c>
      <c r="C45" t="str">
        <f t="shared" si="0"/>
        <v>Travis Etienne</v>
      </c>
      <c r="D45" t="s">
        <v>1824</v>
      </c>
      <c r="E45" t="s">
        <v>867</v>
      </c>
    </row>
    <row r="46" spans="1:5">
      <c r="A46" t="s">
        <v>572</v>
      </c>
      <c r="B46" t="s">
        <v>571</v>
      </c>
      <c r="C46" t="str">
        <f t="shared" si="0"/>
        <v>Isiah Pacheco</v>
      </c>
      <c r="D46" t="s">
        <v>1813</v>
      </c>
      <c r="E46" t="s">
        <v>867</v>
      </c>
    </row>
    <row r="47" spans="1:5">
      <c r="A47" t="s">
        <v>623</v>
      </c>
      <c r="B47" t="s">
        <v>622</v>
      </c>
      <c r="C47" t="str">
        <f t="shared" si="0"/>
        <v>Joe Mixon</v>
      </c>
      <c r="D47" t="s">
        <v>1816</v>
      </c>
      <c r="E47" t="s">
        <v>867</v>
      </c>
    </row>
    <row r="48" spans="1:5">
      <c r="A48" t="s">
        <v>630</v>
      </c>
      <c r="B48" t="s">
        <v>605</v>
      </c>
      <c r="C48" t="str">
        <f t="shared" si="0"/>
        <v>James Conner</v>
      </c>
      <c r="D48" t="s">
        <v>1823</v>
      </c>
      <c r="E48" t="s">
        <v>867</v>
      </c>
    </row>
    <row r="49" spans="1:5">
      <c r="A49" t="s">
        <v>588</v>
      </c>
      <c r="B49" t="s">
        <v>587</v>
      </c>
      <c r="C49" t="str">
        <f t="shared" si="0"/>
        <v>Rachaad White</v>
      </c>
      <c r="D49" t="s">
        <v>1838</v>
      </c>
      <c r="E49" t="s">
        <v>867</v>
      </c>
    </row>
    <row r="50" spans="1:5">
      <c r="A50" t="s">
        <v>1851</v>
      </c>
      <c r="B50" t="s">
        <v>611</v>
      </c>
      <c r="C50" t="str">
        <f t="shared" si="0"/>
        <v>Kenneth Walker</v>
      </c>
      <c r="D50" t="s">
        <v>1834</v>
      </c>
      <c r="E50" t="s">
        <v>867</v>
      </c>
    </row>
    <row r="51" spans="1:5">
      <c r="A51" t="s">
        <v>606</v>
      </c>
      <c r="B51" t="s">
        <v>605</v>
      </c>
      <c r="C51" t="str">
        <f t="shared" si="0"/>
        <v>James Cook</v>
      </c>
      <c r="D51" t="s">
        <v>1814</v>
      </c>
      <c r="E51" t="s">
        <v>867</v>
      </c>
    </row>
    <row r="52" spans="1:5">
      <c r="A52" t="s">
        <v>677</v>
      </c>
      <c r="B52" t="s">
        <v>676</v>
      </c>
      <c r="C52" t="str">
        <f t="shared" si="0"/>
        <v>Aaron Jones</v>
      </c>
      <c r="D52" t="s">
        <v>1845</v>
      </c>
      <c r="E52" t="s">
        <v>867</v>
      </c>
    </row>
    <row r="53" spans="1:5">
      <c r="A53" t="s">
        <v>594</v>
      </c>
      <c r="B53" t="s">
        <v>593</v>
      </c>
      <c r="C53" t="str">
        <f t="shared" si="0"/>
        <v>De'Von Achane</v>
      </c>
      <c r="D53" t="s">
        <v>1819</v>
      </c>
      <c r="E53" t="s">
        <v>867</v>
      </c>
    </row>
    <row r="54" spans="1:5">
      <c r="A54" t="s">
        <v>570</v>
      </c>
      <c r="B54" t="s">
        <v>569</v>
      </c>
      <c r="C54" t="str">
        <f t="shared" si="0"/>
        <v>Derrick Henry</v>
      </c>
      <c r="D54" t="s">
        <v>1821</v>
      </c>
      <c r="E54" t="s">
        <v>867</v>
      </c>
    </row>
    <row r="55" spans="1:5">
      <c r="A55" t="s">
        <v>681</v>
      </c>
      <c r="B55" t="s">
        <v>680</v>
      </c>
      <c r="C55" t="str">
        <f t="shared" si="0"/>
        <v>Najee Harris</v>
      </c>
      <c r="D55" t="s">
        <v>1841</v>
      </c>
      <c r="E55" t="s">
        <v>867</v>
      </c>
    </row>
    <row r="56" spans="1:5">
      <c r="A56" t="s">
        <v>638</v>
      </c>
      <c r="B56" t="s">
        <v>637</v>
      </c>
      <c r="C56" t="str">
        <f t="shared" si="0"/>
        <v>Alvin Kamara</v>
      </c>
      <c r="D56" t="s">
        <v>1836</v>
      </c>
      <c r="E56" t="s">
        <v>867</v>
      </c>
    </row>
    <row r="57" spans="1:5">
      <c r="A57" t="s">
        <v>685</v>
      </c>
      <c r="B57" t="s">
        <v>684</v>
      </c>
      <c r="C57" t="str">
        <f t="shared" si="0"/>
        <v>Tony Pollard</v>
      </c>
      <c r="D57" t="s">
        <v>1846</v>
      </c>
      <c r="E57" t="s">
        <v>867</v>
      </c>
    </row>
    <row r="58" spans="1:5">
      <c r="A58" t="s">
        <v>634</v>
      </c>
      <c r="B58" t="s">
        <v>633</v>
      </c>
      <c r="C58" t="str">
        <f t="shared" si="0"/>
        <v>David Montgomery</v>
      </c>
      <c r="D58" t="s">
        <v>1828</v>
      </c>
      <c r="E58" t="s">
        <v>867</v>
      </c>
    </row>
    <row r="59" spans="1:5">
      <c r="A59" t="s">
        <v>651</v>
      </c>
      <c r="B59" t="s">
        <v>650</v>
      </c>
      <c r="C59" t="str">
        <f t="shared" si="0"/>
        <v>Raheem Mostert</v>
      </c>
      <c r="D59" t="s">
        <v>1819</v>
      </c>
      <c r="E59" t="s">
        <v>867</v>
      </c>
    </row>
    <row r="60" spans="1:5">
      <c r="A60" t="s">
        <v>672</v>
      </c>
      <c r="B60" t="s">
        <v>671</v>
      </c>
      <c r="C60" t="str">
        <f t="shared" si="0"/>
        <v>Rhamondre Stevenson</v>
      </c>
      <c r="D60" t="s">
        <v>1835</v>
      </c>
      <c r="E60" t="s">
        <v>867</v>
      </c>
    </row>
    <row r="61" spans="1:5">
      <c r="A61" t="s">
        <v>679</v>
      </c>
      <c r="B61" t="s">
        <v>600</v>
      </c>
      <c r="C61" t="str">
        <f t="shared" si="0"/>
        <v>Jaylen Warren</v>
      </c>
      <c r="D61" t="s">
        <v>1841</v>
      </c>
      <c r="E61" t="s">
        <v>867</v>
      </c>
    </row>
    <row r="62" spans="1:5">
      <c r="A62" t="s">
        <v>568</v>
      </c>
      <c r="B62" t="s">
        <v>1852</v>
      </c>
      <c r="C62" t="str">
        <f t="shared" si="0"/>
        <v>Javonte Williams</v>
      </c>
      <c r="D62" t="s">
        <v>1839</v>
      </c>
      <c r="E62" t="s">
        <v>867</v>
      </c>
    </row>
    <row r="63" spans="1:5">
      <c r="A63" t="s">
        <v>588</v>
      </c>
      <c r="B63" t="s">
        <v>668</v>
      </c>
      <c r="C63" t="str">
        <f t="shared" si="0"/>
        <v>Zamir White</v>
      </c>
      <c r="D63" t="s">
        <v>1840</v>
      </c>
      <c r="E63" t="s">
        <v>867</v>
      </c>
    </row>
    <row r="64" spans="1:5">
      <c r="A64" t="s">
        <v>683</v>
      </c>
      <c r="B64" t="s">
        <v>682</v>
      </c>
      <c r="C64" t="str">
        <f t="shared" si="0"/>
        <v>Austin Ekeler</v>
      </c>
      <c r="D64" t="s">
        <v>1825</v>
      </c>
      <c r="E64" t="s">
        <v>867</v>
      </c>
    </row>
    <row r="65" spans="1:5">
      <c r="A65" t="s">
        <v>706</v>
      </c>
      <c r="B65" t="s">
        <v>705</v>
      </c>
      <c r="C65" t="str">
        <f t="shared" si="0"/>
        <v>Devin Singletary</v>
      </c>
      <c r="D65" t="s">
        <v>1832</v>
      </c>
      <c r="E65" t="s">
        <v>867</v>
      </c>
    </row>
    <row r="66" spans="1:5">
      <c r="A66" t="s">
        <v>762</v>
      </c>
      <c r="B66" t="s">
        <v>761</v>
      </c>
      <c r="C66" t="str">
        <f t="shared" si="0"/>
        <v>Chuba Hubbard</v>
      </c>
      <c r="D66" t="s">
        <v>1842</v>
      </c>
      <c r="E66" t="s">
        <v>867</v>
      </c>
    </row>
    <row r="67" spans="1:5">
      <c r="A67" t="s">
        <v>725</v>
      </c>
      <c r="B67" t="s">
        <v>724</v>
      </c>
      <c r="C67" t="str">
        <f t="shared" ref="C67:C130" si="1">B67&amp;" "&amp;A67</f>
        <v>Zack Moss</v>
      </c>
      <c r="D67" t="s">
        <v>1818</v>
      </c>
      <c r="E67" t="s">
        <v>867</v>
      </c>
    </row>
    <row r="68" spans="1:5">
      <c r="A68" t="s">
        <v>674</v>
      </c>
      <c r="B68" t="s">
        <v>673</v>
      </c>
      <c r="C68" t="str">
        <f t="shared" si="1"/>
        <v>D'Andre Swift</v>
      </c>
      <c r="D68" t="s">
        <v>1826</v>
      </c>
      <c r="E68" t="s">
        <v>867</v>
      </c>
    </row>
    <row r="69" spans="1:5">
      <c r="A69" t="s">
        <v>538</v>
      </c>
      <c r="B69" t="s">
        <v>711</v>
      </c>
      <c r="C69" t="str">
        <f t="shared" si="1"/>
        <v>Brian Robinson</v>
      </c>
      <c r="D69" t="s">
        <v>1825</v>
      </c>
      <c r="E69" t="s">
        <v>867</v>
      </c>
    </row>
    <row r="70" spans="1:5">
      <c r="A70" t="s">
        <v>687</v>
      </c>
      <c r="B70" t="s">
        <v>686</v>
      </c>
      <c r="C70" t="str">
        <f t="shared" si="1"/>
        <v>Tyjae Spears</v>
      </c>
      <c r="D70" t="s">
        <v>1846</v>
      </c>
      <c r="E70" t="s">
        <v>867</v>
      </c>
    </row>
    <row r="71" spans="1:5">
      <c r="A71" t="s">
        <v>1853</v>
      </c>
      <c r="B71" t="s">
        <v>1854</v>
      </c>
      <c r="C71" t="str">
        <f t="shared" si="1"/>
        <v>Jerome Ford</v>
      </c>
      <c r="D71" t="s">
        <v>1837</v>
      </c>
      <c r="E71" t="s">
        <v>867</v>
      </c>
    </row>
    <row r="72" spans="1:5">
      <c r="A72" t="s">
        <v>710</v>
      </c>
      <c r="B72" t="s">
        <v>709</v>
      </c>
      <c r="C72" t="str">
        <f t="shared" si="1"/>
        <v>Ezekiel Elliott</v>
      </c>
      <c r="D72" t="s">
        <v>1822</v>
      </c>
      <c r="E72" t="s">
        <v>867</v>
      </c>
    </row>
    <row r="73" spans="1:5">
      <c r="A73" t="s">
        <v>541</v>
      </c>
      <c r="B73" t="s">
        <v>526</v>
      </c>
      <c r="C73" t="str">
        <f t="shared" si="1"/>
        <v>Chase Brown</v>
      </c>
      <c r="D73" t="s">
        <v>1818</v>
      </c>
      <c r="E73" t="s">
        <v>867</v>
      </c>
    </row>
    <row r="74" spans="1:5">
      <c r="A74" t="s">
        <v>1855</v>
      </c>
      <c r="B74" t="s">
        <v>1856</v>
      </c>
      <c r="C74" t="str">
        <f t="shared" si="1"/>
        <v>Rico Dowdle</v>
      </c>
      <c r="D74" t="s">
        <v>1822</v>
      </c>
      <c r="E74" t="s">
        <v>867</v>
      </c>
    </row>
    <row r="75" spans="1:5">
      <c r="A75" t="s">
        <v>795</v>
      </c>
      <c r="B75" t="s">
        <v>1857</v>
      </c>
      <c r="C75" t="str">
        <f t="shared" si="1"/>
        <v>Ray Davis</v>
      </c>
      <c r="D75" t="s">
        <v>1814</v>
      </c>
      <c r="E75" t="s">
        <v>867</v>
      </c>
    </row>
    <row r="76" spans="1:5">
      <c r="A76" t="s">
        <v>1858</v>
      </c>
      <c r="B76" t="s">
        <v>1859</v>
      </c>
      <c r="C76" t="str">
        <f t="shared" si="1"/>
        <v>JK Dobbins</v>
      </c>
      <c r="D76" t="s">
        <v>1831</v>
      </c>
      <c r="E76" t="s">
        <v>867</v>
      </c>
    </row>
    <row r="77" spans="1:5">
      <c r="A77" t="s">
        <v>744</v>
      </c>
      <c r="B77" t="s">
        <v>743</v>
      </c>
      <c r="C77" t="str">
        <f t="shared" si="1"/>
        <v>Blake Corum</v>
      </c>
      <c r="D77" t="s">
        <v>1833</v>
      </c>
      <c r="E77" t="s">
        <v>867</v>
      </c>
    </row>
    <row r="78" spans="1:5">
      <c r="A78" t="s">
        <v>614</v>
      </c>
      <c r="B78" t="s">
        <v>1860</v>
      </c>
      <c r="C78" t="str">
        <f t="shared" si="1"/>
        <v>Braelon Allen</v>
      </c>
      <c r="D78" t="s">
        <v>1830</v>
      </c>
      <c r="E78" t="s">
        <v>867</v>
      </c>
    </row>
    <row r="79" spans="1:5">
      <c r="A79" t="s">
        <v>1861</v>
      </c>
      <c r="B79" t="s">
        <v>595</v>
      </c>
      <c r="C79" t="str">
        <f t="shared" si="1"/>
        <v>Trey Benson</v>
      </c>
      <c r="D79" t="s">
        <v>1823</v>
      </c>
      <c r="E79" t="s">
        <v>867</v>
      </c>
    </row>
    <row r="80" spans="1:5">
      <c r="A80" t="s">
        <v>759</v>
      </c>
      <c r="B80" t="s">
        <v>758</v>
      </c>
      <c r="C80" t="str">
        <f t="shared" si="1"/>
        <v>Nick Chubb</v>
      </c>
      <c r="D80" t="s">
        <v>1837</v>
      </c>
      <c r="E80" t="s">
        <v>867</v>
      </c>
    </row>
    <row r="81" spans="1:5">
      <c r="A81" t="s">
        <v>708</v>
      </c>
      <c r="B81" t="s">
        <v>707</v>
      </c>
      <c r="C81" t="str">
        <f t="shared" si="1"/>
        <v>Gus Edwards</v>
      </c>
      <c r="D81" t="s">
        <v>1831</v>
      </c>
      <c r="E81" t="s">
        <v>867</v>
      </c>
    </row>
    <row r="82" spans="1:5">
      <c r="A82" t="s">
        <v>772</v>
      </c>
      <c r="B82" t="s">
        <v>771</v>
      </c>
      <c r="C82" t="str">
        <f t="shared" si="1"/>
        <v>Zach Charbonnet</v>
      </c>
      <c r="D82" t="s">
        <v>1834</v>
      </c>
      <c r="E82" t="s">
        <v>867</v>
      </c>
    </row>
    <row r="83" spans="1:5">
      <c r="A83" t="s">
        <v>1862</v>
      </c>
      <c r="B83" t="s">
        <v>600</v>
      </c>
      <c r="C83" t="str">
        <f t="shared" si="1"/>
        <v>Jaylen Wright</v>
      </c>
      <c r="D83" t="s">
        <v>1819</v>
      </c>
      <c r="E83" t="s">
        <v>867</v>
      </c>
    </row>
    <row r="84" spans="1:5">
      <c r="A84" t="s">
        <v>665</v>
      </c>
      <c r="B84" t="s">
        <v>664</v>
      </c>
      <c r="C84" t="str">
        <f t="shared" si="1"/>
        <v>Jonathon Brooks</v>
      </c>
      <c r="D84" t="s">
        <v>1842</v>
      </c>
      <c r="E84" t="s">
        <v>867</v>
      </c>
    </row>
    <row r="85" spans="1:5">
      <c r="A85" t="s">
        <v>1863</v>
      </c>
      <c r="B85" t="s">
        <v>1864</v>
      </c>
      <c r="C85" t="str">
        <f t="shared" si="1"/>
        <v>Ty Chandler</v>
      </c>
      <c r="D85" t="s">
        <v>1845</v>
      </c>
      <c r="E85" t="s">
        <v>867</v>
      </c>
    </row>
    <row r="86" spans="1:5">
      <c r="A86" t="s">
        <v>851</v>
      </c>
      <c r="B86" t="s">
        <v>1865</v>
      </c>
      <c r="C86" t="str">
        <f t="shared" si="1"/>
        <v>Jaleel McLaughlin</v>
      </c>
      <c r="D86" t="s">
        <v>1839</v>
      </c>
      <c r="E86" t="s">
        <v>867</v>
      </c>
    </row>
    <row r="87" spans="1:5">
      <c r="A87" t="s">
        <v>1866</v>
      </c>
      <c r="B87" t="s">
        <v>729</v>
      </c>
      <c r="C87" t="str">
        <f t="shared" si="1"/>
        <v>Tyler Allgeier</v>
      </c>
      <c r="D87" t="s">
        <v>1829</v>
      </c>
      <c r="E87" t="s">
        <v>867</v>
      </c>
    </row>
    <row r="88" spans="1:5">
      <c r="A88" t="s">
        <v>1867</v>
      </c>
      <c r="B88" t="s">
        <v>1868</v>
      </c>
      <c r="C88" t="str">
        <f t="shared" si="1"/>
        <v>Kimani Vidal</v>
      </c>
      <c r="D88" t="s">
        <v>1831</v>
      </c>
      <c r="E88" t="s">
        <v>867</v>
      </c>
    </row>
    <row r="89" spans="1:5">
      <c r="A89" t="s">
        <v>764</v>
      </c>
      <c r="B89" t="s">
        <v>1869</v>
      </c>
      <c r="C89" t="str">
        <f t="shared" si="1"/>
        <v>Elijah Mitchell</v>
      </c>
      <c r="D89" t="s">
        <v>1827</v>
      </c>
      <c r="E89" t="s">
        <v>867</v>
      </c>
    </row>
    <row r="90" spans="1:5">
      <c r="A90" t="s">
        <v>644</v>
      </c>
      <c r="B90" t="s">
        <v>1870</v>
      </c>
      <c r="C90" t="str">
        <f t="shared" si="1"/>
        <v>Roschon Johnson</v>
      </c>
      <c r="D90" t="s">
        <v>1826</v>
      </c>
      <c r="E90" t="s">
        <v>867</v>
      </c>
    </row>
    <row r="91" spans="1:5">
      <c r="A91" t="s">
        <v>1871</v>
      </c>
      <c r="B91" t="s">
        <v>797</v>
      </c>
      <c r="C91" t="str">
        <f t="shared" si="1"/>
        <v>Will Shipley</v>
      </c>
      <c r="D91" t="s">
        <v>1815</v>
      </c>
      <c r="E91" t="s">
        <v>867</v>
      </c>
    </row>
    <row r="92" spans="1:5">
      <c r="A92" t="s">
        <v>740</v>
      </c>
      <c r="B92" t="s">
        <v>712</v>
      </c>
      <c r="C92" t="str">
        <f t="shared" si="1"/>
        <v>Khalil Herbert</v>
      </c>
      <c r="D92" t="s">
        <v>1826</v>
      </c>
      <c r="E92" t="s">
        <v>867</v>
      </c>
    </row>
    <row r="93" spans="1:5">
      <c r="A93" t="s">
        <v>1872</v>
      </c>
      <c r="B93" t="s">
        <v>1873</v>
      </c>
      <c r="C93" t="str">
        <f t="shared" si="1"/>
        <v>Tyrone Tracy</v>
      </c>
      <c r="D93" t="s">
        <v>1832</v>
      </c>
      <c r="E93" t="s">
        <v>867</v>
      </c>
    </row>
    <row r="94" spans="1:5">
      <c r="A94" t="s">
        <v>1874</v>
      </c>
      <c r="B94" t="s">
        <v>639</v>
      </c>
      <c r="C94" t="str">
        <f t="shared" si="1"/>
        <v>Tank Bigsby</v>
      </c>
      <c r="D94" t="s">
        <v>1824</v>
      </c>
      <c r="E94" t="s">
        <v>867</v>
      </c>
    </row>
    <row r="95" spans="1:5">
      <c r="A95" t="s">
        <v>1875</v>
      </c>
      <c r="B95" t="s">
        <v>1876</v>
      </c>
      <c r="C95" t="str">
        <f t="shared" si="1"/>
        <v>Samaje Perine</v>
      </c>
      <c r="D95" t="s">
        <v>1839</v>
      </c>
      <c r="E95" t="s">
        <v>867</v>
      </c>
    </row>
    <row r="96" spans="1:5">
      <c r="A96" t="s">
        <v>764</v>
      </c>
      <c r="B96" t="s">
        <v>1877</v>
      </c>
      <c r="C96" t="str">
        <f t="shared" si="1"/>
        <v>Keaton Mitchell</v>
      </c>
      <c r="D96" t="s">
        <v>1821</v>
      </c>
      <c r="E96" t="s">
        <v>867</v>
      </c>
    </row>
    <row r="97" spans="1:5">
      <c r="A97" t="s">
        <v>1878</v>
      </c>
      <c r="B97" t="s">
        <v>1879</v>
      </c>
      <c r="C97" t="str">
        <f t="shared" si="1"/>
        <v>Bucky Irving</v>
      </c>
      <c r="D97" t="s">
        <v>1838</v>
      </c>
      <c r="E97" t="s">
        <v>867</v>
      </c>
    </row>
    <row r="98" spans="1:5">
      <c r="A98" t="s">
        <v>1880</v>
      </c>
      <c r="B98" t="s">
        <v>1881</v>
      </c>
      <c r="C98" t="str">
        <f t="shared" si="1"/>
        <v>Dameon Pierce</v>
      </c>
      <c r="D98" t="s">
        <v>1816</v>
      </c>
      <c r="E98" t="s">
        <v>867</v>
      </c>
    </row>
    <row r="99" spans="1:5">
      <c r="A99" t="s">
        <v>1882</v>
      </c>
      <c r="B99" t="s">
        <v>1883</v>
      </c>
      <c r="C99" t="str">
        <f t="shared" si="1"/>
        <v>Kendre Miller</v>
      </c>
      <c r="D99" t="s">
        <v>1836</v>
      </c>
      <c r="E99" t="s">
        <v>867</v>
      </c>
    </row>
    <row r="100" spans="1:5">
      <c r="A100" t="s">
        <v>1884</v>
      </c>
      <c r="B100" t="s">
        <v>1885</v>
      </c>
      <c r="C100" t="str">
        <f t="shared" si="1"/>
        <v>Jerick McKinnon</v>
      </c>
      <c r="D100" t="s">
        <v>1850</v>
      </c>
      <c r="E100" t="s">
        <v>867</v>
      </c>
    </row>
    <row r="101" spans="1:5">
      <c r="A101" t="s">
        <v>1886</v>
      </c>
      <c r="B101" t="s">
        <v>1887</v>
      </c>
      <c r="C101" t="str">
        <f t="shared" si="1"/>
        <v>Antonio Gibson</v>
      </c>
      <c r="D101" t="s">
        <v>1835</v>
      </c>
      <c r="E101" t="s">
        <v>867</v>
      </c>
    </row>
    <row r="102" spans="1:5">
      <c r="A102" t="s">
        <v>1888</v>
      </c>
      <c r="B102" t="s">
        <v>1889</v>
      </c>
      <c r="C102" t="str">
        <f t="shared" si="1"/>
        <v>Clyde Edwards-Helaire</v>
      </c>
      <c r="D102" t="s">
        <v>1813</v>
      </c>
      <c r="E102" t="s">
        <v>867</v>
      </c>
    </row>
    <row r="103" spans="1:5">
      <c r="A103" t="s">
        <v>1890</v>
      </c>
      <c r="B103" t="s">
        <v>1891</v>
      </c>
      <c r="C103" t="str">
        <f t="shared" si="1"/>
        <v>Alexander Mattison</v>
      </c>
      <c r="D103" t="s">
        <v>1840</v>
      </c>
      <c r="E103" t="s">
        <v>867</v>
      </c>
    </row>
    <row r="104" spans="1:5">
      <c r="A104" t="s">
        <v>1892</v>
      </c>
      <c r="B104" t="s">
        <v>1893</v>
      </c>
      <c r="C104" t="str">
        <f t="shared" si="1"/>
        <v>Eric Gray</v>
      </c>
      <c r="D104" t="s">
        <v>1832</v>
      </c>
      <c r="E104" t="s">
        <v>867</v>
      </c>
    </row>
    <row r="105" spans="1:5">
      <c r="A105" t="s">
        <v>523</v>
      </c>
      <c r="B105" t="s">
        <v>1894</v>
      </c>
      <c r="C105" t="str">
        <f t="shared" si="1"/>
        <v>Justice Hill</v>
      </c>
      <c r="D105" t="s">
        <v>1821</v>
      </c>
      <c r="E105" t="s">
        <v>867</v>
      </c>
    </row>
    <row r="106" spans="1:5">
      <c r="A106" t="s">
        <v>1895</v>
      </c>
      <c r="B106" t="s">
        <v>585</v>
      </c>
      <c r="C106" t="str">
        <f t="shared" si="1"/>
        <v>Michael Carter</v>
      </c>
      <c r="D106" t="s">
        <v>1823</v>
      </c>
      <c r="E106" t="s">
        <v>867</v>
      </c>
    </row>
    <row r="107" spans="1:5">
      <c r="A107" t="s">
        <v>1896</v>
      </c>
      <c r="B107" t="s">
        <v>703</v>
      </c>
      <c r="C107" t="str">
        <f t="shared" si="1"/>
        <v>Evan Hull</v>
      </c>
      <c r="D107" t="s">
        <v>1820</v>
      </c>
      <c r="E107" t="s">
        <v>867</v>
      </c>
    </row>
    <row r="108" spans="1:5">
      <c r="A108" t="s">
        <v>1897</v>
      </c>
      <c r="B108" t="s">
        <v>540</v>
      </c>
      <c r="C108" t="str">
        <f t="shared" si="1"/>
        <v>A.J. Dillon</v>
      </c>
      <c r="D108" t="s">
        <v>1817</v>
      </c>
      <c r="E108" t="s">
        <v>867</v>
      </c>
    </row>
    <row r="109" spans="1:5">
      <c r="A109" t="s">
        <v>1898</v>
      </c>
      <c r="B109" t="s">
        <v>611</v>
      </c>
      <c r="C109" t="str">
        <f t="shared" si="1"/>
        <v>Kenneth Gainwell</v>
      </c>
      <c r="D109" t="s">
        <v>1815</v>
      </c>
      <c r="E109" t="s">
        <v>867</v>
      </c>
    </row>
    <row r="110" spans="1:5">
      <c r="A110" t="s">
        <v>523</v>
      </c>
      <c r="B110" t="s">
        <v>522</v>
      </c>
      <c r="C110" t="str">
        <f t="shared" si="1"/>
        <v>Tyreek Hill</v>
      </c>
      <c r="D110" t="s">
        <v>1819</v>
      </c>
      <c r="E110" t="s">
        <v>865</v>
      </c>
    </row>
    <row r="111" spans="1:5">
      <c r="A111" t="s">
        <v>520</v>
      </c>
      <c r="B111" t="s">
        <v>519</v>
      </c>
      <c r="C111" t="str">
        <f t="shared" si="1"/>
        <v>CeeDee Lamb</v>
      </c>
      <c r="D111" t="s">
        <v>1822</v>
      </c>
      <c r="E111" t="s">
        <v>865</v>
      </c>
    </row>
    <row r="112" spans="1:5">
      <c r="A112" t="s">
        <v>526</v>
      </c>
      <c r="B112" t="s">
        <v>525</v>
      </c>
      <c r="C112" t="str">
        <f t="shared" si="1"/>
        <v>Ja'Marr Chase</v>
      </c>
      <c r="D112" t="s">
        <v>1818</v>
      </c>
      <c r="E112" t="s">
        <v>865</v>
      </c>
    </row>
    <row r="113" spans="1:5">
      <c r="A113" t="s">
        <v>532</v>
      </c>
      <c r="B113" t="s">
        <v>531</v>
      </c>
      <c r="C113" t="str">
        <f t="shared" si="1"/>
        <v>Justin Jefferson</v>
      </c>
      <c r="D113" t="s">
        <v>1845</v>
      </c>
      <c r="E113" t="s">
        <v>865</v>
      </c>
    </row>
    <row r="114" spans="1:5">
      <c r="A114" t="s">
        <v>529</v>
      </c>
      <c r="B114" t="s">
        <v>528</v>
      </c>
      <c r="C114" t="str">
        <f t="shared" si="1"/>
        <v>Amon-Ra St. Brown</v>
      </c>
      <c r="D114" t="s">
        <v>1828</v>
      </c>
      <c r="E114" t="s">
        <v>865</v>
      </c>
    </row>
    <row r="115" spans="1:5">
      <c r="A115" t="s">
        <v>541</v>
      </c>
      <c r="B115" t="s">
        <v>1899</v>
      </c>
      <c r="C115" t="str">
        <f t="shared" si="1"/>
        <v>A.J.  Brown</v>
      </c>
      <c r="D115" t="s">
        <v>1815</v>
      </c>
      <c r="E115" t="s">
        <v>865</v>
      </c>
    </row>
    <row r="116" spans="1:5">
      <c r="A116" t="s">
        <v>547</v>
      </c>
      <c r="B116" t="s">
        <v>546</v>
      </c>
      <c r="C116" t="str">
        <f t="shared" si="1"/>
        <v>Garrett Wilson</v>
      </c>
      <c r="D116" t="s">
        <v>1830</v>
      </c>
      <c r="E116" t="s">
        <v>865</v>
      </c>
    </row>
    <row r="117" spans="1:5">
      <c r="A117" t="s">
        <v>728</v>
      </c>
      <c r="B117" t="s">
        <v>589</v>
      </c>
      <c r="C117" t="str">
        <f t="shared" si="1"/>
        <v>Deebo Samuel</v>
      </c>
      <c r="D117" t="s">
        <v>1827</v>
      </c>
      <c r="E117" t="s">
        <v>865</v>
      </c>
    </row>
    <row r="118" spans="1:5">
      <c r="A118" t="s">
        <v>544</v>
      </c>
      <c r="B118" t="s">
        <v>543</v>
      </c>
      <c r="C118" t="str">
        <f t="shared" si="1"/>
        <v>Puka Nacua</v>
      </c>
      <c r="D118" t="s">
        <v>1833</v>
      </c>
      <c r="E118" t="s">
        <v>865</v>
      </c>
    </row>
    <row r="119" spans="1:5">
      <c r="A119" t="s">
        <v>601</v>
      </c>
      <c r="B119" t="s">
        <v>600</v>
      </c>
      <c r="C119" t="str">
        <f t="shared" si="1"/>
        <v>Jaylen Waddle</v>
      </c>
      <c r="D119" t="s">
        <v>1819</v>
      </c>
      <c r="E119" t="s">
        <v>865</v>
      </c>
    </row>
    <row r="120" spans="1:5">
      <c r="A120" t="s">
        <v>580</v>
      </c>
      <c r="B120" t="s">
        <v>579</v>
      </c>
      <c r="C120" t="str">
        <f t="shared" si="1"/>
        <v>Mike Evans</v>
      </c>
      <c r="D120" t="s">
        <v>1838</v>
      </c>
      <c r="E120" t="s">
        <v>865</v>
      </c>
    </row>
    <row r="121" spans="1:5">
      <c r="A121" t="s">
        <v>565</v>
      </c>
      <c r="B121" t="s">
        <v>564</v>
      </c>
      <c r="C121" t="str">
        <f t="shared" si="1"/>
        <v>Davante Adams</v>
      </c>
      <c r="D121" t="s">
        <v>1840</v>
      </c>
      <c r="E121" t="s">
        <v>865</v>
      </c>
    </row>
    <row r="122" spans="1:5">
      <c r="A122" t="s">
        <v>617</v>
      </c>
      <c r="B122" t="s">
        <v>1900</v>
      </c>
      <c r="C122" t="str">
        <f t="shared" si="1"/>
        <v>D.J. Moore</v>
      </c>
      <c r="D122" t="s">
        <v>1826</v>
      </c>
      <c r="E122" t="s">
        <v>865</v>
      </c>
    </row>
    <row r="123" spans="1:5">
      <c r="A123" t="s">
        <v>559</v>
      </c>
      <c r="B123" t="s">
        <v>558</v>
      </c>
      <c r="C123" t="str">
        <f t="shared" si="1"/>
        <v>Marvin Harrison Jr.</v>
      </c>
      <c r="D123" t="s">
        <v>1823</v>
      </c>
      <c r="E123" t="s">
        <v>865</v>
      </c>
    </row>
    <row r="124" spans="1:5">
      <c r="A124" t="s">
        <v>578</v>
      </c>
      <c r="B124" t="s">
        <v>577</v>
      </c>
      <c r="C124" t="str">
        <f t="shared" si="1"/>
        <v>Brandon Aiyuk</v>
      </c>
      <c r="D124" t="s">
        <v>1827</v>
      </c>
      <c r="E124" t="s">
        <v>865</v>
      </c>
    </row>
    <row r="125" spans="1:5">
      <c r="A125" t="s">
        <v>584</v>
      </c>
      <c r="B125" t="s">
        <v>583</v>
      </c>
      <c r="C125" t="str">
        <f t="shared" si="1"/>
        <v>Chris Olave</v>
      </c>
      <c r="D125" t="s">
        <v>1836</v>
      </c>
      <c r="E125" t="s">
        <v>865</v>
      </c>
    </row>
    <row r="126" spans="1:5">
      <c r="A126" t="s">
        <v>610</v>
      </c>
      <c r="B126" t="s">
        <v>1901</v>
      </c>
      <c r="C126" t="str">
        <f t="shared" si="1"/>
        <v>D.K. Metcalf</v>
      </c>
      <c r="D126" t="s">
        <v>1834</v>
      </c>
      <c r="E126" t="s">
        <v>865</v>
      </c>
    </row>
    <row r="127" spans="1:5">
      <c r="A127" t="s">
        <v>581</v>
      </c>
      <c r="B127" t="s">
        <v>602</v>
      </c>
      <c r="C127" t="str">
        <f t="shared" si="1"/>
        <v>Amari Cooper</v>
      </c>
      <c r="D127" t="s">
        <v>1837</v>
      </c>
      <c r="E127" t="s">
        <v>865</v>
      </c>
    </row>
    <row r="128" spans="1:5">
      <c r="A128" t="s">
        <v>627</v>
      </c>
      <c r="B128" t="s">
        <v>626</v>
      </c>
      <c r="C128" t="str">
        <f t="shared" si="1"/>
        <v>Stefon Diggs</v>
      </c>
      <c r="D128" t="s">
        <v>1816</v>
      </c>
      <c r="E128" t="s">
        <v>865</v>
      </c>
    </row>
    <row r="129" spans="1:5">
      <c r="A129" t="s">
        <v>608</v>
      </c>
      <c r="B129" t="s">
        <v>607</v>
      </c>
      <c r="C129" t="str">
        <f t="shared" si="1"/>
        <v>George Pickens</v>
      </c>
      <c r="D129" t="s">
        <v>1841</v>
      </c>
      <c r="E129" t="s">
        <v>865</v>
      </c>
    </row>
    <row r="130" spans="1:5">
      <c r="A130" t="s">
        <v>576</v>
      </c>
      <c r="B130" t="s">
        <v>575</v>
      </c>
      <c r="C130" t="str">
        <f t="shared" si="1"/>
        <v>Nico Collins</v>
      </c>
      <c r="D130" t="s">
        <v>1816</v>
      </c>
      <c r="E130" t="s">
        <v>865</v>
      </c>
    </row>
    <row r="131" spans="1:5">
      <c r="A131" t="s">
        <v>592</v>
      </c>
      <c r="B131" t="s">
        <v>1902</v>
      </c>
      <c r="C131" t="str">
        <f t="shared" ref="C131:C194" si="2">B131&amp;" "&amp;A131</f>
        <v>Devonta Smith</v>
      </c>
      <c r="D131" t="s">
        <v>1815</v>
      </c>
      <c r="E131" t="s">
        <v>865</v>
      </c>
    </row>
    <row r="132" spans="1:5">
      <c r="A132" t="s">
        <v>640</v>
      </c>
      <c r="B132" t="s">
        <v>639</v>
      </c>
      <c r="C132" t="str">
        <f t="shared" si="2"/>
        <v>Tank Dell</v>
      </c>
      <c r="D132" t="s">
        <v>1816</v>
      </c>
      <c r="E132" t="s">
        <v>865</v>
      </c>
    </row>
    <row r="133" spans="1:5">
      <c r="A133" t="s">
        <v>562</v>
      </c>
      <c r="B133" t="s">
        <v>561</v>
      </c>
      <c r="C133" t="str">
        <f t="shared" si="2"/>
        <v>Drake London</v>
      </c>
      <c r="D133" t="s">
        <v>1829</v>
      </c>
      <c r="E133" t="s">
        <v>865</v>
      </c>
    </row>
    <row r="134" spans="1:5">
      <c r="A134" t="s">
        <v>625</v>
      </c>
      <c r="B134" t="s">
        <v>516</v>
      </c>
      <c r="C134" t="str">
        <f t="shared" si="2"/>
        <v>Christian Kirk</v>
      </c>
      <c r="D134" t="s">
        <v>1824</v>
      </c>
      <c r="E134" t="s">
        <v>865</v>
      </c>
    </row>
    <row r="135" spans="1:5">
      <c r="A135" t="s">
        <v>632</v>
      </c>
      <c r="B135" t="s">
        <v>631</v>
      </c>
      <c r="C135" t="str">
        <f t="shared" si="2"/>
        <v>Tee Higgins</v>
      </c>
      <c r="D135" t="s">
        <v>1818</v>
      </c>
      <c r="E135" t="s">
        <v>865</v>
      </c>
    </row>
    <row r="136" spans="1:5">
      <c r="A136" t="s">
        <v>586</v>
      </c>
      <c r="B136" t="s">
        <v>585</v>
      </c>
      <c r="C136" t="str">
        <f t="shared" si="2"/>
        <v>Michael Pittman</v>
      </c>
      <c r="D136" t="s">
        <v>1820</v>
      </c>
      <c r="E136" t="s">
        <v>865</v>
      </c>
    </row>
    <row r="137" spans="1:5">
      <c r="A137" t="s">
        <v>733</v>
      </c>
      <c r="B137" t="s">
        <v>516</v>
      </c>
      <c r="C137" t="str">
        <f t="shared" si="2"/>
        <v>Christian Watson</v>
      </c>
      <c r="D137" t="s">
        <v>1817</v>
      </c>
      <c r="E137" t="s">
        <v>865</v>
      </c>
    </row>
    <row r="138" spans="1:5">
      <c r="A138" t="s">
        <v>582</v>
      </c>
      <c r="B138" t="s">
        <v>581</v>
      </c>
      <c r="C138" t="str">
        <f t="shared" si="2"/>
        <v>Cooper Kupp</v>
      </c>
      <c r="D138" t="s">
        <v>1833</v>
      </c>
      <c r="E138" t="s">
        <v>865</v>
      </c>
    </row>
    <row r="139" spans="1:5">
      <c r="A139" t="s">
        <v>614</v>
      </c>
      <c r="B139" t="s">
        <v>655</v>
      </c>
      <c r="C139" t="str">
        <f t="shared" si="2"/>
        <v>Keenan Allen</v>
      </c>
      <c r="D139" t="s">
        <v>1826</v>
      </c>
      <c r="E139" t="s">
        <v>865</v>
      </c>
    </row>
    <row r="140" spans="1:5">
      <c r="A140" t="s">
        <v>604</v>
      </c>
      <c r="B140" t="s">
        <v>603</v>
      </c>
      <c r="C140" t="str">
        <f t="shared" si="2"/>
        <v>Malik Nabers</v>
      </c>
      <c r="D140" t="s">
        <v>1832</v>
      </c>
      <c r="E140" t="s">
        <v>865</v>
      </c>
    </row>
    <row r="141" spans="1:5">
      <c r="A141" t="s">
        <v>1903</v>
      </c>
      <c r="B141" t="s">
        <v>645</v>
      </c>
      <c r="C141" t="str">
        <f t="shared" si="2"/>
        <v>Terry McLaurin</v>
      </c>
      <c r="D141" t="s">
        <v>1825</v>
      </c>
      <c r="E141" t="s">
        <v>865</v>
      </c>
    </row>
    <row r="142" spans="1:5">
      <c r="A142" t="s">
        <v>541</v>
      </c>
      <c r="B142" t="s">
        <v>652</v>
      </c>
      <c r="C142" t="str">
        <f t="shared" si="2"/>
        <v>Marquise Brown</v>
      </c>
      <c r="D142" t="s">
        <v>1813</v>
      </c>
      <c r="E142" t="s">
        <v>865</v>
      </c>
    </row>
    <row r="143" spans="1:5">
      <c r="A143" t="s">
        <v>698</v>
      </c>
      <c r="B143" t="s">
        <v>697</v>
      </c>
      <c r="C143" t="str">
        <f t="shared" si="2"/>
        <v>Xavier Worthy</v>
      </c>
      <c r="D143" t="s">
        <v>1813</v>
      </c>
      <c r="E143" t="s">
        <v>865</v>
      </c>
    </row>
    <row r="144" spans="1:5">
      <c r="A144" t="s">
        <v>667</v>
      </c>
      <c r="B144" t="s">
        <v>666</v>
      </c>
      <c r="C144" t="str">
        <f t="shared" si="2"/>
        <v>Rashee Rice</v>
      </c>
      <c r="D144" t="s">
        <v>1813</v>
      </c>
      <c r="E144" t="s">
        <v>865</v>
      </c>
    </row>
    <row r="145" spans="1:5">
      <c r="A145" t="s">
        <v>777</v>
      </c>
      <c r="B145" t="s">
        <v>776</v>
      </c>
      <c r="C145" t="str">
        <f t="shared" si="2"/>
        <v>Ricky Pearsall</v>
      </c>
      <c r="D145" t="s">
        <v>1827</v>
      </c>
      <c r="E145" t="s">
        <v>865</v>
      </c>
    </row>
    <row r="146" spans="1:5">
      <c r="A146" t="s">
        <v>619</v>
      </c>
      <c r="B146" t="s">
        <v>618</v>
      </c>
      <c r="C146" t="str">
        <f t="shared" si="2"/>
        <v>Calvin Ridley</v>
      </c>
      <c r="D146" t="s">
        <v>1846</v>
      </c>
      <c r="E146" t="s">
        <v>865</v>
      </c>
    </row>
    <row r="147" spans="1:5">
      <c r="A147" t="s">
        <v>670</v>
      </c>
      <c r="B147" t="s">
        <v>669</v>
      </c>
      <c r="C147" t="str">
        <f t="shared" si="2"/>
        <v>Jayden Reed</v>
      </c>
      <c r="D147" t="s">
        <v>1817</v>
      </c>
      <c r="E147" t="s">
        <v>865</v>
      </c>
    </row>
    <row r="148" spans="1:5">
      <c r="A148" t="s">
        <v>654</v>
      </c>
      <c r="B148" t="s">
        <v>653</v>
      </c>
      <c r="C148" t="str">
        <f t="shared" si="2"/>
        <v>Zay Flowers</v>
      </c>
      <c r="D148" t="s">
        <v>1821</v>
      </c>
      <c r="E148" t="s">
        <v>865</v>
      </c>
    </row>
    <row r="149" spans="1:5">
      <c r="A149" t="s">
        <v>819</v>
      </c>
      <c r="B149" t="s">
        <v>818</v>
      </c>
      <c r="C149" t="str">
        <f t="shared" si="2"/>
        <v>Jakobi Meyers</v>
      </c>
      <c r="D149" t="s">
        <v>1840</v>
      </c>
      <c r="E149" t="s">
        <v>865</v>
      </c>
    </row>
    <row r="150" spans="1:5">
      <c r="A150" t="s">
        <v>691</v>
      </c>
      <c r="B150" t="s">
        <v>690</v>
      </c>
      <c r="C150" t="str">
        <f t="shared" si="2"/>
        <v>Ladd McConkey</v>
      </c>
      <c r="D150" t="s">
        <v>1831</v>
      </c>
      <c r="E150" t="s">
        <v>865</v>
      </c>
    </row>
    <row r="151" spans="1:5">
      <c r="A151" t="s">
        <v>644</v>
      </c>
      <c r="B151" t="s">
        <v>643</v>
      </c>
      <c r="C151" t="str">
        <f t="shared" si="2"/>
        <v>Diontae Johnson</v>
      </c>
      <c r="D151" t="s">
        <v>1842</v>
      </c>
      <c r="E151" t="s">
        <v>865</v>
      </c>
    </row>
    <row r="152" spans="1:5">
      <c r="A152" t="s">
        <v>1904</v>
      </c>
      <c r="B152" t="s">
        <v>711</v>
      </c>
      <c r="C152" t="str">
        <f t="shared" si="2"/>
        <v>Brian Thomas</v>
      </c>
      <c r="D152" t="s">
        <v>1824</v>
      </c>
      <c r="E152" t="s">
        <v>865</v>
      </c>
    </row>
    <row r="153" spans="1:5">
      <c r="A153" t="s">
        <v>792</v>
      </c>
      <c r="B153" t="s">
        <v>857</v>
      </c>
      <c r="C153" t="str">
        <f t="shared" si="2"/>
        <v>Joshua Palmer</v>
      </c>
      <c r="D153" t="s">
        <v>1831</v>
      </c>
      <c r="E153" t="s">
        <v>865</v>
      </c>
    </row>
    <row r="154" spans="1:5">
      <c r="A154" t="s">
        <v>713</v>
      </c>
      <c r="B154" t="s">
        <v>712</v>
      </c>
      <c r="C154" t="str">
        <f t="shared" si="2"/>
        <v>Khalil Shakir</v>
      </c>
      <c r="D154" t="s">
        <v>1814</v>
      </c>
      <c r="E154" t="s">
        <v>865</v>
      </c>
    </row>
    <row r="155" spans="1:5">
      <c r="A155" t="s">
        <v>715</v>
      </c>
      <c r="B155" t="s">
        <v>714</v>
      </c>
      <c r="C155" t="str">
        <f t="shared" si="2"/>
        <v>Jordan Addison</v>
      </c>
      <c r="D155" t="s">
        <v>1845</v>
      </c>
      <c r="E155" t="s">
        <v>865</v>
      </c>
    </row>
    <row r="156" spans="1:5">
      <c r="A156" t="s">
        <v>568</v>
      </c>
      <c r="B156" t="s">
        <v>579</v>
      </c>
      <c r="C156" t="str">
        <f t="shared" si="2"/>
        <v>Mike Williams</v>
      </c>
      <c r="D156" t="s">
        <v>1830</v>
      </c>
      <c r="E156" t="s">
        <v>865</v>
      </c>
    </row>
    <row r="157" spans="1:5">
      <c r="A157" t="s">
        <v>1905</v>
      </c>
      <c r="B157" t="s">
        <v>1906</v>
      </c>
      <c r="C157" t="str">
        <f t="shared" si="2"/>
        <v>Rashid Shaheed</v>
      </c>
      <c r="D157" t="s">
        <v>1836</v>
      </c>
      <c r="E157" t="s">
        <v>865</v>
      </c>
    </row>
    <row r="158" spans="1:5">
      <c r="A158" t="s">
        <v>723</v>
      </c>
      <c r="B158" t="s">
        <v>722</v>
      </c>
      <c r="C158" t="str">
        <f t="shared" si="2"/>
        <v>DeAndre Hopkins</v>
      </c>
      <c r="D158" t="s">
        <v>1846</v>
      </c>
      <c r="E158" t="s">
        <v>865</v>
      </c>
    </row>
    <row r="159" spans="1:5">
      <c r="A159" t="s">
        <v>694</v>
      </c>
      <c r="B159" t="s">
        <v>693</v>
      </c>
      <c r="C159" t="str">
        <f t="shared" si="2"/>
        <v>Jaxon Smith-Njigba</v>
      </c>
      <c r="D159" t="s">
        <v>1834</v>
      </c>
      <c r="E159" t="s">
        <v>865</v>
      </c>
    </row>
    <row r="160" spans="1:5">
      <c r="A160" t="s">
        <v>754</v>
      </c>
      <c r="B160" t="s">
        <v>753</v>
      </c>
      <c r="C160" t="str">
        <f t="shared" si="2"/>
        <v>Romeo Doubs</v>
      </c>
      <c r="D160" t="s">
        <v>1817</v>
      </c>
      <c r="E160" t="s">
        <v>865</v>
      </c>
    </row>
    <row r="161" spans="1:5">
      <c r="A161" t="s">
        <v>795</v>
      </c>
      <c r="B161" t="s">
        <v>1907</v>
      </c>
      <c r="C161" t="str">
        <f t="shared" si="2"/>
        <v>Gabriel Davis</v>
      </c>
      <c r="D161" t="s">
        <v>1824</v>
      </c>
      <c r="E161" t="s">
        <v>865</v>
      </c>
    </row>
    <row r="162" spans="1:5">
      <c r="A162" t="s">
        <v>803</v>
      </c>
      <c r="B162" t="s">
        <v>613</v>
      </c>
      <c r="C162" t="str">
        <f t="shared" si="2"/>
        <v>Josh Downs</v>
      </c>
      <c r="D162" t="s">
        <v>1820</v>
      </c>
      <c r="E162" t="s">
        <v>865</v>
      </c>
    </row>
    <row r="163" spans="1:5">
      <c r="A163" t="s">
        <v>696</v>
      </c>
      <c r="B163" t="s">
        <v>695</v>
      </c>
      <c r="C163" t="str">
        <f t="shared" si="2"/>
        <v>Rome Odunze</v>
      </c>
      <c r="D163" t="s">
        <v>1826</v>
      </c>
      <c r="E163" t="s">
        <v>865</v>
      </c>
    </row>
    <row r="164" spans="1:5">
      <c r="A164" t="s">
        <v>748</v>
      </c>
      <c r="B164" t="s">
        <v>747</v>
      </c>
      <c r="C164" t="str">
        <f t="shared" si="2"/>
        <v>Jahan Dotson</v>
      </c>
      <c r="D164" t="s">
        <v>1825</v>
      </c>
      <c r="E164" t="s">
        <v>865</v>
      </c>
    </row>
    <row r="165" spans="1:5">
      <c r="A165" t="s">
        <v>768</v>
      </c>
      <c r="B165" t="s">
        <v>767</v>
      </c>
      <c r="C165" t="str">
        <f t="shared" si="2"/>
        <v>Jerry Jeudy</v>
      </c>
      <c r="D165" t="s">
        <v>1837</v>
      </c>
      <c r="E165" t="s">
        <v>865</v>
      </c>
    </row>
    <row r="166" spans="1:5">
      <c r="A166" t="s">
        <v>647</v>
      </c>
      <c r="B166" t="s">
        <v>583</v>
      </c>
      <c r="C166" t="str">
        <f t="shared" si="2"/>
        <v>Chris Godwin</v>
      </c>
      <c r="D166" t="s">
        <v>1838</v>
      </c>
      <c r="E166" t="s">
        <v>865</v>
      </c>
    </row>
    <row r="167" spans="1:5">
      <c r="A167" t="s">
        <v>735</v>
      </c>
      <c r="B167" t="s">
        <v>734</v>
      </c>
      <c r="C167" t="str">
        <f t="shared" si="2"/>
        <v>Courtland Sutton</v>
      </c>
      <c r="D167" t="s">
        <v>1839</v>
      </c>
      <c r="E167" t="s">
        <v>865</v>
      </c>
    </row>
    <row r="168" spans="1:5">
      <c r="A168" t="s">
        <v>730</v>
      </c>
      <c r="B168" t="s">
        <v>729</v>
      </c>
      <c r="C168" t="str">
        <f t="shared" si="2"/>
        <v>Tyler Lockett</v>
      </c>
      <c r="D168" t="s">
        <v>1834</v>
      </c>
      <c r="E168" t="s">
        <v>865</v>
      </c>
    </row>
    <row r="169" spans="1:5">
      <c r="A169" t="s">
        <v>766</v>
      </c>
      <c r="B169" t="s">
        <v>765</v>
      </c>
      <c r="C169" t="str">
        <f t="shared" si="2"/>
        <v>Dontayvion Wicks</v>
      </c>
      <c r="D169" t="s">
        <v>1817</v>
      </c>
      <c r="E169" t="s">
        <v>865</v>
      </c>
    </row>
    <row r="170" spans="1:5">
      <c r="A170" t="s">
        <v>689</v>
      </c>
      <c r="B170" t="s">
        <v>688</v>
      </c>
      <c r="C170" t="str">
        <f t="shared" si="2"/>
        <v>Keon Coleman</v>
      </c>
      <c r="D170" t="s">
        <v>1814</v>
      </c>
      <c r="E170" t="s">
        <v>865</v>
      </c>
    </row>
    <row r="171" spans="1:5">
      <c r="A171" t="s">
        <v>568</v>
      </c>
      <c r="B171" t="s">
        <v>716</v>
      </c>
      <c r="C171" t="str">
        <f t="shared" si="2"/>
        <v>Jameson Williams</v>
      </c>
      <c r="D171" t="s">
        <v>1828</v>
      </c>
      <c r="E171" t="s">
        <v>865</v>
      </c>
    </row>
    <row r="172" spans="1:5">
      <c r="A172" t="s">
        <v>817</v>
      </c>
      <c r="B172" t="s">
        <v>1908</v>
      </c>
      <c r="C172" t="str">
        <f t="shared" si="2"/>
        <v>Tre Tucker</v>
      </c>
      <c r="D172" t="s">
        <v>1840</v>
      </c>
      <c r="E172" t="s">
        <v>865</v>
      </c>
    </row>
    <row r="173" spans="1:5">
      <c r="A173" t="s">
        <v>770</v>
      </c>
      <c r="B173" t="s">
        <v>769</v>
      </c>
      <c r="C173" t="str">
        <f t="shared" si="2"/>
        <v>Brandin Cooks</v>
      </c>
      <c r="D173" t="s">
        <v>1822</v>
      </c>
      <c r="E173" t="s">
        <v>865</v>
      </c>
    </row>
    <row r="174" spans="1:5">
      <c r="A174" t="s">
        <v>840</v>
      </c>
      <c r="B174" t="s">
        <v>839</v>
      </c>
      <c r="C174" t="str">
        <f t="shared" si="2"/>
        <v>Darnell Mooney</v>
      </c>
      <c r="D174" t="s">
        <v>1829</v>
      </c>
      <c r="E174" t="s">
        <v>865</v>
      </c>
    </row>
    <row r="175" spans="1:5">
      <c r="A175" t="s">
        <v>635</v>
      </c>
      <c r="B175" t="s">
        <v>1909</v>
      </c>
      <c r="C175" t="str">
        <f t="shared" si="2"/>
        <v>Tim Patrick</v>
      </c>
      <c r="D175" t="s">
        <v>1839</v>
      </c>
      <c r="E175" t="s">
        <v>865</v>
      </c>
    </row>
    <row r="176" spans="1:5">
      <c r="A176" t="s">
        <v>1910</v>
      </c>
      <c r="B176" t="s">
        <v>729</v>
      </c>
      <c r="C176" t="str">
        <f t="shared" si="2"/>
        <v>Tyler Boyd</v>
      </c>
      <c r="D176" t="s">
        <v>1846</v>
      </c>
      <c r="E176" t="s">
        <v>865</v>
      </c>
    </row>
    <row r="177" spans="1:5">
      <c r="A177" t="s">
        <v>538</v>
      </c>
      <c r="B177" t="s">
        <v>1911</v>
      </c>
      <c r="C177" t="str">
        <f t="shared" si="2"/>
        <v>Demarcus Robinson</v>
      </c>
      <c r="D177" t="s">
        <v>1833</v>
      </c>
      <c r="E177" t="s">
        <v>865</v>
      </c>
    </row>
    <row r="178" spans="1:5">
      <c r="A178" t="s">
        <v>808</v>
      </c>
      <c r="B178" t="s">
        <v>807</v>
      </c>
      <c r="C178" t="str">
        <f t="shared" si="2"/>
        <v>Ja'Lynn Polk</v>
      </c>
      <c r="D178" t="s">
        <v>1835</v>
      </c>
      <c r="E178" t="s">
        <v>865</v>
      </c>
    </row>
    <row r="179" spans="1:5">
      <c r="A179" t="s">
        <v>1912</v>
      </c>
      <c r="B179" t="s">
        <v>558</v>
      </c>
      <c r="C179" t="str">
        <f t="shared" si="2"/>
        <v>Marvin Mims</v>
      </c>
      <c r="D179" t="s">
        <v>1839</v>
      </c>
      <c r="E179" t="s">
        <v>865</v>
      </c>
    </row>
    <row r="180" spans="1:5">
      <c r="A180" t="s">
        <v>838</v>
      </c>
      <c r="B180" t="s">
        <v>837</v>
      </c>
      <c r="C180" t="str">
        <f t="shared" si="2"/>
        <v>Adam Thielen</v>
      </c>
      <c r="D180" t="s">
        <v>1842</v>
      </c>
      <c r="E180" t="s">
        <v>865</v>
      </c>
    </row>
    <row r="181" spans="1:5">
      <c r="A181" t="s">
        <v>728</v>
      </c>
      <c r="B181" t="s">
        <v>727</v>
      </c>
      <c r="C181" t="str">
        <f t="shared" si="2"/>
        <v>Curtis Samuel</v>
      </c>
      <c r="D181" t="s">
        <v>1814</v>
      </c>
      <c r="E181" t="s">
        <v>865</v>
      </c>
    </row>
    <row r="182" spans="1:5">
      <c r="A182" t="s">
        <v>547</v>
      </c>
      <c r="B182" t="s">
        <v>585</v>
      </c>
      <c r="C182" t="str">
        <f t="shared" si="2"/>
        <v>Michael Wilson</v>
      </c>
      <c r="D182" t="s">
        <v>1823</v>
      </c>
      <c r="E182" t="s">
        <v>865</v>
      </c>
    </row>
    <row r="183" spans="1:5">
      <c r="A183" t="s">
        <v>752</v>
      </c>
      <c r="B183" t="s">
        <v>751</v>
      </c>
      <c r="C183" t="str">
        <f t="shared" si="2"/>
        <v>Malachi Corley</v>
      </c>
      <c r="D183" t="s">
        <v>1830</v>
      </c>
      <c r="E183" t="s">
        <v>865</v>
      </c>
    </row>
    <row r="184" spans="1:5">
      <c r="A184" t="s">
        <v>547</v>
      </c>
      <c r="B184" t="s">
        <v>801</v>
      </c>
      <c r="C184" t="str">
        <f t="shared" si="2"/>
        <v>Roman Wilson</v>
      </c>
      <c r="D184" t="s">
        <v>1841</v>
      </c>
      <c r="E184" t="s">
        <v>865</v>
      </c>
    </row>
    <row r="185" spans="1:5">
      <c r="A185" t="s">
        <v>790</v>
      </c>
      <c r="B185" t="s">
        <v>789</v>
      </c>
      <c r="C185" t="str">
        <f t="shared" si="2"/>
        <v>Demario Douglas</v>
      </c>
      <c r="D185" t="s">
        <v>1835</v>
      </c>
      <c r="E185" t="s">
        <v>865</v>
      </c>
    </row>
    <row r="186" spans="1:5">
      <c r="A186" t="s">
        <v>1913</v>
      </c>
      <c r="B186" t="s">
        <v>697</v>
      </c>
      <c r="C186" t="str">
        <f t="shared" si="2"/>
        <v>Xavier Legette</v>
      </c>
      <c r="D186" t="s">
        <v>1842</v>
      </c>
      <c r="E186" t="s">
        <v>865</v>
      </c>
    </row>
    <row r="187" spans="1:5">
      <c r="A187" t="s">
        <v>764</v>
      </c>
      <c r="B187" t="s">
        <v>763</v>
      </c>
      <c r="C187" t="str">
        <f t="shared" si="2"/>
        <v>Adonai Mitchell</v>
      </c>
      <c r="D187" t="s">
        <v>1820</v>
      </c>
      <c r="E187" t="s">
        <v>865</v>
      </c>
    </row>
    <row r="188" spans="1:5">
      <c r="A188" t="s">
        <v>783</v>
      </c>
      <c r="B188" t="s">
        <v>782</v>
      </c>
      <c r="C188" t="str">
        <f t="shared" si="2"/>
        <v>Greg Dortch</v>
      </c>
      <c r="D188" t="s">
        <v>1823</v>
      </c>
      <c r="E188" t="s">
        <v>865</v>
      </c>
    </row>
    <row r="189" spans="1:5">
      <c r="A189" t="s">
        <v>617</v>
      </c>
      <c r="B189" t="s">
        <v>1869</v>
      </c>
      <c r="C189" t="str">
        <f t="shared" si="2"/>
        <v>Elijah Moore</v>
      </c>
      <c r="D189" t="s">
        <v>1837</v>
      </c>
      <c r="E189" t="s">
        <v>865</v>
      </c>
    </row>
    <row r="190" spans="1:5">
      <c r="A190" t="s">
        <v>1914</v>
      </c>
      <c r="B190" t="s">
        <v>614</v>
      </c>
      <c r="C190" t="str">
        <f t="shared" si="2"/>
        <v>Allen Lazard</v>
      </c>
      <c r="D190" t="s">
        <v>1830</v>
      </c>
      <c r="E190" t="s">
        <v>865</v>
      </c>
    </row>
    <row r="191" spans="1:5">
      <c r="A191" t="s">
        <v>1915</v>
      </c>
      <c r="B191" t="s">
        <v>1916</v>
      </c>
      <c r="C191" t="str">
        <f t="shared" si="2"/>
        <v>Darius Slayton</v>
      </c>
      <c r="D191" t="s">
        <v>1832</v>
      </c>
      <c r="E191" t="s">
        <v>865</v>
      </c>
    </row>
    <row r="192" spans="1:5">
      <c r="A192" t="s">
        <v>830</v>
      </c>
      <c r="B192" t="s">
        <v>829</v>
      </c>
      <c r="C192" t="str">
        <f t="shared" si="2"/>
        <v>Troy Franklin</v>
      </c>
      <c r="D192" t="s">
        <v>1839</v>
      </c>
      <c r="E192" t="s">
        <v>865</v>
      </c>
    </row>
    <row r="193" spans="1:5">
      <c r="A193" t="s">
        <v>1917</v>
      </c>
      <c r="B193" t="s">
        <v>1900</v>
      </c>
      <c r="C193" t="str">
        <f t="shared" si="2"/>
        <v>D.J. Chark</v>
      </c>
      <c r="D193" t="s">
        <v>1831</v>
      </c>
      <c r="E193" t="s">
        <v>865</v>
      </c>
    </row>
    <row r="194" spans="1:5">
      <c r="A194" t="s">
        <v>538</v>
      </c>
      <c r="B194" t="s">
        <v>826</v>
      </c>
      <c r="C194" t="str">
        <f t="shared" si="2"/>
        <v>Wan'Dale Robinson</v>
      </c>
      <c r="D194" t="s">
        <v>1832</v>
      </c>
      <c r="E194" t="s">
        <v>865</v>
      </c>
    </row>
    <row r="195" spans="1:5">
      <c r="A195" t="s">
        <v>1851</v>
      </c>
      <c r="B195" t="s">
        <v>1918</v>
      </c>
      <c r="C195" t="str">
        <f t="shared" ref="C195:C258" si="3">B195&amp;" "&amp;A195</f>
        <v>Devontez Walker</v>
      </c>
      <c r="D195" t="s">
        <v>1821</v>
      </c>
      <c r="E195" t="s">
        <v>865</v>
      </c>
    </row>
    <row r="196" spans="1:5">
      <c r="A196" t="s">
        <v>785</v>
      </c>
      <c r="B196" t="s">
        <v>692</v>
      </c>
      <c r="C196" t="str">
        <f t="shared" si="3"/>
        <v>Javon Baker</v>
      </c>
      <c r="D196" t="s">
        <v>1835</v>
      </c>
      <c r="E196" t="s">
        <v>865</v>
      </c>
    </row>
    <row r="197" spans="1:5">
      <c r="A197" t="s">
        <v>1919</v>
      </c>
      <c r="B197" t="s">
        <v>1920</v>
      </c>
      <c r="C197" t="str">
        <f t="shared" si="3"/>
        <v>Kendrick Bourne</v>
      </c>
      <c r="D197" t="s">
        <v>1835</v>
      </c>
      <c r="E197" t="s">
        <v>865</v>
      </c>
    </row>
    <row r="198" spans="1:5">
      <c r="A198" t="s">
        <v>1921</v>
      </c>
      <c r="B198" t="s">
        <v>1922</v>
      </c>
      <c r="C198" t="str">
        <f t="shared" si="3"/>
        <v>K.J. Osborn</v>
      </c>
      <c r="D198" t="s">
        <v>1835</v>
      </c>
      <c r="E198" t="s">
        <v>865</v>
      </c>
    </row>
    <row r="199" spans="1:5">
      <c r="A199" t="s">
        <v>1904</v>
      </c>
      <c r="B199" t="s">
        <v>585</v>
      </c>
      <c r="C199" t="str">
        <f t="shared" si="3"/>
        <v>Michael Thomas</v>
      </c>
      <c r="D199" t="s">
        <v>1850</v>
      </c>
      <c r="E199" t="s">
        <v>865</v>
      </c>
    </row>
    <row r="200" spans="1:5">
      <c r="A200" t="s">
        <v>775</v>
      </c>
      <c r="B200" t="s">
        <v>774</v>
      </c>
      <c r="C200" t="str">
        <f t="shared" si="3"/>
        <v>Quentin Johnston</v>
      </c>
      <c r="D200" t="s">
        <v>1831</v>
      </c>
      <c r="E200" t="s">
        <v>865</v>
      </c>
    </row>
    <row r="201" spans="1:5">
      <c r="A201" t="s">
        <v>1923</v>
      </c>
      <c r="B201" t="s">
        <v>552</v>
      </c>
      <c r="C201" t="str">
        <f t="shared" si="3"/>
        <v>Jonathan Mingo</v>
      </c>
      <c r="D201" t="s">
        <v>1842</v>
      </c>
      <c r="E201" t="s">
        <v>865</v>
      </c>
    </row>
    <row r="202" spans="1:5">
      <c r="A202" t="s">
        <v>1924</v>
      </c>
      <c r="B202" t="s">
        <v>1925</v>
      </c>
      <c r="C202" t="str">
        <f t="shared" si="3"/>
        <v>Jalin Hyatt</v>
      </c>
      <c r="D202" t="s">
        <v>1832</v>
      </c>
      <c r="E202" t="s">
        <v>865</v>
      </c>
    </row>
    <row r="203" spans="1:5">
      <c r="A203" t="s">
        <v>1926</v>
      </c>
      <c r="B203" t="s">
        <v>1927</v>
      </c>
      <c r="C203" t="str">
        <f t="shared" si="3"/>
        <v>Treylon Burks</v>
      </c>
      <c r="D203" t="s">
        <v>1846</v>
      </c>
      <c r="E203" t="s">
        <v>865</v>
      </c>
    </row>
    <row r="204" spans="1:5">
      <c r="A204" t="s">
        <v>810</v>
      </c>
      <c r="B204" t="s">
        <v>809</v>
      </c>
      <c r="C204" t="str">
        <f t="shared" si="3"/>
        <v>Rashod Bateman</v>
      </c>
      <c r="D204" t="s">
        <v>1821</v>
      </c>
      <c r="E204" t="s">
        <v>865</v>
      </c>
    </row>
    <row r="205" spans="1:5">
      <c r="A205" t="s">
        <v>598</v>
      </c>
      <c r="B205" t="s">
        <v>597</v>
      </c>
      <c r="C205" t="str">
        <f t="shared" si="3"/>
        <v>Sam LaPorta</v>
      </c>
      <c r="D205" t="s">
        <v>1828</v>
      </c>
      <c r="E205" t="s">
        <v>890</v>
      </c>
    </row>
    <row r="206" spans="1:5">
      <c r="A206" t="s">
        <v>659</v>
      </c>
      <c r="B206" t="s">
        <v>658</v>
      </c>
      <c r="C206" t="str">
        <f t="shared" si="3"/>
        <v>Dalton Kincaid</v>
      </c>
      <c r="D206" t="s">
        <v>1814</v>
      </c>
      <c r="E206" t="s">
        <v>890</v>
      </c>
    </row>
    <row r="207" spans="1:5">
      <c r="A207" t="s">
        <v>599</v>
      </c>
      <c r="B207" t="s">
        <v>573</v>
      </c>
      <c r="C207" t="str">
        <f t="shared" si="3"/>
        <v>Travis Kelce</v>
      </c>
      <c r="D207" t="s">
        <v>1813</v>
      </c>
      <c r="E207" t="s">
        <v>890</v>
      </c>
    </row>
    <row r="208" spans="1:5">
      <c r="A208" t="s">
        <v>678</v>
      </c>
      <c r="B208" t="s">
        <v>607</v>
      </c>
      <c r="C208" t="str">
        <f t="shared" si="3"/>
        <v>George Kittle</v>
      </c>
      <c r="D208" t="s">
        <v>1827</v>
      </c>
      <c r="E208" t="s">
        <v>890</v>
      </c>
    </row>
    <row r="209" spans="1:5">
      <c r="A209" t="s">
        <v>621</v>
      </c>
      <c r="B209" t="s">
        <v>620</v>
      </c>
      <c r="C209" t="str">
        <f t="shared" si="3"/>
        <v>Mark Andrews</v>
      </c>
      <c r="D209" t="s">
        <v>1821</v>
      </c>
      <c r="E209" t="s">
        <v>890</v>
      </c>
    </row>
    <row r="210" spans="1:5">
      <c r="A210" t="s">
        <v>596</v>
      </c>
      <c r="B210" t="s">
        <v>595</v>
      </c>
      <c r="C210" t="str">
        <f t="shared" si="3"/>
        <v>Trey McBride</v>
      </c>
      <c r="D210" t="s">
        <v>1823</v>
      </c>
      <c r="E210" t="s">
        <v>890</v>
      </c>
    </row>
    <row r="211" spans="1:5">
      <c r="A211" t="s">
        <v>702</v>
      </c>
      <c r="B211" t="s">
        <v>701</v>
      </c>
      <c r="C211" t="str">
        <f t="shared" si="3"/>
        <v>Jake Ferguson</v>
      </c>
      <c r="D211" t="s">
        <v>1822</v>
      </c>
      <c r="E211" t="s">
        <v>890</v>
      </c>
    </row>
    <row r="212" spans="1:5">
      <c r="A212" t="s">
        <v>721</v>
      </c>
      <c r="B212" t="s">
        <v>720</v>
      </c>
      <c r="C212" t="str">
        <f t="shared" si="3"/>
        <v>Dallas Goedert</v>
      </c>
      <c r="D212" t="s">
        <v>1815</v>
      </c>
      <c r="E212" t="s">
        <v>890</v>
      </c>
    </row>
    <row r="213" spans="1:5">
      <c r="A213" t="s">
        <v>760</v>
      </c>
      <c r="B213" t="s">
        <v>731</v>
      </c>
      <c r="C213" t="str">
        <f t="shared" si="3"/>
        <v>Brock Bowers</v>
      </c>
      <c r="D213" t="s">
        <v>1840</v>
      </c>
      <c r="E213" t="s">
        <v>890</v>
      </c>
    </row>
    <row r="214" spans="1:5">
      <c r="A214" t="s">
        <v>661</v>
      </c>
      <c r="B214" t="s">
        <v>660</v>
      </c>
      <c r="C214" t="str">
        <f t="shared" si="3"/>
        <v>Kyle Pitts</v>
      </c>
      <c r="D214" t="s">
        <v>1829</v>
      </c>
      <c r="E214" t="s">
        <v>890</v>
      </c>
    </row>
    <row r="215" spans="1:5">
      <c r="A215" t="s">
        <v>704</v>
      </c>
      <c r="B215" t="s">
        <v>703</v>
      </c>
      <c r="C215" t="str">
        <f t="shared" si="3"/>
        <v>Evan Engram</v>
      </c>
      <c r="D215" t="s">
        <v>1824</v>
      </c>
      <c r="E215" t="s">
        <v>890</v>
      </c>
    </row>
    <row r="216" spans="1:5">
      <c r="A216" t="s">
        <v>717</v>
      </c>
      <c r="B216" t="s">
        <v>633</v>
      </c>
      <c r="C216" t="str">
        <f t="shared" si="3"/>
        <v>David Njoku</v>
      </c>
      <c r="D216" t="s">
        <v>1837</v>
      </c>
      <c r="E216" t="s">
        <v>890</v>
      </c>
    </row>
    <row r="217" spans="1:5">
      <c r="A217" t="s">
        <v>788</v>
      </c>
      <c r="B217" t="s">
        <v>787</v>
      </c>
      <c r="C217" t="str">
        <f t="shared" si="3"/>
        <v>Cole Kmet</v>
      </c>
      <c r="D217" t="s">
        <v>1826</v>
      </c>
      <c r="E217" t="s">
        <v>890</v>
      </c>
    </row>
    <row r="218" spans="1:5">
      <c r="A218" t="s">
        <v>746</v>
      </c>
      <c r="B218" t="s">
        <v>745</v>
      </c>
      <c r="C218" t="str">
        <f t="shared" si="3"/>
        <v>Pat Freiermuth</v>
      </c>
      <c r="D218" t="s">
        <v>1841</v>
      </c>
      <c r="E218" t="s">
        <v>890</v>
      </c>
    </row>
    <row r="219" spans="1:5">
      <c r="A219" t="s">
        <v>742</v>
      </c>
      <c r="B219" t="s">
        <v>741</v>
      </c>
      <c r="C219" t="str">
        <f t="shared" si="3"/>
        <v>T.J. Hockenson</v>
      </c>
      <c r="D219" t="s">
        <v>1845</v>
      </c>
      <c r="E219" t="s">
        <v>890</v>
      </c>
    </row>
    <row r="220" spans="1:5">
      <c r="A220" t="s">
        <v>644</v>
      </c>
      <c r="B220" t="s">
        <v>1928</v>
      </c>
      <c r="C220" t="str">
        <f t="shared" si="3"/>
        <v>Juwan Johnson</v>
      </c>
      <c r="D220" t="s">
        <v>1836</v>
      </c>
      <c r="E220" t="s">
        <v>890</v>
      </c>
    </row>
    <row r="221" spans="1:5">
      <c r="A221" t="s">
        <v>523</v>
      </c>
      <c r="B221" t="s">
        <v>1929</v>
      </c>
      <c r="C221" t="str">
        <f t="shared" si="3"/>
        <v>Taysom Hill</v>
      </c>
      <c r="D221" t="s">
        <v>1836</v>
      </c>
      <c r="E221" t="s">
        <v>890</v>
      </c>
    </row>
    <row r="222" spans="1:5">
      <c r="A222" t="s">
        <v>773</v>
      </c>
      <c r="B222" t="s">
        <v>658</v>
      </c>
      <c r="C222" t="str">
        <f t="shared" si="3"/>
        <v>Dalton Schultz</v>
      </c>
      <c r="D222" t="s">
        <v>1816</v>
      </c>
      <c r="E222" t="s">
        <v>890</v>
      </c>
    </row>
    <row r="223" spans="1:5">
      <c r="A223" t="s">
        <v>1930</v>
      </c>
      <c r="B223" t="s">
        <v>729</v>
      </c>
      <c r="C223" t="str">
        <f t="shared" si="3"/>
        <v>Tyler Conklin</v>
      </c>
      <c r="D223" t="s">
        <v>1830</v>
      </c>
      <c r="E223" t="s">
        <v>890</v>
      </c>
    </row>
    <row r="224" spans="1:5">
      <c r="A224" t="s">
        <v>1931</v>
      </c>
      <c r="B224" t="s">
        <v>1932</v>
      </c>
      <c r="C224" t="str">
        <f t="shared" si="3"/>
        <v>Chig Okonkwo</v>
      </c>
      <c r="D224" t="s">
        <v>1846</v>
      </c>
      <c r="E224" t="s">
        <v>890</v>
      </c>
    </row>
    <row r="225" spans="1:5">
      <c r="A225" t="s">
        <v>1933</v>
      </c>
      <c r="B225" t="s">
        <v>1934</v>
      </c>
      <c r="C225" t="str">
        <f t="shared" si="3"/>
        <v>Cade Otton</v>
      </c>
      <c r="D225" t="s">
        <v>1838</v>
      </c>
      <c r="E225" t="s">
        <v>890</v>
      </c>
    </row>
    <row r="226" spans="1:5">
      <c r="A226" t="s">
        <v>1935</v>
      </c>
      <c r="B226" t="s">
        <v>1936</v>
      </c>
      <c r="C226" t="str">
        <f t="shared" si="3"/>
        <v>Isaiah Likely</v>
      </c>
      <c r="D226" t="s">
        <v>1821</v>
      </c>
      <c r="E226" t="s">
        <v>890</v>
      </c>
    </row>
    <row r="227" spans="1:5">
      <c r="A227" t="s">
        <v>1937</v>
      </c>
      <c r="B227" t="s">
        <v>1938</v>
      </c>
      <c r="C227" t="str">
        <f t="shared" si="3"/>
        <v>Donald Parham</v>
      </c>
      <c r="D227" t="s">
        <v>1831</v>
      </c>
      <c r="E227" t="s">
        <v>890</v>
      </c>
    </row>
    <row r="228" spans="1:5">
      <c r="A228" t="s">
        <v>570</v>
      </c>
      <c r="B228" t="s">
        <v>1939</v>
      </c>
      <c r="C228" t="str">
        <f t="shared" si="3"/>
        <v>Hunter Henry</v>
      </c>
      <c r="D228" t="s">
        <v>1835</v>
      </c>
      <c r="E228" t="s">
        <v>890</v>
      </c>
    </row>
    <row r="229" spans="1:5">
      <c r="A229" t="s">
        <v>1940</v>
      </c>
      <c r="B229" t="s">
        <v>1941</v>
      </c>
      <c r="C229" t="str">
        <f t="shared" si="3"/>
        <v>Luke Musgrave</v>
      </c>
      <c r="D229" t="s">
        <v>1817</v>
      </c>
      <c r="E229" t="s">
        <v>890</v>
      </c>
    </row>
    <row r="230" spans="1:5">
      <c r="A230" t="s">
        <v>1892</v>
      </c>
      <c r="B230" t="s">
        <v>1942</v>
      </c>
      <c r="C230" t="str">
        <f t="shared" si="3"/>
        <v>Noah Gray</v>
      </c>
      <c r="D230" t="s">
        <v>1813</v>
      </c>
      <c r="E230" t="s">
        <v>890</v>
      </c>
    </row>
    <row r="231" spans="1:5">
      <c r="A231" t="s">
        <v>1943</v>
      </c>
      <c r="B231" t="s">
        <v>1944</v>
      </c>
      <c r="C231" t="str">
        <f t="shared" si="3"/>
        <v>Darren Waller</v>
      </c>
      <c r="D231" t="s">
        <v>1832</v>
      </c>
      <c r="E231" t="s">
        <v>890</v>
      </c>
    </row>
    <row r="232" spans="1:5">
      <c r="A232" t="s">
        <v>592</v>
      </c>
      <c r="B232" t="s">
        <v>1945</v>
      </c>
      <c r="C232" t="str">
        <f t="shared" si="3"/>
        <v>Jonnu Smith</v>
      </c>
      <c r="D232" t="s">
        <v>1819</v>
      </c>
      <c r="E232" t="s">
        <v>890</v>
      </c>
    </row>
    <row r="233" spans="1:5">
      <c r="A233" t="s">
        <v>1946</v>
      </c>
      <c r="B233" t="s">
        <v>817</v>
      </c>
      <c r="C233" t="str">
        <f t="shared" si="3"/>
        <v>Tucker Kraft</v>
      </c>
      <c r="D233" t="s">
        <v>1817</v>
      </c>
      <c r="E233" t="s">
        <v>890</v>
      </c>
    </row>
    <row r="234" spans="1:5">
      <c r="A234" t="s">
        <v>1947</v>
      </c>
      <c r="B234" t="s">
        <v>1948</v>
      </c>
      <c r="C234" t="str">
        <f t="shared" si="3"/>
        <v>Gerald Everett</v>
      </c>
      <c r="D234" t="s">
        <v>1826</v>
      </c>
      <c r="E234" t="s">
        <v>890</v>
      </c>
    </row>
    <row r="235" spans="1:5">
      <c r="A235" t="s">
        <v>1949</v>
      </c>
      <c r="B235" t="s">
        <v>729</v>
      </c>
      <c r="C235" t="str">
        <f t="shared" si="3"/>
        <v>Tyler Higbee</v>
      </c>
      <c r="D235" t="s">
        <v>1833</v>
      </c>
      <c r="E235" t="s">
        <v>890</v>
      </c>
    </row>
    <row r="236" spans="1:5">
      <c r="A236" t="s">
        <v>1950</v>
      </c>
      <c r="B236" t="s">
        <v>1942</v>
      </c>
      <c r="C236" t="str">
        <f t="shared" si="3"/>
        <v>Noah Fant</v>
      </c>
      <c r="D236" t="s">
        <v>1834</v>
      </c>
      <c r="E236" t="s">
        <v>890</v>
      </c>
    </row>
    <row r="237" spans="1:5">
      <c r="A237" t="s">
        <v>1951</v>
      </c>
      <c r="B237" t="s">
        <v>1952</v>
      </c>
      <c r="C237" t="str">
        <f t="shared" si="3"/>
        <v>Kylen Granson</v>
      </c>
      <c r="D237" t="s">
        <v>1820</v>
      </c>
      <c r="E237" t="s">
        <v>890</v>
      </c>
    </row>
    <row r="238" spans="1:5">
      <c r="A238" t="s">
        <v>1904</v>
      </c>
      <c r="B238" t="s">
        <v>1953</v>
      </c>
      <c r="C238" t="str">
        <f t="shared" si="3"/>
        <v>Logan Thomas</v>
      </c>
      <c r="D238" t="s">
        <v>1850</v>
      </c>
      <c r="E238" t="s">
        <v>890</v>
      </c>
    </row>
    <row r="239" spans="1:5">
      <c r="A239" t="s">
        <v>1954</v>
      </c>
      <c r="B239" t="s">
        <v>771</v>
      </c>
      <c r="C239" t="str">
        <f t="shared" si="3"/>
        <v>Zach Ertz</v>
      </c>
      <c r="D239" t="s">
        <v>1825</v>
      </c>
      <c r="E239" t="s">
        <v>890</v>
      </c>
    </row>
    <row r="240" spans="1:5">
      <c r="A240" t="s">
        <v>1955</v>
      </c>
      <c r="B240" t="s">
        <v>1956</v>
      </c>
      <c r="C240" t="str">
        <f t="shared" si="3"/>
        <v>Dawson Knox</v>
      </c>
      <c r="D240" t="s">
        <v>1814</v>
      </c>
      <c r="E240" t="s">
        <v>890</v>
      </c>
    </row>
    <row r="241" spans="1:5">
      <c r="A241" t="s">
        <v>1957</v>
      </c>
      <c r="B241" t="s">
        <v>1958</v>
      </c>
      <c r="C241" t="str">
        <f t="shared" si="3"/>
        <v>Hayden Hurst</v>
      </c>
      <c r="D241" t="s">
        <v>1842</v>
      </c>
      <c r="E241" t="s">
        <v>890</v>
      </c>
    </row>
    <row r="242" spans="1:5">
      <c r="A242" t="s">
        <v>1959</v>
      </c>
      <c r="B242" t="s">
        <v>1960</v>
      </c>
      <c r="C242" t="str">
        <f t="shared" si="3"/>
        <v>Tanner Hudson</v>
      </c>
      <c r="D242" t="s">
        <v>1818</v>
      </c>
      <c r="E242" t="s">
        <v>890</v>
      </c>
    </row>
    <row r="243" spans="1:5">
      <c r="A243" t="s">
        <v>1961</v>
      </c>
      <c r="B243" t="s">
        <v>820</v>
      </c>
      <c r="C243" t="str">
        <f t="shared" si="3"/>
        <v>Harrison Bryant</v>
      </c>
      <c r="D243" t="s">
        <v>1837</v>
      </c>
      <c r="E243" t="s">
        <v>890</v>
      </c>
    </row>
    <row r="244" spans="1:5">
      <c r="A244" t="s">
        <v>1962</v>
      </c>
      <c r="B244" t="s">
        <v>1963</v>
      </c>
      <c r="C244" t="str">
        <f t="shared" si="3"/>
        <v>Durham Smythe</v>
      </c>
      <c r="D244" t="s">
        <v>1819</v>
      </c>
      <c r="E244" t="s">
        <v>890</v>
      </c>
    </row>
    <row r="245" spans="1:5">
      <c r="A245" t="s">
        <v>1964</v>
      </c>
      <c r="B245" t="s">
        <v>585</v>
      </c>
      <c r="C245" t="str">
        <f t="shared" si="3"/>
        <v>Michael Mayer</v>
      </c>
      <c r="D245" t="s">
        <v>1840</v>
      </c>
      <c r="E245" t="s">
        <v>890</v>
      </c>
    </row>
    <row r="246" spans="1:5">
      <c r="A246" t="s">
        <v>1965</v>
      </c>
      <c r="B246" t="s">
        <v>839</v>
      </c>
      <c r="C246" t="str">
        <f t="shared" si="3"/>
        <v>Darnell Washington</v>
      </c>
      <c r="D246" t="s">
        <v>1841</v>
      </c>
      <c r="E246" t="s">
        <v>890</v>
      </c>
    </row>
    <row r="247" spans="1:5">
      <c r="A247" t="s">
        <v>1966</v>
      </c>
      <c r="B247" t="s">
        <v>579</v>
      </c>
      <c r="C247" t="str">
        <f t="shared" si="3"/>
        <v>Mike Gesicki</v>
      </c>
      <c r="D247" t="s">
        <v>1835</v>
      </c>
      <c r="E247" t="s">
        <v>890</v>
      </c>
    </row>
    <row r="248" spans="1:5">
      <c r="A248" t="s">
        <v>1967</v>
      </c>
      <c r="B248" t="s">
        <v>782</v>
      </c>
      <c r="C248" t="str">
        <f t="shared" si="3"/>
        <v>Greg Dulcich</v>
      </c>
      <c r="D248" t="s">
        <v>1839</v>
      </c>
      <c r="E248" t="s">
        <v>890</v>
      </c>
    </row>
    <row r="249" spans="1:5">
      <c r="A249" t="s">
        <v>824</v>
      </c>
      <c r="B249" t="s">
        <v>577</v>
      </c>
      <c r="C249" t="str">
        <f t="shared" si="3"/>
        <v>Brandon Aubrey</v>
      </c>
      <c r="D249" t="s">
        <v>1822</v>
      </c>
      <c r="E249" t="s">
        <v>1076</v>
      </c>
    </row>
    <row r="250" spans="1:5">
      <c r="A250" t="s">
        <v>817</v>
      </c>
      <c r="B250" t="s">
        <v>531</v>
      </c>
      <c r="C250" t="str">
        <f t="shared" si="3"/>
        <v>Justin Tucker</v>
      </c>
      <c r="D250" t="s">
        <v>1821</v>
      </c>
      <c r="E250" t="s">
        <v>1076</v>
      </c>
    </row>
    <row r="251" spans="1:5">
      <c r="A251" t="s">
        <v>828</v>
      </c>
      <c r="B251" t="s">
        <v>827</v>
      </c>
      <c r="C251" t="str">
        <f t="shared" si="3"/>
        <v>Younghoe Koo</v>
      </c>
      <c r="D251" t="s">
        <v>1829</v>
      </c>
      <c r="E251" t="s">
        <v>1076</v>
      </c>
    </row>
    <row r="252" spans="1:5">
      <c r="A252" t="s">
        <v>834</v>
      </c>
      <c r="B252" t="s">
        <v>782</v>
      </c>
      <c r="C252" t="str">
        <f t="shared" si="3"/>
        <v>Greg Zuerlein</v>
      </c>
      <c r="D252" t="s">
        <v>1830</v>
      </c>
      <c r="E252" t="s">
        <v>1076</v>
      </c>
    </row>
    <row r="253" spans="1:5">
      <c r="A253" t="s">
        <v>825</v>
      </c>
      <c r="B253" t="s">
        <v>703</v>
      </c>
      <c r="C253" t="str">
        <f t="shared" si="3"/>
        <v>Evan McPherson</v>
      </c>
      <c r="D253" t="s">
        <v>1818</v>
      </c>
      <c r="E253" t="s">
        <v>1076</v>
      </c>
    </row>
    <row r="254" spans="1:5">
      <c r="A254" t="s">
        <v>843</v>
      </c>
      <c r="B254" t="s">
        <v>743</v>
      </c>
      <c r="C254" t="str">
        <f t="shared" si="3"/>
        <v>Blake Grupe</v>
      </c>
      <c r="D254" t="s">
        <v>1836</v>
      </c>
      <c r="E254" t="s">
        <v>1076</v>
      </c>
    </row>
    <row r="255" spans="1:5">
      <c r="A255" t="s">
        <v>821</v>
      </c>
      <c r="B255" t="s">
        <v>820</v>
      </c>
      <c r="C255" t="str">
        <f t="shared" si="3"/>
        <v>Harrison Butker</v>
      </c>
      <c r="D255" t="s">
        <v>1813</v>
      </c>
      <c r="E255" t="s">
        <v>1076</v>
      </c>
    </row>
    <row r="256" spans="1:5">
      <c r="A256" t="s">
        <v>842</v>
      </c>
      <c r="B256" t="s">
        <v>811</v>
      </c>
      <c r="C256" t="str">
        <f t="shared" si="3"/>
        <v>Daniel Carlson</v>
      </c>
      <c r="D256" t="s">
        <v>1840</v>
      </c>
      <c r="E256" t="s">
        <v>1076</v>
      </c>
    </row>
    <row r="257" spans="1:5">
      <c r="A257" t="s">
        <v>833</v>
      </c>
      <c r="B257" t="s">
        <v>701</v>
      </c>
      <c r="C257" t="str">
        <f t="shared" si="3"/>
        <v>Jake Moody</v>
      </c>
      <c r="D257" t="s">
        <v>1827</v>
      </c>
      <c r="E257" t="s">
        <v>1076</v>
      </c>
    </row>
    <row r="258" spans="1:5">
      <c r="A258" t="s">
        <v>841</v>
      </c>
      <c r="B258" t="s">
        <v>729</v>
      </c>
      <c r="C258" t="str">
        <f t="shared" si="3"/>
        <v>Tyler Bass</v>
      </c>
      <c r="D258" t="s">
        <v>1814</v>
      </c>
      <c r="E258" t="s">
        <v>1076</v>
      </c>
    </row>
    <row r="259" spans="1:5">
      <c r="A259" t="s">
        <v>710</v>
      </c>
      <c r="B259" t="s">
        <v>701</v>
      </c>
      <c r="C259" t="str">
        <f t="shared" ref="C259:C312" si="4">B259&amp;" "&amp;A259</f>
        <v>Jake Elliott</v>
      </c>
      <c r="D259" t="s">
        <v>1815</v>
      </c>
      <c r="E259" t="s">
        <v>1076</v>
      </c>
    </row>
    <row r="260" spans="1:5">
      <c r="A260" t="s">
        <v>845</v>
      </c>
      <c r="B260" t="s">
        <v>844</v>
      </c>
      <c r="C260" t="str">
        <f t="shared" si="4"/>
        <v>Jason Myers</v>
      </c>
      <c r="D260" t="s">
        <v>1834</v>
      </c>
      <c r="E260" t="s">
        <v>1076</v>
      </c>
    </row>
    <row r="261" spans="1:5">
      <c r="A261" t="s">
        <v>835</v>
      </c>
      <c r="B261" t="s">
        <v>1968</v>
      </c>
      <c r="C261" t="str">
        <f t="shared" si="4"/>
        <v>Fairbairn Ka'imi</v>
      </c>
      <c r="D261" t="s">
        <v>1816</v>
      </c>
      <c r="E261" t="s">
        <v>1076</v>
      </c>
    </row>
    <row r="262" spans="1:5">
      <c r="A262" t="s">
        <v>1969</v>
      </c>
      <c r="B262" t="s">
        <v>1970</v>
      </c>
      <c r="C262" t="str">
        <f t="shared" si="4"/>
        <v>Cam Little</v>
      </c>
      <c r="D262" t="s">
        <v>1824</v>
      </c>
      <c r="E262" t="s">
        <v>1076</v>
      </c>
    </row>
    <row r="263" spans="1:5">
      <c r="A263" t="s">
        <v>852</v>
      </c>
      <c r="B263" t="s">
        <v>849</v>
      </c>
      <c r="C263" t="str">
        <f t="shared" si="4"/>
        <v>Matt Prater</v>
      </c>
      <c r="D263" t="s">
        <v>1823</v>
      </c>
      <c r="E263" t="s">
        <v>1076</v>
      </c>
    </row>
    <row r="264" spans="1:5">
      <c r="A264" t="s">
        <v>856</v>
      </c>
      <c r="B264" t="s">
        <v>855</v>
      </c>
      <c r="C264" t="str">
        <f t="shared" si="4"/>
        <v>Graham Gano</v>
      </c>
      <c r="D264" t="s">
        <v>1832</v>
      </c>
      <c r="E264" t="s">
        <v>1076</v>
      </c>
    </row>
    <row r="265" spans="1:5">
      <c r="A265" t="s">
        <v>850</v>
      </c>
      <c r="B265" t="s">
        <v>849</v>
      </c>
      <c r="C265" t="str">
        <f t="shared" si="4"/>
        <v>Matt Gay</v>
      </c>
      <c r="D265" t="s">
        <v>1820</v>
      </c>
      <c r="E265" t="s">
        <v>1076</v>
      </c>
    </row>
    <row r="266" spans="1:5">
      <c r="A266" t="s">
        <v>848</v>
      </c>
      <c r="B266" t="s">
        <v>583</v>
      </c>
      <c r="C266" t="str">
        <f t="shared" si="4"/>
        <v>Chris Boswell</v>
      </c>
      <c r="D266" t="s">
        <v>1841</v>
      </c>
      <c r="E266" t="s">
        <v>1076</v>
      </c>
    </row>
    <row r="267" spans="1:5">
      <c r="A267" t="s">
        <v>1971</v>
      </c>
      <c r="B267" t="s">
        <v>797</v>
      </c>
      <c r="C267" t="str">
        <f t="shared" si="4"/>
        <v>Will Reichard</v>
      </c>
      <c r="D267" t="s">
        <v>1845</v>
      </c>
      <c r="E267" t="s">
        <v>1076</v>
      </c>
    </row>
    <row r="268" spans="1:5">
      <c r="A268" t="s">
        <v>846</v>
      </c>
      <c r="B268" t="s">
        <v>844</v>
      </c>
      <c r="C268" t="str">
        <f t="shared" si="4"/>
        <v>Jason Sanders</v>
      </c>
      <c r="D268" t="s">
        <v>1819</v>
      </c>
      <c r="E268" t="s">
        <v>1076</v>
      </c>
    </row>
    <row r="269" spans="1:5">
      <c r="A269" t="s">
        <v>1972</v>
      </c>
      <c r="B269" t="s">
        <v>701</v>
      </c>
      <c r="C269" t="str">
        <f t="shared" si="4"/>
        <v>Jake Bates</v>
      </c>
      <c r="D269" t="s">
        <v>1828</v>
      </c>
      <c r="E269" t="s">
        <v>1076</v>
      </c>
    </row>
    <row r="270" spans="1:5">
      <c r="A270" t="s">
        <v>1973</v>
      </c>
      <c r="B270" t="s">
        <v>1974</v>
      </c>
      <c r="C270" t="str">
        <f t="shared" si="4"/>
        <v>Chad Ryland</v>
      </c>
      <c r="D270" t="s">
        <v>1835</v>
      </c>
      <c r="E270" t="s">
        <v>1076</v>
      </c>
    </row>
    <row r="271" spans="1:5">
      <c r="A271" t="s">
        <v>832</v>
      </c>
      <c r="B271" t="s">
        <v>831</v>
      </c>
      <c r="C271" t="str">
        <f t="shared" si="4"/>
        <v>Cameron Dicker</v>
      </c>
      <c r="D271" t="s">
        <v>1831</v>
      </c>
      <c r="E271" t="s">
        <v>1076</v>
      </c>
    </row>
    <row r="272" spans="1:5">
      <c r="A272" t="s">
        <v>723</v>
      </c>
      <c r="B272" t="s">
        <v>812</v>
      </c>
      <c r="C272" t="str">
        <f t="shared" si="4"/>
        <v>Dustin Hopkins</v>
      </c>
      <c r="D272" t="s">
        <v>1837</v>
      </c>
      <c r="E272" t="s">
        <v>1076</v>
      </c>
    </row>
    <row r="273" spans="1:5">
      <c r="A273" t="s">
        <v>1975</v>
      </c>
      <c r="B273" t="s">
        <v>1976</v>
      </c>
      <c r="C273" t="str">
        <f t="shared" si="4"/>
        <v>Wil Lutz</v>
      </c>
      <c r="D273" t="s">
        <v>1839</v>
      </c>
      <c r="E273" t="s">
        <v>1076</v>
      </c>
    </row>
    <row r="274" spans="1:5">
      <c r="A274" t="s">
        <v>860</v>
      </c>
      <c r="B274" t="s">
        <v>859</v>
      </c>
      <c r="C274" t="str">
        <f t="shared" si="4"/>
        <v>Cairo Santos</v>
      </c>
      <c r="D274" t="s">
        <v>1826</v>
      </c>
      <c r="E274" t="s">
        <v>1076</v>
      </c>
    </row>
    <row r="275" spans="1:5">
      <c r="A275" t="s">
        <v>858</v>
      </c>
      <c r="B275" t="s">
        <v>857</v>
      </c>
      <c r="C275" t="str">
        <f t="shared" si="4"/>
        <v>Joshua Karty</v>
      </c>
      <c r="D275" t="s">
        <v>1833</v>
      </c>
      <c r="E275" t="s">
        <v>1076</v>
      </c>
    </row>
    <row r="276" spans="1:5">
      <c r="A276" t="s">
        <v>1977</v>
      </c>
      <c r="B276" t="s">
        <v>1978</v>
      </c>
      <c r="C276" t="str">
        <f t="shared" si="4"/>
        <v>Eddy Pineiro</v>
      </c>
      <c r="D276" t="s">
        <v>1842</v>
      </c>
      <c r="E276" t="s">
        <v>1076</v>
      </c>
    </row>
    <row r="277" spans="1:5">
      <c r="A277" t="s">
        <v>854</v>
      </c>
      <c r="B277" t="s">
        <v>758</v>
      </c>
      <c r="C277" t="str">
        <f t="shared" si="4"/>
        <v>Nick Folk</v>
      </c>
      <c r="D277" t="s">
        <v>1846</v>
      </c>
      <c r="E277" t="s">
        <v>1076</v>
      </c>
    </row>
    <row r="278" spans="1:5">
      <c r="A278" t="s">
        <v>851</v>
      </c>
      <c r="B278" t="s">
        <v>526</v>
      </c>
      <c r="C278" t="str">
        <f t="shared" si="4"/>
        <v>Chase McLaughlin</v>
      </c>
      <c r="D278" t="s">
        <v>1838</v>
      </c>
      <c r="E278" t="s">
        <v>1076</v>
      </c>
    </row>
    <row r="279" spans="1:5">
      <c r="A279" t="s">
        <v>842</v>
      </c>
      <c r="B279" t="s">
        <v>861</v>
      </c>
      <c r="C279" t="str">
        <f t="shared" si="4"/>
        <v>Anders Carlson</v>
      </c>
      <c r="D279" t="s">
        <v>1817</v>
      </c>
      <c r="E279" t="s">
        <v>1076</v>
      </c>
    </row>
    <row r="280" spans="1:5">
      <c r="A280" t="s">
        <v>1979</v>
      </c>
      <c r="B280" t="s">
        <v>1980</v>
      </c>
      <c r="C280" t="str">
        <f t="shared" si="4"/>
        <v>Ramiz Ahmed</v>
      </c>
      <c r="D280" t="s">
        <v>1825</v>
      </c>
      <c r="E280" t="s">
        <v>1076</v>
      </c>
    </row>
    <row r="281" spans="1:5">
      <c r="A281" t="s">
        <v>1821</v>
      </c>
      <c r="C281" t="str">
        <f t="shared" si="4"/>
        <v xml:space="preserve"> Ravens</v>
      </c>
      <c r="D281" t="s">
        <v>1821</v>
      </c>
      <c r="E281" t="s">
        <v>1981</v>
      </c>
    </row>
    <row r="282" spans="1:5">
      <c r="A282" t="s">
        <v>1827</v>
      </c>
      <c r="C282" t="str">
        <f t="shared" si="4"/>
        <v xml:space="preserve"> 49ers</v>
      </c>
      <c r="D282" t="s">
        <v>1827</v>
      </c>
      <c r="E282" t="s">
        <v>1981</v>
      </c>
    </row>
    <row r="283" spans="1:5">
      <c r="A283" t="s">
        <v>1814</v>
      </c>
      <c r="C283" t="str">
        <f t="shared" si="4"/>
        <v xml:space="preserve"> Bills</v>
      </c>
      <c r="D283" t="s">
        <v>1814</v>
      </c>
      <c r="E283" t="s">
        <v>1981</v>
      </c>
    </row>
    <row r="284" spans="1:5">
      <c r="A284" t="s">
        <v>1840</v>
      </c>
      <c r="C284" t="str">
        <f t="shared" si="4"/>
        <v xml:space="preserve"> Raiders</v>
      </c>
      <c r="D284" t="s">
        <v>1840</v>
      </c>
      <c r="E284" t="s">
        <v>1981</v>
      </c>
    </row>
    <row r="285" spans="1:5">
      <c r="A285" t="s">
        <v>1822</v>
      </c>
      <c r="C285" t="str">
        <f t="shared" si="4"/>
        <v xml:space="preserve"> Cowboys</v>
      </c>
      <c r="D285" t="s">
        <v>1822</v>
      </c>
      <c r="E285" t="s">
        <v>1981</v>
      </c>
    </row>
    <row r="286" spans="1:5">
      <c r="A286" t="s">
        <v>1815</v>
      </c>
      <c r="C286" t="str">
        <f t="shared" si="4"/>
        <v xml:space="preserve"> Eagles</v>
      </c>
      <c r="D286" t="s">
        <v>1815</v>
      </c>
      <c r="E286" t="s">
        <v>1981</v>
      </c>
    </row>
    <row r="287" spans="1:5">
      <c r="A287" t="s">
        <v>1830</v>
      </c>
      <c r="C287" t="str">
        <f t="shared" si="4"/>
        <v xml:space="preserve"> Jets</v>
      </c>
      <c r="D287" t="s">
        <v>1830</v>
      </c>
      <c r="E287" t="s">
        <v>1981</v>
      </c>
    </row>
    <row r="288" spans="1:5">
      <c r="A288" t="s">
        <v>1841</v>
      </c>
      <c r="C288" t="str">
        <f t="shared" si="4"/>
        <v xml:space="preserve"> Steelers</v>
      </c>
      <c r="D288" t="s">
        <v>1841</v>
      </c>
      <c r="E288" t="s">
        <v>1981</v>
      </c>
    </row>
    <row r="289" spans="1:5">
      <c r="A289" t="s">
        <v>1818</v>
      </c>
      <c r="C289" t="str">
        <f t="shared" si="4"/>
        <v xml:space="preserve"> Bengals</v>
      </c>
      <c r="D289" t="s">
        <v>1818</v>
      </c>
      <c r="E289" t="s">
        <v>1981</v>
      </c>
    </row>
    <row r="290" spans="1:5">
      <c r="A290" t="s">
        <v>1839</v>
      </c>
      <c r="C290" t="str">
        <f t="shared" si="4"/>
        <v xml:space="preserve"> Broncos</v>
      </c>
      <c r="D290" t="s">
        <v>1839</v>
      </c>
      <c r="E290" t="s">
        <v>1981</v>
      </c>
    </row>
    <row r="291" spans="1:5">
      <c r="A291" t="s">
        <v>1813</v>
      </c>
      <c r="C291" t="str">
        <f t="shared" si="4"/>
        <v xml:space="preserve"> Chiefs</v>
      </c>
      <c r="D291" t="s">
        <v>1813</v>
      </c>
      <c r="E291" t="s">
        <v>1981</v>
      </c>
    </row>
    <row r="292" spans="1:5">
      <c r="A292" t="s">
        <v>1826</v>
      </c>
      <c r="C292" t="str">
        <f t="shared" si="4"/>
        <v xml:space="preserve"> Bears</v>
      </c>
      <c r="D292" t="s">
        <v>1826</v>
      </c>
      <c r="E292" t="s">
        <v>1981</v>
      </c>
    </row>
    <row r="293" spans="1:5">
      <c r="A293" t="s">
        <v>1819</v>
      </c>
      <c r="C293" t="str">
        <f t="shared" si="4"/>
        <v xml:space="preserve"> Dolphins</v>
      </c>
      <c r="D293" t="s">
        <v>1819</v>
      </c>
      <c r="E293" t="s">
        <v>1981</v>
      </c>
    </row>
    <row r="294" spans="1:5">
      <c r="A294" t="s">
        <v>1835</v>
      </c>
      <c r="C294" t="str">
        <f t="shared" si="4"/>
        <v xml:space="preserve"> Patriots</v>
      </c>
      <c r="D294" t="s">
        <v>1835</v>
      </c>
      <c r="E294" t="s">
        <v>1981</v>
      </c>
    </row>
    <row r="295" spans="1:5">
      <c r="A295" t="s">
        <v>1831</v>
      </c>
      <c r="C295" t="str">
        <f t="shared" si="4"/>
        <v xml:space="preserve"> Chargers</v>
      </c>
      <c r="D295" t="s">
        <v>1831</v>
      </c>
      <c r="E295" t="s">
        <v>1981</v>
      </c>
    </row>
    <row r="296" spans="1:5">
      <c r="A296" t="s">
        <v>1828</v>
      </c>
      <c r="C296" t="str">
        <f t="shared" si="4"/>
        <v xml:space="preserve"> Lions</v>
      </c>
      <c r="D296" t="s">
        <v>1828</v>
      </c>
      <c r="E296" t="s">
        <v>1981</v>
      </c>
    </row>
    <row r="297" spans="1:5">
      <c r="A297" t="s">
        <v>1820</v>
      </c>
      <c r="C297" t="str">
        <f t="shared" si="4"/>
        <v xml:space="preserve"> Colts</v>
      </c>
      <c r="D297" t="s">
        <v>1820</v>
      </c>
      <c r="E297" t="s">
        <v>1981</v>
      </c>
    </row>
    <row r="298" spans="1:5">
      <c r="A298" t="s">
        <v>1836</v>
      </c>
      <c r="C298" t="str">
        <f t="shared" si="4"/>
        <v xml:space="preserve"> Saints</v>
      </c>
      <c r="D298" t="s">
        <v>1836</v>
      </c>
      <c r="E298" t="s">
        <v>1981</v>
      </c>
    </row>
    <row r="299" spans="1:5">
      <c r="A299" t="s">
        <v>1842</v>
      </c>
      <c r="C299" t="str">
        <f t="shared" si="4"/>
        <v xml:space="preserve"> Panthers</v>
      </c>
      <c r="D299" t="s">
        <v>1842</v>
      </c>
      <c r="E299" t="s">
        <v>1981</v>
      </c>
    </row>
    <row r="300" spans="1:5">
      <c r="A300" t="s">
        <v>1817</v>
      </c>
      <c r="C300" t="str">
        <f t="shared" si="4"/>
        <v xml:space="preserve"> Packers</v>
      </c>
      <c r="D300" t="s">
        <v>1817</v>
      </c>
      <c r="E300" t="s">
        <v>1981</v>
      </c>
    </row>
    <row r="301" spans="1:5">
      <c r="A301" t="s">
        <v>1845</v>
      </c>
      <c r="C301" t="str">
        <f t="shared" si="4"/>
        <v xml:space="preserve"> Vikings</v>
      </c>
      <c r="D301" t="s">
        <v>1845</v>
      </c>
      <c r="E301" t="s">
        <v>1981</v>
      </c>
    </row>
    <row r="302" spans="1:5">
      <c r="A302" t="s">
        <v>1816</v>
      </c>
      <c r="C302" t="str">
        <f t="shared" si="4"/>
        <v xml:space="preserve"> Texans</v>
      </c>
      <c r="D302" t="s">
        <v>1816</v>
      </c>
      <c r="E302" t="s">
        <v>1981</v>
      </c>
    </row>
    <row r="303" spans="1:5">
      <c r="A303" t="s">
        <v>1837</v>
      </c>
      <c r="C303" t="str">
        <f t="shared" si="4"/>
        <v xml:space="preserve"> Browns</v>
      </c>
      <c r="D303" t="s">
        <v>1837</v>
      </c>
      <c r="E303" t="s">
        <v>1981</v>
      </c>
    </row>
    <row r="304" spans="1:5">
      <c r="A304" t="s">
        <v>1824</v>
      </c>
      <c r="C304" t="str">
        <f t="shared" si="4"/>
        <v xml:space="preserve"> Jaguars</v>
      </c>
      <c r="D304" t="s">
        <v>1824</v>
      </c>
      <c r="E304" t="s">
        <v>1981</v>
      </c>
    </row>
    <row r="305" spans="1:5">
      <c r="A305" t="s">
        <v>1833</v>
      </c>
      <c r="C305" t="str">
        <f t="shared" si="4"/>
        <v xml:space="preserve"> Rams</v>
      </c>
      <c r="D305" t="s">
        <v>1833</v>
      </c>
      <c r="E305" t="s">
        <v>1981</v>
      </c>
    </row>
    <row r="306" spans="1:5">
      <c r="A306" t="s">
        <v>1838</v>
      </c>
      <c r="C306" t="str">
        <f t="shared" si="4"/>
        <v xml:space="preserve"> Buccaneers</v>
      </c>
      <c r="D306" t="s">
        <v>1838</v>
      </c>
      <c r="E306" t="s">
        <v>1981</v>
      </c>
    </row>
    <row r="307" spans="1:5">
      <c r="A307" t="s">
        <v>1832</v>
      </c>
      <c r="C307" t="str">
        <f t="shared" si="4"/>
        <v xml:space="preserve"> Giants</v>
      </c>
      <c r="D307" t="s">
        <v>1832</v>
      </c>
      <c r="E307" t="s">
        <v>1981</v>
      </c>
    </row>
    <row r="308" spans="1:5">
      <c r="A308" t="s">
        <v>1846</v>
      </c>
      <c r="C308" t="str">
        <f t="shared" si="4"/>
        <v xml:space="preserve"> Titans</v>
      </c>
      <c r="D308" t="s">
        <v>1846</v>
      </c>
      <c r="E308" t="s">
        <v>1981</v>
      </c>
    </row>
    <row r="309" spans="1:5">
      <c r="A309" t="s">
        <v>1834</v>
      </c>
      <c r="C309" t="str">
        <f t="shared" si="4"/>
        <v xml:space="preserve"> Seahawks</v>
      </c>
      <c r="D309" t="s">
        <v>1834</v>
      </c>
      <c r="E309" t="s">
        <v>1981</v>
      </c>
    </row>
    <row r="310" spans="1:5">
      <c r="A310" t="s">
        <v>1829</v>
      </c>
      <c r="C310" t="str">
        <f t="shared" si="4"/>
        <v xml:space="preserve"> Falcons</v>
      </c>
      <c r="D310" t="s">
        <v>1829</v>
      </c>
      <c r="E310" t="s">
        <v>1981</v>
      </c>
    </row>
    <row r="311" spans="1:5">
      <c r="A311" t="s">
        <v>1823</v>
      </c>
      <c r="C311" t="str">
        <f t="shared" si="4"/>
        <v xml:space="preserve"> Cardinals</v>
      </c>
      <c r="D311" t="s">
        <v>1823</v>
      </c>
      <c r="E311" t="s">
        <v>1981</v>
      </c>
    </row>
    <row r="312" spans="1:5">
      <c r="A312" t="s">
        <v>1825</v>
      </c>
      <c r="C312" t="str">
        <f t="shared" si="4"/>
        <v xml:space="preserve"> Redskins</v>
      </c>
      <c r="D312" t="s">
        <v>1825</v>
      </c>
      <c r="E312" t="s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Control</vt:lpstr>
      <vt:lpstr>ESPN Rankings</vt:lpstr>
      <vt:lpstr>Fantasy Pros Standard Rankings</vt:lpstr>
      <vt:lpstr>DraftKings Player Summary</vt:lpstr>
      <vt:lpstr>Draft Log</vt:lpstr>
      <vt:lpstr>Rankings Master</vt:lpstr>
      <vt:lpstr>NFL.com Rankings</vt:lpstr>
      <vt:lpstr>Sleeper</vt:lpstr>
      <vt:lpstr>NFL.com rankings drop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Merlene</dc:creator>
  <cp:lastModifiedBy>Mark Merlene</cp:lastModifiedBy>
  <dcterms:created xsi:type="dcterms:W3CDTF">2026-08-23T05:16:13Z</dcterms:created>
  <dcterms:modified xsi:type="dcterms:W3CDTF">2026-10-28T04:09:04Z</dcterms:modified>
</cp:coreProperties>
</file>